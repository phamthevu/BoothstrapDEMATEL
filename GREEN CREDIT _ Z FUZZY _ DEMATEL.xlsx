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Research\Automate\Boothstrap DEMATEL\"/>
    </mc:Choice>
  </mc:AlternateContent>
  <xr:revisionPtr revIDLastSave="0" documentId="13_ncr:1_{B7087CC0-C871-4702-9DC4-DECE1E852E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MATEL" sheetId="42" r:id="rId1"/>
    <sheet name="Thang đánh giá" sheetId="41" r:id="rId2"/>
    <sheet name="Ans 1" sheetId="1" r:id="rId3"/>
    <sheet name="Ans 2" sheetId="2" r:id="rId4"/>
    <sheet name="Ans 3" sheetId="3" r:id="rId5"/>
    <sheet name="Ans 4" sheetId="4" r:id="rId6"/>
    <sheet name="Ans 5" sheetId="5" r:id="rId7"/>
    <sheet name="Ans 6" sheetId="6" r:id="rId8"/>
    <sheet name="Ans 7" sheetId="7" r:id="rId9"/>
    <sheet name="Ans 8" sheetId="8" r:id="rId10"/>
    <sheet name="Ans 9" sheetId="9" r:id="rId11"/>
    <sheet name="Ans 10" sheetId="10" r:id="rId12"/>
    <sheet name="Ans 11" sheetId="11" r:id="rId13"/>
    <sheet name="Ans 12" sheetId="12" r:id="rId14"/>
    <sheet name="Ans 13" sheetId="13" r:id="rId15"/>
    <sheet name="Ans 14" sheetId="14" r:id="rId16"/>
    <sheet name="Ans 15" sheetId="15" r:id="rId17"/>
    <sheet name="Ans 16" sheetId="16" r:id="rId18"/>
    <sheet name="Ans 17" sheetId="17" r:id="rId19"/>
    <sheet name="Ans 18" sheetId="18" r:id="rId20"/>
    <sheet name="Ans 19" sheetId="19" r:id="rId21"/>
    <sheet name="Ans 20" sheetId="20" r:id="rId22"/>
    <sheet name="Ans 21" sheetId="21" r:id="rId23"/>
    <sheet name="Ans 22" sheetId="22" r:id="rId24"/>
    <sheet name="Ans 23" sheetId="23" r:id="rId25"/>
    <sheet name="Ans 24" sheetId="24" r:id="rId26"/>
    <sheet name="Ans 25" sheetId="25" r:id="rId27"/>
    <sheet name="Ans 26" sheetId="26" r:id="rId28"/>
    <sheet name="Ans 27" sheetId="27" r:id="rId29"/>
    <sheet name="Ans 28" sheetId="28" r:id="rId30"/>
    <sheet name="Ans 29" sheetId="29" r:id="rId31"/>
    <sheet name="Ans 30" sheetId="30" r:id="rId32"/>
    <sheet name="Ans 31" sheetId="31" r:id="rId33"/>
    <sheet name="Ans 32" sheetId="32" r:id="rId34"/>
    <sheet name="Ans 33" sheetId="33" r:id="rId35"/>
    <sheet name="Ans 34" sheetId="34" r:id="rId36"/>
    <sheet name="Ans 35" sheetId="35" r:id="rId37"/>
    <sheet name="Ans 36" sheetId="36" r:id="rId38"/>
    <sheet name="Ans 37" sheetId="37" r:id="rId39"/>
    <sheet name="Ans 38" sheetId="38" r:id="rId40"/>
    <sheet name="Ans 39" sheetId="39" r:id="rId41"/>
    <sheet name="Ans 40" sheetId="40" r:id="rId42"/>
  </sheets>
  <definedNames>
    <definedName name="_xlnm._FilterDatabase" localSheetId="0" hidden="1">DEMATEL!$K$69:$R$81</definedName>
  </definedNames>
  <calcPr calcId="191029"/>
</workbook>
</file>

<file path=xl/calcChain.xml><?xml version="1.0" encoding="utf-8"?>
<calcChain xmlns="http://schemas.openxmlformats.org/spreadsheetml/2006/main">
  <c r="B21" i="42" l="1"/>
  <c r="C21" i="42"/>
  <c r="D21" i="42"/>
  <c r="E21" i="42"/>
  <c r="F21" i="42"/>
  <c r="G21" i="42"/>
  <c r="H21" i="42"/>
  <c r="I21" i="42"/>
  <c r="J21" i="42"/>
  <c r="K21" i="42"/>
  <c r="L21" i="42"/>
  <c r="M21" i="42"/>
  <c r="B22" i="42"/>
  <c r="C22" i="42"/>
  <c r="D22" i="42"/>
  <c r="E22" i="42"/>
  <c r="F22" i="42"/>
  <c r="G22" i="42"/>
  <c r="H22" i="42"/>
  <c r="I22" i="42"/>
  <c r="J22" i="42"/>
  <c r="K22" i="42"/>
  <c r="L22" i="42"/>
  <c r="M22" i="42"/>
  <c r="B23" i="42"/>
  <c r="C23" i="42"/>
  <c r="D23" i="42"/>
  <c r="E23" i="42"/>
  <c r="F23" i="42"/>
  <c r="G23" i="42"/>
  <c r="H23" i="42"/>
  <c r="I23" i="42"/>
  <c r="J23" i="42"/>
  <c r="K23" i="42"/>
  <c r="L23" i="42"/>
  <c r="M23" i="42"/>
  <c r="B24" i="42"/>
  <c r="C24" i="42"/>
  <c r="D24" i="42"/>
  <c r="E24" i="42"/>
  <c r="F24" i="42"/>
  <c r="G24" i="42"/>
  <c r="H24" i="42"/>
  <c r="I24" i="42"/>
  <c r="J24" i="42"/>
  <c r="K24" i="42"/>
  <c r="L24" i="42"/>
  <c r="M24" i="42"/>
  <c r="B25" i="42"/>
  <c r="C25" i="42"/>
  <c r="D25" i="42"/>
  <c r="E25" i="42"/>
  <c r="F25" i="42"/>
  <c r="G25" i="42"/>
  <c r="H25" i="42"/>
  <c r="I25" i="42"/>
  <c r="J25" i="42"/>
  <c r="K25" i="42"/>
  <c r="L25" i="42"/>
  <c r="M25" i="42"/>
  <c r="B26" i="42"/>
  <c r="C26" i="42"/>
  <c r="D26" i="42"/>
  <c r="E26" i="42"/>
  <c r="F26" i="42"/>
  <c r="G26" i="42"/>
  <c r="H26" i="42"/>
  <c r="I26" i="42"/>
  <c r="J26" i="42"/>
  <c r="K26" i="42"/>
  <c r="L26" i="42"/>
  <c r="M26" i="42"/>
  <c r="B27" i="42"/>
  <c r="C27" i="42"/>
  <c r="D27" i="42"/>
  <c r="E27" i="42"/>
  <c r="F27" i="42"/>
  <c r="G27" i="42"/>
  <c r="H27" i="42"/>
  <c r="I27" i="42"/>
  <c r="J27" i="42"/>
  <c r="K27" i="42"/>
  <c r="L27" i="42"/>
  <c r="M27" i="42"/>
  <c r="B28" i="42"/>
  <c r="C28" i="42"/>
  <c r="D28" i="42"/>
  <c r="E28" i="42"/>
  <c r="F28" i="42"/>
  <c r="G28" i="42"/>
  <c r="H28" i="42"/>
  <c r="I28" i="42"/>
  <c r="J28" i="42"/>
  <c r="K28" i="42"/>
  <c r="L28" i="42"/>
  <c r="M28" i="42"/>
  <c r="B29" i="42"/>
  <c r="C29" i="42"/>
  <c r="D29" i="42"/>
  <c r="E29" i="42"/>
  <c r="F29" i="42"/>
  <c r="G29" i="42"/>
  <c r="H29" i="42"/>
  <c r="I29" i="42"/>
  <c r="J29" i="42"/>
  <c r="K29" i="42"/>
  <c r="L29" i="42"/>
  <c r="M29" i="42"/>
  <c r="B30" i="42"/>
  <c r="C30" i="42"/>
  <c r="D30" i="42"/>
  <c r="E30" i="42"/>
  <c r="F30" i="42"/>
  <c r="G30" i="42"/>
  <c r="H30" i="42"/>
  <c r="I30" i="42"/>
  <c r="J30" i="42"/>
  <c r="K30" i="42"/>
  <c r="L30" i="42"/>
  <c r="M30" i="42"/>
  <c r="B31" i="42"/>
  <c r="C31" i="42"/>
  <c r="D31" i="42"/>
  <c r="E31" i="42"/>
  <c r="F31" i="42"/>
  <c r="G31" i="42"/>
  <c r="H31" i="42"/>
  <c r="I31" i="42"/>
  <c r="J31" i="42"/>
  <c r="K31" i="42"/>
  <c r="L31" i="42"/>
  <c r="M31" i="42"/>
  <c r="C20" i="42"/>
  <c r="D20" i="42"/>
  <c r="E20" i="42"/>
  <c r="F20" i="42"/>
  <c r="G20" i="42"/>
  <c r="H20" i="42"/>
  <c r="I20" i="42"/>
  <c r="J20" i="42"/>
  <c r="K20" i="42"/>
  <c r="L20" i="42"/>
  <c r="M20" i="42"/>
  <c r="B20" i="42"/>
  <c r="M24" i="40"/>
  <c r="M66" i="40" s="1"/>
  <c r="L24" i="40"/>
  <c r="L66" i="40" s="1"/>
  <c r="K24" i="40"/>
  <c r="K66" i="40" s="1"/>
  <c r="J24" i="40"/>
  <c r="I24" i="40"/>
  <c r="I66" i="40" s="1"/>
  <c r="H24" i="40"/>
  <c r="H66" i="40" s="1"/>
  <c r="G24" i="40"/>
  <c r="G66" i="40" s="1"/>
  <c r="F24" i="40"/>
  <c r="F66" i="40" s="1"/>
  <c r="E24" i="40"/>
  <c r="E66" i="40" s="1"/>
  <c r="D24" i="40"/>
  <c r="D66" i="40" s="1"/>
  <c r="C24" i="40"/>
  <c r="C66" i="40" s="1"/>
  <c r="B24" i="40"/>
  <c r="M24" i="39"/>
  <c r="M66" i="39" s="1"/>
  <c r="L24" i="39"/>
  <c r="L66" i="39" s="1"/>
  <c r="K24" i="39"/>
  <c r="K66" i="39" s="1"/>
  <c r="J24" i="39"/>
  <c r="J38" i="39" s="1"/>
  <c r="I24" i="39"/>
  <c r="I66" i="39" s="1"/>
  <c r="H24" i="39"/>
  <c r="H66" i="39" s="1"/>
  <c r="G24" i="39"/>
  <c r="G66" i="39" s="1"/>
  <c r="F24" i="39"/>
  <c r="F66" i="39" s="1"/>
  <c r="E24" i="39"/>
  <c r="E66" i="39" s="1"/>
  <c r="D24" i="39"/>
  <c r="D66" i="39" s="1"/>
  <c r="C24" i="39"/>
  <c r="C66" i="39" s="1"/>
  <c r="B24" i="39"/>
  <c r="B66" i="39" s="1"/>
  <c r="M24" i="38"/>
  <c r="M66" i="38" s="1"/>
  <c r="L24" i="38"/>
  <c r="L66" i="38" s="1"/>
  <c r="K24" i="38"/>
  <c r="K66" i="38" s="1"/>
  <c r="J24" i="38"/>
  <c r="J66" i="38" s="1"/>
  <c r="I24" i="38"/>
  <c r="I66" i="38" s="1"/>
  <c r="H24" i="38"/>
  <c r="H66" i="38" s="1"/>
  <c r="G24" i="38"/>
  <c r="G66" i="38" s="1"/>
  <c r="F24" i="38"/>
  <c r="F66" i="38" s="1"/>
  <c r="E24" i="38"/>
  <c r="E66" i="38" s="1"/>
  <c r="D24" i="38"/>
  <c r="D66" i="38" s="1"/>
  <c r="C24" i="38"/>
  <c r="C66" i="38" s="1"/>
  <c r="B24" i="38"/>
  <c r="B38" i="38" s="1"/>
  <c r="M24" i="37"/>
  <c r="M66" i="37" s="1"/>
  <c r="L24" i="37"/>
  <c r="K24" i="37"/>
  <c r="K52" i="37" s="1"/>
  <c r="J24" i="37"/>
  <c r="J66" i="37" s="1"/>
  <c r="I24" i="37"/>
  <c r="I66" i="37" s="1"/>
  <c r="H24" i="37"/>
  <c r="H66" i="37" s="1"/>
  <c r="G24" i="37"/>
  <c r="G66" i="37" s="1"/>
  <c r="F24" i="37"/>
  <c r="F66" i="37" s="1"/>
  <c r="E24" i="37"/>
  <c r="E66" i="37" s="1"/>
  <c r="D24" i="37"/>
  <c r="D66" i="37" s="1"/>
  <c r="C24" i="37"/>
  <c r="C52" i="37" s="1"/>
  <c r="B24" i="37"/>
  <c r="B66" i="37" s="1"/>
  <c r="M24" i="36"/>
  <c r="M66" i="36" s="1"/>
  <c r="L24" i="36"/>
  <c r="L66" i="36" s="1"/>
  <c r="K24" i="36"/>
  <c r="K66" i="36" s="1"/>
  <c r="J24" i="36"/>
  <c r="J52" i="36" s="1"/>
  <c r="I24" i="36"/>
  <c r="I66" i="36" s="1"/>
  <c r="H24" i="36"/>
  <c r="H66" i="36" s="1"/>
  <c r="G24" i="36"/>
  <c r="G66" i="36" s="1"/>
  <c r="F24" i="36"/>
  <c r="F66" i="36" s="1"/>
  <c r="E24" i="36"/>
  <c r="E66" i="36" s="1"/>
  <c r="D24" i="36"/>
  <c r="D66" i="36" s="1"/>
  <c r="C24" i="36"/>
  <c r="C66" i="36" s="1"/>
  <c r="B24" i="36"/>
  <c r="B66" i="36" s="1"/>
  <c r="M24" i="35"/>
  <c r="M66" i="35" s="1"/>
  <c r="L24" i="35"/>
  <c r="L66" i="35" s="1"/>
  <c r="K24" i="35"/>
  <c r="K66" i="35" s="1"/>
  <c r="J24" i="35"/>
  <c r="I24" i="35"/>
  <c r="I66" i="35" s="1"/>
  <c r="H24" i="35"/>
  <c r="H66" i="35" s="1"/>
  <c r="G24" i="35"/>
  <c r="F24" i="35"/>
  <c r="F66" i="35" s="1"/>
  <c r="E24" i="35"/>
  <c r="E66" i="35" s="1"/>
  <c r="D24" i="35"/>
  <c r="D66" i="35" s="1"/>
  <c r="C24" i="35"/>
  <c r="C66" i="35" s="1"/>
  <c r="B24" i="35"/>
  <c r="M24" i="34"/>
  <c r="L24" i="34"/>
  <c r="L66" i="34" s="1"/>
  <c r="K24" i="34"/>
  <c r="K66" i="34" s="1"/>
  <c r="J24" i="34"/>
  <c r="J38" i="34" s="1"/>
  <c r="I24" i="34"/>
  <c r="I66" i="34" s="1"/>
  <c r="H24" i="34"/>
  <c r="H66" i="34" s="1"/>
  <c r="G24" i="34"/>
  <c r="G66" i="34" s="1"/>
  <c r="F24" i="34"/>
  <c r="F66" i="34" s="1"/>
  <c r="E24" i="34"/>
  <c r="E66" i="34" s="1"/>
  <c r="D24" i="34"/>
  <c r="D66" i="34" s="1"/>
  <c r="C24" i="34"/>
  <c r="C66" i="34" s="1"/>
  <c r="B24" i="34"/>
  <c r="B66" i="34" s="1"/>
  <c r="M24" i="33"/>
  <c r="M66" i="33" s="1"/>
  <c r="L24" i="33"/>
  <c r="L66" i="33" s="1"/>
  <c r="K24" i="33"/>
  <c r="K66" i="33" s="1"/>
  <c r="J24" i="33"/>
  <c r="J38" i="33" s="1"/>
  <c r="I24" i="33"/>
  <c r="I66" i="33" s="1"/>
  <c r="H24" i="33"/>
  <c r="H66" i="33" s="1"/>
  <c r="G24" i="33"/>
  <c r="G66" i="33" s="1"/>
  <c r="F24" i="33"/>
  <c r="F66" i="33" s="1"/>
  <c r="E24" i="33"/>
  <c r="E66" i="33" s="1"/>
  <c r="D24" i="33"/>
  <c r="D66" i="33" s="1"/>
  <c r="C24" i="33"/>
  <c r="C66" i="33" s="1"/>
  <c r="B24" i="33"/>
  <c r="B38" i="33" s="1"/>
  <c r="M24" i="32"/>
  <c r="M66" i="32" s="1"/>
  <c r="L24" i="32"/>
  <c r="L66" i="32" s="1"/>
  <c r="K24" i="32"/>
  <c r="K66" i="32" s="1"/>
  <c r="J24" i="32"/>
  <c r="I24" i="32"/>
  <c r="I66" i="32" s="1"/>
  <c r="H24" i="32"/>
  <c r="H66" i="32" s="1"/>
  <c r="G24" i="32"/>
  <c r="G66" i="32" s="1"/>
  <c r="F24" i="32"/>
  <c r="F66" i="32" s="1"/>
  <c r="E24" i="32"/>
  <c r="E66" i="32" s="1"/>
  <c r="D24" i="32"/>
  <c r="D66" i="32" s="1"/>
  <c r="C24" i="32"/>
  <c r="C66" i="32" s="1"/>
  <c r="B24" i="32"/>
  <c r="M24" i="31"/>
  <c r="M66" i="31" s="1"/>
  <c r="L24" i="31"/>
  <c r="L66" i="31" s="1"/>
  <c r="K24" i="31"/>
  <c r="K66" i="31" s="1"/>
  <c r="J24" i="31"/>
  <c r="I24" i="31"/>
  <c r="I66" i="31" s="1"/>
  <c r="H24" i="31"/>
  <c r="H66" i="31" s="1"/>
  <c r="G24" i="31"/>
  <c r="G66" i="31" s="1"/>
  <c r="F24" i="31"/>
  <c r="F66" i="31" s="1"/>
  <c r="E24" i="31"/>
  <c r="E66" i="31" s="1"/>
  <c r="D24" i="31"/>
  <c r="D66" i="31" s="1"/>
  <c r="C24" i="31"/>
  <c r="C66" i="31" s="1"/>
  <c r="B24" i="31"/>
  <c r="M24" i="30"/>
  <c r="M66" i="30" s="1"/>
  <c r="L24" i="30"/>
  <c r="K24" i="30"/>
  <c r="K66" i="30" s="1"/>
  <c r="J24" i="30"/>
  <c r="J66" i="30" s="1"/>
  <c r="I24" i="30"/>
  <c r="I66" i="30" s="1"/>
  <c r="H24" i="30"/>
  <c r="H66" i="30" s="1"/>
  <c r="G24" i="30"/>
  <c r="G66" i="30" s="1"/>
  <c r="F24" i="30"/>
  <c r="F66" i="30" s="1"/>
  <c r="E24" i="30"/>
  <c r="E66" i="30" s="1"/>
  <c r="D24" i="30"/>
  <c r="D66" i="30" s="1"/>
  <c r="C24" i="30"/>
  <c r="C66" i="30" s="1"/>
  <c r="B24" i="30"/>
  <c r="B66" i="30" s="1"/>
  <c r="M24" i="29"/>
  <c r="M66" i="29" s="1"/>
  <c r="L24" i="29"/>
  <c r="L66" i="29" s="1"/>
  <c r="K24" i="29"/>
  <c r="K66" i="29" s="1"/>
  <c r="J24" i="29"/>
  <c r="J38" i="29" s="1"/>
  <c r="I24" i="29"/>
  <c r="I66" i="29" s="1"/>
  <c r="H24" i="29"/>
  <c r="H66" i="29" s="1"/>
  <c r="G24" i="29"/>
  <c r="G66" i="29" s="1"/>
  <c r="F24" i="29"/>
  <c r="F66" i="29" s="1"/>
  <c r="E24" i="29"/>
  <c r="E66" i="29" s="1"/>
  <c r="D24" i="29"/>
  <c r="D66" i="29" s="1"/>
  <c r="C24" i="29"/>
  <c r="C66" i="29" s="1"/>
  <c r="B24" i="29"/>
  <c r="B66" i="29" s="1"/>
  <c r="M24" i="28"/>
  <c r="M66" i="28" s="1"/>
  <c r="L24" i="28"/>
  <c r="K24" i="28"/>
  <c r="K66" i="28" s="1"/>
  <c r="J24" i="28"/>
  <c r="J52" i="28" s="1"/>
  <c r="I24" i="28"/>
  <c r="I66" i="28" s="1"/>
  <c r="H24" i="28"/>
  <c r="H66" i="28" s="1"/>
  <c r="G24" i="28"/>
  <c r="G66" i="28" s="1"/>
  <c r="F24" i="28"/>
  <c r="F66" i="28" s="1"/>
  <c r="E24" i="28"/>
  <c r="E66" i="28" s="1"/>
  <c r="D24" i="28"/>
  <c r="D66" i="28" s="1"/>
  <c r="C24" i="28"/>
  <c r="C66" i="28" s="1"/>
  <c r="B24" i="28"/>
  <c r="B66" i="28" s="1"/>
  <c r="M24" i="27"/>
  <c r="M66" i="27" s="1"/>
  <c r="L24" i="27"/>
  <c r="L66" i="27" s="1"/>
  <c r="K24" i="27"/>
  <c r="K66" i="27" s="1"/>
  <c r="J24" i="27"/>
  <c r="J66" i="27" s="1"/>
  <c r="I24" i="27"/>
  <c r="I66" i="27" s="1"/>
  <c r="H24" i="27"/>
  <c r="H66" i="27" s="1"/>
  <c r="G24" i="27"/>
  <c r="G66" i="27" s="1"/>
  <c r="F24" i="27"/>
  <c r="F66" i="27" s="1"/>
  <c r="E24" i="27"/>
  <c r="E66" i="27" s="1"/>
  <c r="D24" i="27"/>
  <c r="D66" i="27" s="1"/>
  <c r="C24" i="27"/>
  <c r="C66" i="27" s="1"/>
  <c r="B24" i="27"/>
  <c r="B66" i="27" s="1"/>
  <c r="M24" i="26"/>
  <c r="M66" i="26" s="1"/>
  <c r="L24" i="26"/>
  <c r="L66" i="26" s="1"/>
  <c r="K24" i="26"/>
  <c r="K66" i="26" s="1"/>
  <c r="J24" i="26"/>
  <c r="J66" i="26" s="1"/>
  <c r="I24" i="26"/>
  <c r="I66" i="26" s="1"/>
  <c r="H24" i="26"/>
  <c r="H66" i="26" s="1"/>
  <c r="G24" i="26"/>
  <c r="G66" i="26" s="1"/>
  <c r="F24" i="26"/>
  <c r="F66" i="26" s="1"/>
  <c r="E24" i="26"/>
  <c r="E66" i="26" s="1"/>
  <c r="D24" i="26"/>
  <c r="D66" i="26" s="1"/>
  <c r="C24" i="26"/>
  <c r="C66" i="26" s="1"/>
  <c r="B24" i="26"/>
  <c r="B52" i="26" s="1"/>
  <c r="M24" i="25"/>
  <c r="M66" i="25" s="1"/>
  <c r="L24" i="25"/>
  <c r="L66" i="25" s="1"/>
  <c r="K24" i="25"/>
  <c r="K66" i="25" s="1"/>
  <c r="J24" i="25"/>
  <c r="I24" i="25"/>
  <c r="I66" i="25" s="1"/>
  <c r="H24" i="25"/>
  <c r="H66" i="25" s="1"/>
  <c r="G24" i="25"/>
  <c r="G66" i="25" s="1"/>
  <c r="F24" i="25"/>
  <c r="F66" i="25" s="1"/>
  <c r="E24" i="25"/>
  <c r="E66" i="25" s="1"/>
  <c r="D24" i="25"/>
  <c r="D66" i="25" s="1"/>
  <c r="C24" i="25"/>
  <c r="C66" i="25" s="1"/>
  <c r="B24" i="25"/>
  <c r="M24" i="24"/>
  <c r="M66" i="24" s="1"/>
  <c r="L24" i="24"/>
  <c r="L66" i="24" s="1"/>
  <c r="K24" i="24"/>
  <c r="K66" i="24" s="1"/>
  <c r="J24" i="24"/>
  <c r="J52" i="24" s="1"/>
  <c r="I24" i="24"/>
  <c r="I66" i="24" s="1"/>
  <c r="H24" i="24"/>
  <c r="H66" i="24" s="1"/>
  <c r="G24" i="24"/>
  <c r="G66" i="24" s="1"/>
  <c r="F24" i="24"/>
  <c r="F66" i="24" s="1"/>
  <c r="E24" i="24"/>
  <c r="E66" i="24" s="1"/>
  <c r="D24" i="24"/>
  <c r="D66" i="24" s="1"/>
  <c r="C24" i="24"/>
  <c r="C66" i="24" s="1"/>
  <c r="B24" i="24"/>
  <c r="B38" i="24" s="1"/>
  <c r="M24" i="23"/>
  <c r="M66" i="23" s="1"/>
  <c r="L24" i="23"/>
  <c r="L66" i="23" s="1"/>
  <c r="K24" i="23"/>
  <c r="K66" i="23" s="1"/>
  <c r="J24" i="23"/>
  <c r="J52" i="23" s="1"/>
  <c r="I24" i="23"/>
  <c r="I66" i="23" s="1"/>
  <c r="H24" i="23"/>
  <c r="G24" i="23"/>
  <c r="G66" i="23" s="1"/>
  <c r="F24" i="23"/>
  <c r="F66" i="23" s="1"/>
  <c r="E24" i="23"/>
  <c r="E66" i="23" s="1"/>
  <c r="D24" i="23"/>
  <c r="D66" i="23" s="1"/>
  <c r="C24" i="23"/>
  <c r="C66" i="23" s="1"/>
  <c r="B24" i="23"/>
  <c r="B38" i="23" s="1"/>
  <c r="M24" i="22"/>
  <c r="M66" i="22" s="1"/>
  <c r="L24" i="22"/>
  <c r="K24" i="22"/>
  <c r="K66" i="22" s="1"/>
  <c r="J24" i="22"/>
  <c r="I24" i="22"/>
  <c r="I66" i="22" s="1"/>
  <c r="H24" i="22"/>
  <c r="H66" i="22" s="1"/>
  <c r="G24" i="22"/>
  <c r="G66" i="22" s="1"/>
  <c r="F24" i="22"/>
  <c r="F66" i="22" s="1"/>
  <c r="E24" i="22"/>
  <c r="E66" i="22" s="1"/>
  <c r="D24" i="22"/>
  <c r="D38" i="22" s="1"/>
  <c r="C24" i="22"/>
  <c r="C66" i="22" s="1"/>
  <c r="B24" i="22"/>
  <c r="M24" i="21"/>
  <c r="M66" i="21" s="1"/>
  <c r="L24" i="21"/>
  <c r="L66" i="21" s="1"/>
  <c r="K24" i="21"/>
  <c r="K66" i="21" s="1"/>
  <c r="J24" i="21"/>
  <c r="J66" i="21" s="1"/>
  <c r="I24" i="21"/>
  <c r="I66" i="21" s="1"/>
  <c r="H24" i="21"/>
  <c r="H66" i="21" s="1"/>
  <c r="G24" i="21"/>
  <c r="G66" i="21" s="1"/>
  <c r="F24" i="21"/>
  <c r="F66" i="21" s="1"/>
  <c r="E24" i="21"/>
  <c r="E66" i="21" s="1"/>
  <c r="D24" i="21"/>
  <c r="D66" i="21" s="1"/>
  <c r="C24" i="21"/>
  <c r="C66" i="21" s="1"/>
  <c r="B24" i="21"/>
  <c r="B66" i="21" s="1"/>
  <c r="M24" i="20"/>
  <c r="M66" i="20" s="1"/>
  <c r="L24" i="20"/>
  <c r="L66" i="20" s="1"/>
  <c r="K24" i="20"/>
  <c r="K66" i="20" s="1"/>
  <c r="J24" i="20"/>
  <c r="I24" i="20"/>
  <c r="I66" i="20" s="1"/>
  <c r="H24" i="20"/>
  <c r="H66" i="20" s="1"/>
  <c r="G24" i="20"/>
  <c r="G66" i="20" s="1"/>
  <c r="F24" i="20"/>
  <c r="F66" i="20" s="1"/>
  <c r="E24" i="20"/>
  <c r="E66" i="20" s="1"/>
  <c r="D24" i="20"/>
  <c r="D66" i="20" s="1"/>
  <c r="C24" i="20"/>
  <c r="C66" i="20" s="1"/>
  <c r="B24" i="20"/>
  <c r="M24" i="19"/>
  <c r="M66" i="19" s="1"/>
  <c r="L24" i="19"/>
  <c r="L66" i="19" s="1"/>
  <c r="K24" i="19"/>
  <c r="K38" i="19" s="1"/>
  <c r="J24" i="19"/>
  <c r="I24" i="19"/>
  <c r="I66" i="19" s="1"/>
  <c r="H24" i="19"/>
  <c r="H66" i="19" s="1"/>
  <c r="G24" i="19"/>
  <c r="G66" i="19" s="1"/>
  <c r="F24" i="19"/>
  <c r="F66" i="19" s="1"/>
  <c r="E24" i="19"/>
  <c r="E66" i="19" s="1"/>
  <c r="D24" i="19"/>
  <c r="D66" i="19" s="1"/>
  <c r="C24" i="19"/>
  <c r="C52" i="19" s="1"/>
  <c r="B24" i="19"/>
  <c r="B52" i="19" s="1"/>
  <c r="M24" i="18"/>
  <c r="M66" i="18" s="1"/>
  <c r="L24" i="18"/>
  <c r="L66" i="18" s="1"/>
  <c r="K24" i="18"/>
  <c r="K66" i="18" s="1"/>
  <c r="J24" i="18"/>
  <c r="I24" i="18"/>
  <c r="I66" i="18" s="1"/>
  <c r="H24" i="18"/>
  <c r="H66" i="18" s="1"/>
  <c r="G24" i="18"/>
  <c r="G66" i="18" s="1"/>
  <c r="F24" i="18"/>
  <c r="E24" i="18"/>
  <c r="E66" i="18" s="1"/>
  <c r="D24" i="18"/>
  <c r="D66" i="18" s="1"/>
  <c r="C24" i="18"/>
  <c r="C66" i="18" s="1"/>
  <c r="B24" i="18"/>
  <c r="M24" i="17"/>
  <c r="M66" i="17" s="1"/>
  <c r="L24" i="17"/>
  <c r="L66" i="17" s="1"/>
  <c r="K24" i="17"/>
  <c r="K66" i="17" s="1"/>
  <c r="J24" i="17"/>
  <c r="J52" i="17" s="1"/>
  <c r="I24" i="17"/>
  <c r="I66" i="17" s="1"/>
  <c r="H24" i="17"/>
  <c r="H66" i="17" s="1"/>
  <c r="G24" i="17"/>
  <c r="G66" i="17" s="1"/>
  <c r="F24" i="17"/>
  <c r="F66" i="17" s="1"/>
  <c r="E24" i="17"/>
  <c r="E66" i="17" s="1"/>
  <c r="D24" i="17"/>
  <c r="D66" i="17" s="1"/>
  <c r="C24" i="17"/>
  <c r="C66" i="17" s="1"/>
  <c r="B24" i="17"/>
  <c r="B66" i="17" s="1"/>
  <c r="M24" i="16"/>
  <c r="M66" i="16" s="1"/>
  <c r="L24" i="16"/>
  <c r="L66" i="16" s="1"/>
  <c r="K24" i="16"/>
  <c r="K66" i="16" s="1"/>
  <c r="J24" i="16"/>
  <c r="I24" i="16"/>
  <c r="I66" i="16" s="1"/>
  <c r="H24" i="16"/>
  <c r="G24" i="16"/>
  <c r="G66" i="16" s="1"/>
  <c r="F24" i="16"/>
  <c r="F66" i="16" s="1"/>
  <c r="E24" i="16"/>
  <c r="E66" i="16" s="1"/>
  <c r="D24" i="16"/>
  <c r="D66" i="16" s="1"/>
  <c r="C24" i="16"/>
  <c r="C66" i="16" s="1"/>
  <c r="B24" i="16"/>
  <c r="B66" i="16" s="1"/>
  <c r="M24" i="15"/>
  <c r="L24" i="15"/>
  <c r="K24" i="15"/>
  <c r="K66" i="15" s="1"/>
  <c r="J24" i="15"/>
  <c r="J66" i="15" s="1"/>
  <c r="I24" i="15"/>
  <c r="I66" i="15" s="1"/>
  <c r="H24" i="15"/>
  <c r="H66" i="15" s="1"/>
  <c r="G24" i="15"/>
  <c r="G66" i="15" s="1"/>
  <c r="F24" i="15"/>
  <c r="F66" i="15" s="1"/>
  <c r="E24" i="15"/>
  <c r="E66" i="15" s="1"/>
  <c r="D24" i="15"/>
  <c r="D66" i="15" s="1"/>
  <c r="C24" i="15"/>
  <c r="C66" i="15" s="1"/>
  <c r="B24" i="15"/>
  <c r="B66" i="15" s="1"/>
  <c r="M24" i="14"/>
  <c r="L24" i="14"/>
  <c r="L66" i="14" s="1"/>
  <c r="K24" i="14"/>
  <c r="K66" i="14" s="1"/>
  <c r="J24" i="14"/>
  <c r="J52" i="14" s="1"/>
  <c r="I24" i="14"/>
  <c r="I66" i="14" s="1"/>
  <c r="H24" i="14"/>
  <c r="H66" i="14" s="1"/>
  <c r="G24" i="14"/>
  <c r="G66" i="14" s="1"/>
  <c r="F24" i="14"/>
  <c r="F66" i="14" s="1"/>
  <c r="E24" i="14"/>
  <c r="E66" i="14" s="1"/>
  <c r="D24" i="14"/>
  <c r="D66" i="14" s="1"/>
  <c r="C24" i="14"/>
  <c r="C66" i="14" s="1"/>
  <c r="B24" i="14"/>
  <c r="B66" i="14" s="1"/>
  <c r="M24" i="13"/>
  <c r="M66" i="13" s="1"/>
  <c r="L24" i="13"/>
  <c r="L66" i="13" s="1"/>
  <c r="K24" i="13"/>
  <c r="K66" i="13" s="1"/>
  <c r="J24" i="13"/>
  <c r="J66" i="13" s="1"/>
  <c r="I24" i="13"/>
  <c r="I66" i="13" s="1"/>
  <c r="H24" i="13"/>
  <c r="H66" i="13" s="1"/>
  <c r="G24" i="13"/>
  <c r="G66" i="13" s="1"/>
  <c r="F24" i="13"/>
  <c r="F66" i="13" s="1"/>
  <c r="E24" i="13"/>
  <c r="E66" i="13" s="1"/>
  <c r="D24" i="13"/>
  <c r="D66" i="13" s="1"/>
  <c r="C24" i="13"/>
  <c r="C66" i="13" s="1"/>
  <c r="B24" i="13"/>
  <c r="B66" i="13" s="1"/>
  <c r="M24" i="12"/>
  <c r="L24" i="12"/>
  <c r="L66" i="12" s="1"/>
  <c r="K24" i="12"/>
  <c r="K66" i="12" s="1"/>
  <c r="J24" i="12"/>
  <c r="J52" i="12" s="1"/>
  <c r="I24" i="12"/>
  <c r="I66" i="12" s="1"/>
  <c r="H24" i="12"/>
  <c r="H66" i="12" s="1"/>
  <c r="G24" i="12"/>
  <c r="G66" i="12" s="1"/>
  <c r="F24" i="12"/>
  <c r="F66" i="12" s="1"/>
  <c r="E24" i="12"/>
  <c r="E66" i="12" s="1"/>
  <c r="D24" i="12"/>
  <c r="D66" i="12" s="1"/>
  <c r="C24" i="12"/>
  <c r="C66" i="12" s="1"/>
  <c r="B24" i="12"/>
  <c r="B52" i="12" s="1"/>
  <c r="M24" i="11"/>
  <c r="M66" i="11" s="1"/>
  <c r="L24" i="11"/>
  <c r="L66" i="11" s="1"/>
  <c r="K24" i="11"/>
  <c r="K66" i="11" s="1"/>
  <c r="J24" i="11"/>
  <c r="J52" i="11" s="1"/>
  <c r="I24" i="11"/>
  <c r="I66" i="11" s="1"/>
  <c r="H24" i="11"/>
  <c r="H66" i="11" s="1"/>
  <c r="G24" i="11"/>
  <c r="G66" i="11" s="1"/>
  <c r="F24" i="11"/>
  <c r="F66" i="11" s="1"/>
  <c r="E24" i="11"/>
  <c r="E66" i="11" s="1"/>
  <c r="D24" i="11"/>
  <c r="D66" i="11" s="1"/>
  <c r="C24" i="11"/>
  <c r="C66" i="11" s="1"/>
  <c r="B24" i="11"/>
  <c r="B52" i="11" s="1"/>
  <c r="M24" i="10"/>
  <c r="M66" i="10" s="1"/>
  <c r="L24" i="10"/>
  <c r="L66" i="10" s="1"/>
  <c r="K24" i="10"/>
  <c r="K66" i="10" s="1"/>
  <c r="J24" i="10"/>
  <c r="J38" i="10" s="1"/>
  <c r="I24" i="10"/>
  <c r="I66" i="10" s="1"/>
  <c r="H24" i="10"/>
  <c r="H66" i="10" s="1"/>
  <c r="G24" i="10"/>
  <c r="G66" i="10" s="1"/>
  <c r="F24" i="10"/>
  <c r="F66" i="10" s="1"/>
  <c r="E24" i="10"/>
  <c r="E66" i="10" s="1"/>
  <c r="D24" i="10"/>
  <c r="D66" i="10" s="1"/>
  <c r="C24" i="10"/>
  <c r="C66" i="10" s="1"/>
  <c r="B24" i="10"/>
  <c r="B52" i="10" s="1"/>
  <c r="M24" i="9"/>
  <c r="M66" i="9" s="1"/>
  <c r="L24" i="9"/>
  <c r="L66" i="9" s="1"/>
  <c r="K24" i="9"/>
  <c r="K66" i="9" s="1"/>
  <c r="J24" i="9"/>
  <c r="J52" i="9" s="1"/>
  <c r="I24" i="9"/>
  <c r="I66" i="9" s="1"/>
  <c r="H24" i="9"/>
  <c r="H66" i="9" s="1"/>
  <c r="G24" i="9"/>
  <c r="G66" i="9" s="1"/>
  <c r="F24" i="9"/>
  <c r="F66" i="9" s="1"/>
  <c r="E24" i="9"/>
  <c r="E66" i="9" s="1"/>
  <c r="D24" i="9"/>
  <c r="D66" i="9" s="1"/>
  <c r="C24" i="9"/>
  <c r="C66" i="9" s="1"/>
  <c r="B24" i="9"/>
  <c r="B52" i="9" s="1"/>
  <c r="M24" i="8"/>
  <c r="M66" i="8" s="1"/>
  <c r="L24" i="8"/>
  <c r="L66" i="8" s="1"/>
  <c r="K24" i="8"/>
  <c r="K66" i="8" s="1"/>
  <c r="J24" i="8"/>
  <c r="J52" i="8" s="1"/>
  <c r="I24" i="8"/>
  <c r="I66" i="8" s="1"/>
  <c r="H24" i="8"/>
  <c r="H66" i="8" s="1"/>
  <c r="G24" i="8"/>
  <c r="G66" i="8" s="1"/>
  <c r="F24" i="8"/>
  <c r="F66" i="8" s="1"/>
  <c r="E24" i="8"/>
  <c r="E66" i="8" s="1"/>
  <c r="D24" i="8"/>
  <c r="D66" i="8" s="1"/>
  <c r="C24" i="8"/>
  <c r="C66" i="8" s="1"/>
  <c r="B24" i="8"/>
  <c r="B52" i="8" s="1"/>
  <c r="M24" i="7"/>
  <c r="M66" i="7" s="1"/>
  <c r="L24" i="7"/>
  <c r="L66" i="7" s="1"/>
  <c r="K24" i="7"/>
  <c r="K66" i="7" s="1"/>
  <c r="J24" i="7"/>
  <c r="I24" i="7"/>
  <c r="I66" i="7" s="1"/>
  <c r="H24" i="7"/>
  <c r="H66" i="7" s="1"/>
  <c r="G24" i="7"/>
  <c r="G66" i="7" s="1"/>
  <c r="F24" i="7"/>
  <c r="F66" i="7" s="1"/>
  <c r="E24" i="7"/>
  <c r="E66" i="7" s="1"/>
  <c r="D24" i="7"/>
  <c r="D66" i="7" s="1"/>
  <c r="C24" i="7"/>
  <c r="C66" i="7" s="1"/>
  <c r="B24" i="7"/>
  <c r="M24" i="6"/>
  <c r="M66" i="6" s="1"/>
  <c r="L24" i="6"/>
  <c r="L66" i="6" s="1"/>
  <c r="K24" i="6"/>
  <c r="K66" i="6" s="1"/>
  <c r="J24" i="6"/>
  <c r="J52" i="6" s="1"/>
  <c r="I24" i="6"/>
  <c r="I66" i="6" s="1"/>
  <c r="H24" i="6"/>
  <c r="H66" i="6" s="1"/>
  <c r="G24" i="6"/>
  <c r="G66" i="6" s="1"/>
  <c r="F24" i="6"/>
  <c r="F66" i="6" s="1"/>
  <c r="E24" i="6"/>
  <c r="E66" i="6" s="1"/>
  <c r="D24" i="6"/>
  <c r="D66" i="6" s="1"/>
  <c r="C24" i="6"/>
  <c r="C66" i="6" s="1"/>
  <c r="B24" i="6"/>
  <c r="B52" i="6" s="1"/>
  <c r="M24" i="5"/>
  <c r="M66" i="5" s="1"/>
  <c r="L24" i="5"/>
  <c r="L66" i="5" s="1"/>
  <c r="K24" i="5"/>
  <c r="K66" i="5" s="1"/>
  <c r="J24" i="5"/>
  <c r="J66" i="5" s="1"/>
  <c r="I24" i="5"/>
  <c r="I66" i="5" s="1"/>
  <c r="H24" i="5"/>
  <c r="H66" i="5" s="1"/>
  <c r="G24" i="5"/>
  <c r="G66" i="5" s="1"/>
  <c r="F24" i="5"/>
  <c r="F66" i="5" s="1"/>
  <c r="E24" i="5"/>
  <c r="E66" i="5" s="1"/>
  <c r="D24" i="5"/>
  <c r="D66" i="5" s="1"/>
  <c r="C24" i="5"/>
  <c r="C66" i="5" s="1"/>
  <c r="B24" i="5"/>
  <c r="B52" i="5" s="1"/>
  <c r="M24" i="4"/>
  <c r="M66" i="4" s="1"/>
  <c r="L24" i="4"/>
  <c r="L66" i="4" s="1"/>
  <c r="K24" i="4"/>
  <c r="K66" i="4" s="1"/>
  <c r="J24" i="4"/>
  <c r="J38" i="4" s="1"/>
  <c r="I24" i="4"/>
  <c r="I66" i="4" s="1"/>
  <c r="H24" i="4"/>
  <c r="H66" i="4" s="1"/>
  <c r="G24" i="4"/>
  <c r="G66" i="4" s="1"/>
  <c r="F24" i="4"/>
  <c r="F66" i="4" s="1"/>
  <c r="E24" i="4"/>
  <c r="E66" i="4" s="1"/>
  <c r="D24" i="4"/>
  <c r="D66" i="4" s="1"/>
  <c r="C24" i="4"/>
  <c r="C66" i="4" s="1"/>
  <c r="B24" i="4"/>
  <c r="M24" i="3"/>
  <c r="M66" i="3" s="1"/>
  <c r="L24" i="3"/>
  <c r="L66" i="3" s="1"/>
  <c r="K24" i="3"/>
  <c r="K66" i="3" s="1"/>
  <c r="J24" i="3"/>
  <c r="J52" i="3" s="1"/>
  <c r="I24" i="3"/>
  <c r="I66" i="3" s="1"/>
  <c r="H24" i="3"/>
  <c r="H66" i="3" s="1"/>
  <c r="G24" i="3"/>
  <c r="G66" i="3" s="1"/>
  <c r="F24" i="3"/>
  <c r="F66" i="3" s="1"/>
  <c r="E24" i="3"/>
  <c r="E66" i="3" s="1"/>
  <c r="D24" i="3"/>
  <c r="D66" i="3" s="1"/>
  <c r="C24" i="3"/>
  <c r="C66" i="3" s="1"/>
  <c r="B24" i="3"/>
  <c r="B38" i="3" s="1"/>
  <c r="M24" i="2"/>
  <c r="M66" i="2" s="1"/>
  <c r="L24" i="2"/>
  <c r="L66" i="2" s="1"/>
  <c r="K24" i="2"/>
  <c r="K66" i="2" s="1"/>
  <c r="J24" i="2"/>
  <c r="I24" i="2"/>
  <c r="I66" i="2" s="1"/>
  <c r="H24" i="2"/>
  <c r="H66" i="2" s="1"/>
  <c r="G24" i="2"/>
  <c r="G66" i="2" s="1"/>
  <c r="F24" i="2"/>
  <c r="F66" i="2" s="1"/>
  <c r="E24" i="2"/>
  <c r="E66" i="2" s="1"/>
  <c r="D24" i="2"/>
  <c r="D66" i="2" s="1"/>
  <c r="C24" i="2"/>
  <c r="C66" i="2" s="1"/>
  <c r="B24" i="2"/>
  <c r="M24" i="1"/>
  <c r="M66" i="1" s="1"/>
  <c r="L24" i="1"/>
  <c r="L66" i="1" s="1"/>
  <c r="K24" i="1"/>
  <c r="K38" i="1" s="1"/>
  <c r="J24" i="1"/>
  <c r="J38" i="1" s="1"/>
  <c r="I24" i="1"/>
  <c r="I52" i="1" s="1"/>
  <c r="H24" i="1"/>
  <c r="H52" i="1" s="1"/>
  <c r="G24" i="1"/>
  <c r="G66" i="1" s="1"/>
  <c r="F24" i="1"/>
  <c r="F52" i="1" s="1"/>
  <c r="E24" i="1"/>
  <c r="E52" i="1" s="1"/>
  <c r="D24" i="1"/>
  <c r="D52" i="1" s="1"/>
  <c r="C24" i="1"/>
  <c r="C52" i="1" s="1"/>
  <c r="B24" i="1"/>
  <c r="B66" i="1" s="1"/>
  <c r="M27" i="40"/>
  <c r="M69" i="40" s="1"/>
  <c r="L27" i="40"/>
  <c r="L69" i="40" s="1"/>
  <c r="K27" i="40"/>
  <c r="K69" i="40" s="1"/>
  <c r="J27" i="40"/>
  <c r="J69" i="40" s="1"/>
  <c r="I27" i="40"/>
  <c r="I69" i="40" s="1"/>
  <c r="H27" i="40"/>
  <c r="H69" i="40" s="1"/>
  <c r="G27" i="40"/>
  <c r="G55" i="40" s="1"/>
  <c r="F27" i="40"/>
  <c r="E27" i="40"/>
  <c r="E69" i="40" s="1"/>
  <c r="D27" i="40"/>
  <c r="D69" i="40" s="1"/>
  <c r="C27" i="40"/>
  <c r="C69" i="40" s="1"/>
  <c r="B27" i="40"/>
  <c r="B69" i="40" s="1"/>
  <c r="M26" i="40"/>
  <c r="M68" i="40" s="1"/>
  <c r="L26" i="40"/>
  <c r="L68" i="40" s="1"/>
  <c r="K26" i="40"/>
  <c r="K68" i="40" s="1"/>
  <c r="J26" i="40"/>
  <c r="I26" i="40"/>
  <c r="I68" i="40" s="1"/>
  <c r="H26" i="40"/>
  <c r="H68" i="40" s="1"/>
  <c r="G26" i="40"/>
  <c r="G68" i="40" s="1"/>
  <c r="F26" i="40"/>
  <c r="F68" i="40" s="1"/>
  <c r="E26" i="40"/>
  <c r="E68" i="40" s="1"/>
  <c r="D26" i="40"/>
  <c r="D68" i="40" s="1"/>
  <c r="C26" i="40"/>
  <c r="C54" i="40" s="1"/>
  <c r="B26" i="40"/>
  <c r="M25" i="40"/>
  <c r="M67" i="40" s="1"/>
  <c r="L25" i="40"/>
  <c r="L67" i="40" s="1"/>
  <c r="K25" i="40"/>
  <c r="K67" i="40" s="1"/>
  <c r="J25" i="40"/>
  <c r="J67" i="40" s="1"/>
  <c r="I25" i="40"/>
  <c r="I67" i="40" s="1"/>
  <c r="H25" i="40"/>
  <c r="H67" i="40" s="1"/>
  <c r="G25" i="40"/>
  <c r="G39" i="40" s="1"/>
  <c r="F25" i="40"/>
  <c r="E25" i="40"/>
  <c r="E67" i="40" s="1"/>
  <c r="D25" i="40"/>
  <c r="D67" i="40" s="1"/>
  <c r="C25" i="40"/>
  <c r="C67" i="40" s="1"/>
  <c r="B25" i="40"/>
  <c r="B67" i="40" s="1"/>
  <c r="M23" i="40"/>
  <c r="M65" i="40" s="1"/>
  <c r="L23" i="40"/>
  <c r="L65" i="40" s="1"/>
  <c r="K23" i="40"/>
  <c r="K65" i="40" s="1"/>
  <c r="J23" i="40"/>
  <c r="J65" i="40" s="1"/>
  <c r="I23" i="40"/>
  <c r="I65" i="40" s="1"/>
  <c r="H23" i="40"/>
  <c r="H65" i="40" s="1"/>
  <c r="G23" i="40"/>
  <c r="G65" i="40" s="1"/>
  <c r="F23" i="40"/>
  <c r="E23" i="40"/>
  <c r="E65" i="40" s="1"/>
  <c r="D23" i="40"/>
  <c r="D65" i="40" s="1"/>
  <c r="C23" i="40"/>
  <c r="C65" i="40" s="1"/>
  <c r="B23" i="40"/>
  <c r="B65" i="40" s="1"/>
  <c r="M22" i="40"/>
  <c r="M64" i="40" s="1"/>
  <c r="L22" i="40"/>
  <c r="L64" i="40" s="1"/>
  <c r="K22" i="40"/>
  <c r="K64" i="40" s="1"/>
  <c r="J22" i="40"/>
  <c r="I22" i="40"/>
  <c r="I64" i="40" s="1"/>
  <c r="H22" i="40"/>
  <c r="H64" i="40" s="1"/>
  <c r="G22" i="40"/>
  <c r="G64" i="40" s="1"/>
  <c r="F22" i="40"/>
  <c r="F64" i="40" s="1"/>
  <c r="E22" i="40"/>
  <c r="E64" i="40" s="1"/>
  <c r="D22" i="40"/>
  <c r="D64" i="40" s="1"/>
  <c r="C22" i="40"/>
  <c r="C64" i="40" s="1"/>
  <c r="B22" i="40"/>
  <c r="M21" i="40"/>
  <c r="M63" i="40" s="1"/>
  <c r="L21" i="40"/>
  <c r="L63" i="40" s="1"/>
  <c r="K21" i="40"/>
  <c r="K63" i="40" s="1"/>
  <c r="J21" i="40"/>
  <c r="J63" i="40" s="1"/>
  <c r="I21" i="40"/>
  <c r="I63" i="40" s="1"/>
  <c r="H21" i="40"/>
  <c r="H63" i="40" s="1"/>
  <c r="G21" i="40"/>
  <c r="G63" i="40" s="1"/>
  <c r="F21" i="40"/>
  <c r="E21" i="40"/>
  <c r="E63" i="40" s="1"/>
  <c r="D21" i="40"/>
  <c r="D63" i="40" s="1"/>
  <c r="C21" i="40"/>
  <c r="C63" i="40" s="1"/>
  <c r="B21" i="40"/>
  <c r="B63" i="40" s="1"/>
  <c r="M20" i="40"/>
  <c r="L20" i="40"/>
  <c r="K20" i="40"/>
  <c r="J20" i="40"/>
  <c r="I20" i="40"/>
  <c r="H20" i="40"/>
  <c r="G20" i="40"/>
  <c r="F20" i="40"/>
  <c r="E20" i="40"/>
  <c r="D20" i="40"/>
  <c r="C20" i="40"/>
  <c r="C48" i="40" s="1"/>
  <c r="B20" i="40"/>
  <c r="B34" i="40" s="1"/>
  <c r="M19" i="40"/>
  <c r="M61" i="40" s="1"/>
  <c r="L19" i="40"/>
  <c r="L61" i="40" s="1"/>
  <c r="K19" i="40"/>
  <c r="K61" i="40" s="1"/>
  <c r="J19" i="40"/>
  <c r="J61" i="40" s="1"/>
  <c r="I19" i="40"/>
  <c r="I61" i="40" s="1"/>
  <c r="H19" i="40"/>
  <c r="H61" i="40" s="1"/>
  <c r="G19" i="40"/>
  <c r="G61" i="40" s="1"/>
  <c r="F19" i="40"/>
  <c r="E19" i="40"/>
  <c r="E61" i="40" s="1"/>
  <c r="D19" i="40"/>
  <c r="D61" i="40" s="1"/>
  <c r="C19" i="40"/>
  <c r="C61" i="40" s="1"/>
  <c r="B19" i="40"/>
  <c r="B61" i="40" s="1"/>
  <c r="M18" i="40"/>
  <c r="M60" i="40" s="1"/>
  <c r="L18" i="40"/>
  <c r="L60" i="40" s="1"/>
  <c r="K18" i="40"/>
  <c r="K60" i="40" s="1"/>
  <c r="J18" i="40"/>
  <c r="I18" i="40"/>
  <c r="I60" i="40" s="1"/>
  <c r="H18" i="40"/>
  <c r="H60" i="40" s="1"/>
  <c r="G18" i="40"/>
  <c r="G60" i="40" s="1"/>
  <c r="F18" i="40"/>
  <c r="F60" i="40" s="1"/>
  <c r="E18" i="40"/>
  <c r="E60" i="40" s="1"/>
  <c r="D18" i="40"/>
  <c r="D60" i="40" s="1"/>
  <c r="C18" i="40"/>
  <c r="C60" i="40" s="1"/>
  <c r="B18" i="40"/>
  <c r="M17" i="40"/>
  <c r="M59" i="40" s="1"/>
  <c r="L17" i="40"/>
  <c r="L59" i="40" s="1"/>
  <c r="K17" i="40"/>
  <c r="K59" i="40" s="1"/>
  <c r="J17" i="40"/>
  <c r="J59" i="40" s="1"/>
  <c r="I17" i="40"/>
  <c r="I59" i="40" s="1"/>
  <c r="H17" i="40"/>
  <c r="H59" i="40" s="1"/>
  <c r="G17" i="40"/>
  <c r="G45" i="40" s="1"/>
  <c r="F17" i="40"/>
  <c r="E17" i="40"/>
  <c r="E59" i="40" s="1"/>
  <c r="D17" i="40"/>
  <c r="D59" i="40" s="1"/>
  <c r="C17" i="40"/>
  <c r="C59" i="40" s="1"/>
  <c r="B17" i="40"/>
  <c r="B59" i="40" s="1"/>
  <c r="M16" i="40"/>
  <c r="M58" i="40" s="1"/>
  <c r="L16" i="40"/>
  <c r="L58" i="40" s="1"/>
  <c r="K16" i="40"/>
  <c r="K58" i="40" s="1"/>
  <c r="J16" i="40"/>
  <c r="I16" i="40"/>
  <c r="I58" i="40" s="1"/>
  <c r="H16" i="40"/>
  <c r="H58" i="40" s="1"/>
  <c r="G16" i="40"/>
  <c r="G58" i="40" s="1"/>
  <c r="F16" i="40"/>
  <c r="F58" i="40" s="1"/>
  <c r="E16" i="40"/>
  <c r="E58" i="40" s="1"/>
  <c r="D16" i="40"/>
  <c r="D58" i="40" s="1"/>
  <c r="C16" i="40"/>
  <c r="C44" i="40" s="1"/>
  <c r="B16" i="40"/>
  <c r="M27" i="39"/>
  <c r="M69" i="39" s="1"/>
  <c r="L27" i="39"/>
  <c r="L69" i="39" s="1"/>
  <c r="K27" i="39"/>
  <c r="K69" i="39" s="1"/>
  <c r="J27" i="39"/>
  <c r="J69" i="39" s="1"/>
  <c r="I27" i="39"/>
  <c r="I69" i="39" s="1"/>
  <c r="H27" i="39"/>
  <c r="H69" i="39" s="1"/>
  <c r="G27" i="39"/>
  <c r="G69" i="39" s="1"/>
  <c r="F27" i="39"/>
  <c r="F69" i="39" s="1"/>
  <c r="E27" i="39"/>
  <c r="E69" i="39" s="1"/>
  <c r="D27" i="39"/>
  <c r="D69" i="39" s="1"/>
  <c r="C27" i="39"/>
  <c r="C69" i="39" s="1"/>
  <c r="B27" i="39"/>
  <c r="B69" i="39" s="1"/>
  <c r="M26" i="39"/>
  <c r="M68" i="39" s="1"/>
  <c r="L26" i="39"/>
  <c r="L68" i="39" s="1"/>
  <c r="K26" i="39"/>
  <c r="K68" i="39" s="1"/>
  <c r="J26" i="39"/>
  <c r="J40" i="39" s="1"/>
  <c r="I26" i="39"/>
  <c r="I68" i="39" s="1"/>
  <c r="H26" i="39"/>
  <c r="H68" i="39" s="1"/>
  <c r="G26" i="39"/>
  <c r="G68" i="39" s="1"/>
  <c r="F26" i="39"/>
  <c r="F68" i="39" s="1"/>
  <c r="E26" i="39"/>
  <c r="E68" i="39" s="1"/>
  <c r="D26" i="39"/>
  <c r="D68" i="39" s="1"/>
  <c r="C26" i="39"/>
  <c r="C68" i="39" s="1"/>
  <c r="B26" i="39"/>
  <c r="B68" i="39" s="1"/>
  <c r="M25" i="39"/>
  <c r="M67" i="39" s="1"/>
  <c r="L25" i="39"/>
  <c r="L67" i="39" s="1"/>
  <c r="K25" i="39"/>
  <c r="K67" i="39" s="1"/>
  <c r="J25" i="39"/>
  <c r="J67" i="39" s="1"/>
  <c r="I25" i="39"/>
  <c r="I67" i="39" s="1"/>
  <c r="H25" i="39"/>
  <c r="H67" i="39" s="1"/>
  <c r="G25" i="39"/>
  <c r="G67" i="39" s="1"/>
  <c r="F25" i="39"/>
  <c r="F67" i="39" s="1"/>
  <c r="E25" i="39"/>
  <c r="E67" i="39" s="1"/>
  <c r="D25" i="39"/>
  <c r="D67" i="39" s="1"/>
  <c r="C25" i="39"/>
  <c r="C67" i="39" s="1"/>
  <c r="B25" i="39"/>
  <c r="B67" i="39" s="1"/>
  <c r="M23" i="39"/>
  <c r="M65" i="39" s="1"/>
  <c r="L23" i="39"/>
  <c r="L65" i="39" s="1"/>
  <c r="K23" i="39"/>
  <c r="K65" i="39" s="1"/>
  <c r="J23" i="39"/>
  <c r="J65" i="39" s="1"/>
  <c r="I23" i="39"/>
  <c r="I65" i="39" s="1"/>
  <c r="H23" i="39"/>
  <c r="H65" i="39" s="1"/>
  <c r="G23" i="39"/>
  <c r="G65" i="39" s="1"/>
  <c r="F23" i="39"/>
  <c r="F65" i="39" s="1"/>
  <c r="E23" i="39"/>
  <c r="E65" i="39" s="1"/>
  <c r="D23" i="39"/>
  <c r="D65" i="39" s="1"/>
  <c r="C23" i="39"/>
  <c r="C65" i="39" s="1"/>
  <c r="B23" i="39"/>
  <c r="B65" i="39" s="1"/>
  <c r="M22" i="39"/>
  <c r="M64" i="39" s="1"/>
  <c r="L22" i="39"/>
  <c r="L64" i="39" s="1"/>
  <c r="K22" i="39"/>
  <c r="K64" i="39" s="1"/>
  <c r="J22" i="39"/>
  <c r="J50" i="39" s="1"/>
  <c r="I22" i="39"/>
  <c r="I64" i="39" s="1"/>
  <c r="H22" i="39"/>
  <c r="H64" i="39" s="1"/>
  <c r="G22" i="39"/>
  <c r="G64" i="39" s="1"/>
  <c r="F22" i="39"/>
  <c r="F64" i="39" s="1"/>
  <c r="E22" i="39"/>
  <c r="E64" i="39" s="1"/>
  <c r="D22" i="39"/>
  <c r="D64" i="39" s="1"/>
  <c r="C22" i="39"/>
  <c r="C64" i="39" s="1"/>
  <c r="B22" i="39"/>
  <c r="B64" i="39" s="1"/>
  <c r="M21" i="39"/>
  <c r="M63" i="39" s="1"/>
  <c r="L21" i="39"/>
  <c r="L63" i="39" s="1"/>
  <c r="K21" i="39"/>
  <c r="K63" i="39" s="1"/>
  <c r="J21" i="39"/>
  <c r="J63" i="39" s="1"/>
  <c r="I21" i="39"/>
  <c r="I63" i="39" s="1"/>
  <c r="H21" i="39"/>
  <c r="H63" i="39" s="1"/>
  <c r="G21" i="39"/>
  <c r="G63" i="39" s="1"/>
  <c r="F21" i="39"/>
  <c r="F49" i="39" s="1"/>
  <c r="E21" i="39"/>
  <c r="E63" i="39" s="1"/>
  <c r="D21" i="39"/>
  <c r="D63" i="39" s="1"/>
  <c r="C21" i="39"/>
  <c r="C63" i="39" s="1"/>
  <c r="B21" i="39"/>
  <c r="B63" i="39" s="1"/>
  <c r="M20" i="39"/>
  <c r="L20" i="39"/>
  <c r="K20" i="39"/>
  <c r="J20" i="39"/>
  <c r="I20" i="39"/>
  <c r="H20" i="39"/>
  <c r="H48" i="39" s="1"/>
  <c r="G20" i="39"/>
  <c r="F20" i="39"/>
  <c r="E20" i="39"/>
  <c r="D20" i="39"/>
  <c r="C20" i="39"/>
  <c r="C48" i="39" s="1"/>
  <c r="B20" i="39"/>
  <c r="B48" i="39" s="1"/>
  <c r="M19" i="39"/>
  <c r="M61" i="39" s="1"/>
  <c r="L19" i="39"/>
  <c r="L61" i="39" s="1"/>
  <c r="K19" i="39"/>
  <c r="K61" i="39" s="1"/>
  <c r="J19" i="39"/>
  <c r="J61" i="39" s="1"/>
  <c r="I19" i="39"/>
  <c r="I61" i="39" s="1"/>
  <c r="H19" i="39"/>
  <c r="H61" i="39" s="1"/>
  <c r="G19" i="39"/>
  <c r="G61" i="39" s="1"/>
  <c r="F19" i="39"/>
  <c r="F47" i="39" s="1"/>
  <c r="E19" i="39"/>
  <c r="E61" i="39" s="1"/>
  <c r="D19" i="39"/>
  <c r="D61" i="39" s="1"/>
  <c r="C19" i="39"/>
  <c r="C61" i="39" s="1"/>
  <c r="B19" i="39"/>
  <c r="B61" i="39" s="1"/>
  <c r="M18" i="39"/>
  <c r="M60" i="39" s="1"/>
  <c r="L18" i="39"/>
  <c r="L60" i="39" s="1"/>
  <c r="K18" i="39"/>
  <c r="K60" i="39" s="1"/>
  <c r="J18" i="39"/>
  <c r="J60" i="39" s="1"/>
  <c r="I18" i="39"/>
  <c r="I60" i="39" s="1"/>
  <c r="H18" i="39"/>
  <c r="H60" i="39" s="1"/>
  <c r="G18" i="39"/>
  <c r="G60" i="39" s="1"/>
  <c r="F18" i="39"/>
  <c r="F60" i="39" s="1"/>
  <c r="E18" i="39"/>
  <c r="E60" i="39" s="1"/>
  <c r="D18" i="39"/>
  <c r="D60" i="39" s="1"/>
  <c r="C18" i="39"/>
  <c r="C60" i="39" s="1"/>
  <c r="B18" i="39"/>
  <c r="B46" i="39" s="1"/>
  <c r="M17" i="39"/>
  <c r="M59" i="39" s="1"/>
  <c r="L17" i="39"/>
  <c r="L59" i="39" s="1"/>
  <c r="K17" i="39"/>
  <c r="K59" i="39" s="1"/>
  <c r="J17" i="39"/>
  <c r="J59" i="39" s="1"/>
  <c r="I17" i="39"/>
  <c r="I59" i="39" s="1"/>
  <c r="H17" i="39"/>
  <c r="H59" i="39" s="1"/>
  <c r="G17" i="39"/>
  <c r="G59" i="39" s="1"/>
  <c r="F17" i="39"/>
  <c r="F59" i="39" s="1"/>
  <c r="E17" i="39"/>
  <c r="E59" i="39" s="1"/>
  <c r="D17" i="39"/>
  <c r="D59" i="39" s="1"/>
  <c r="C17" i="39"/>
  <c r="C59" i="39" s="1"/>
  <c r="B17" i="39"/>
  <c r="B59" i="39" s="1"/>
  <c r="M16" i="39"/>
  <c r="M58" i="39" s="1"/>
  <c r="L16" i="39"/>
  <c r="L58" i="39" s="1"/>
  <c r="K16" i="39"/>
  <c r="K58" i="39" s="1"/>
  <c r="J16" i="39"/>
  <c r="J30" i="39" s="1"/>
  <c r="I16" i="39"/>
  <c r="I58" i="39" s="1"/>
  <c r="H16" i="39"/>
  <c r="H58" i="39" s="1"/>
  <c r="G16" i="39"/>
  <c r="G58" i="39" s="1"/>
  <c r="F16" i="39"/>
  <c r="F58" i="39" s="1"/>
  <c r="E16" i="39"/>
  <c r="E58" i="39" s="1"/>
  <c r="D16" i="39"/>
  <c r="D58" i="39" s="1"/>
  <c r="C16" i="39"/>
  <c r="C58" i="39" s="1"/>
  <c r="B16" i="39"/>
  <c r="B58" i="39" s="1"/>
  <c r="M27" i="38"/>
  <c r="M69" i="38" s="1"/>
  <c r="L27" i="38"/>
  <c r="L69" i="38" s="1"/>
  <c r="K27" i="38"/>
  <c r="K69" i="38" s="1"/>
  <c r="J27" i="38"/>
  <c r="J69" i="38" s="1"/>
  <c r="I27" i="38"/>
  <c r="I69" i="38" s="1"/>
  <c r="H27" i="38"/>
  <c r="H69" i="38" s="1"/>
  <c r="G27" i="38"/>
  <c r="G69" i="38" s="1"/>
  <c r="F27" i="38"/>
  <c r="F41" i="38" s="1"/>
  <c r="E27" i="38"/>
  <c r="E69" i="38" s="1"/>
  <c r="D27" i="38"/>
  <c r="D69" i="38" s="1"/>
  <c r="C27" i="38"/>
  <c r="C69" i="38" s="1"/>
  <c r="B27" i="38"/>
  <c r="B69" i="38" s="1"/>
  <c r="M26" i="38"/>
  <c r="M68" i="38" s="1"/>
  <c r="L26" i="38"/>
  <c r="L68" i="38" s="1"/>
  <c r="K26" i="38"/>
  <c r="K68" i="38" s="1"/>
  <c r="J26" i="38"/>
  <c r="J54" i="38" s="1"/>
  <c r="I26" i="38"/>
  <c r="I68" i="38" s="1"/>
  <c r="H26" i="38"/>
  <c r="H68" i="38" s="1"/>
  <c r="G26" i="38"/>
  <c r="G68" i="38" s="1"/>
  <c r="F26" i="38"/>
  <c r="F68" i="38" s="1"/>
  <c r="E26" i="38"/>
  <c r="E68" i="38" s="1"/>
  <c r="D26" i="38"/>
  <c r="D68" i="38" s="1"/>
  <c r="C26" i="38"/>
  <c r="C68" i="38" s="1"/>
  <c r="B26" i="38"/>
  <c r="B68" i="38" s="1"/>
  <c r="M25" i="38"/>
  <c r="M67" i="38" s="1"/>
  <c r="L25" i="38"/>
  <c r="L67" i="38" s="1"/>
  <c r="K25" i="38"/>
  <c r="K67" i="38" s="1"/>
  <c r="J25" i="38"/>
  <c r="J67" i="38" s="1"/>
  <c r="I25" i="38"/>
  <c r="I67" i="38" s="1"/>
  <c r="H25" i="38"/>
  <c r="H67" i="38" s="1"/>
  <c r="G25" i="38"/>
  <c r="G67" i="38" s="1"/>
  <c r="F25" i="38"/>
  <c r="F67" i="38" s="1"/>
  <c r="E25" i="38"/>
  <c r="E67" i="38" s="1"/>
  <c r="D25" i="38"/>
  <c r="D67" i="38" s="1"/>
  <c r="C25" i="38"/>
  <c r="C67" i="38" s="1"/>
  <c r="B25" i="38"/>
  <c r="B67" i="38" s="1"/>
  <c r="M23" i="38"/>
  <c r="M65" i="38" s="1"/>
  <c r="L23" i="38"/>
  <c r="L65" i="38" s="1"/>
  <c r="K23" i="38"/>
  <c r="K65" i="38" s="1"/>
  <c r="J23" i="38"/>
  <c r="J65" i="38" s="1"/>
  <c r="I23" i="38"/>
  <c r="I65" i="38" s="1"/>
  <c r="H23" i="38"/>
  <c r="H65" i="38" s="1"/>
  <c r="G23" i="38"/>
  <c r="G65" i="38" s="1"/>
  <c r="F23" i="38"/>
  <c r="F65" i="38" s="1"/>
  <c r="E23" i="38"/>
  <c r="E65" i="38" s="1"/>
  <c r="D23" i="38"/>
  <c r="D65" i="38" s="1"/>
  <c r="C23" i="38"/>
  <c r="C65" i="38" s="1"/>
  <c r="B23" i="38"/>
  <c r="B65" i="38" s="1"/>
  <c r="M22" i="38"/>
  <c r="M64" i="38" s="1"/>
  <c r="L22" i="38"/>
  <c r="L64" i="38" s="1"/>
  <c r="K22" i="38"/>
  <c r="K64" i="38" s="1"/>
  <c r="J22" i="38"/>
  <c r="J50" i="38" s="1"/>
  <c r="I22" i="38"/>
  <c r="I64" i="38" s="1"/>
  <c r="H22" i="38"/>
  <c r="H64" i="38" s="1"/>
  <c r="G22" i="38"/>
  <c r="G64" i="38" s="1"/>
  <c r="F22" i="38"/>
  <c r="F64" i="38" s="1"/>
  <c r="E22" i="38"/>
  <c r="E64" i="38" s="1"/>
  <c r="D22" i="38"/>
  <c r="D64" i="38" s="1"/>
  <c r="C22" i="38"/>
  <c r="C64" i="38" s="1"/>
  <c r="B22" i="38"/>
  <c r="B64" i="38" s="1"/>
  <c r="M21" i="38"/>
  <c r="M63" i="38" s="1"/>
  <c r="L21" i="38"/>
  <c r="L63" i="38" s="1"/>
  <c r="K21" i="38"/>
  <c r="K63" i="38" s="1"/>
  <c r="J21" i="38"/>
  <c r="J63" i="38" s="1"/>
  <c r="I21" i="38"/>
  <c r="I63" i="38" s="1"/>
  <c r="H21" i="38"/>
  <c r="H63" i="38" s="1"/>
  <c r="G21" i="38"/>
  <c r="G63" i="38" s="1"/>
  <c r="F21" i="38"/>
  <c r="F35" i="38" s="1"/>
  <c r="E21" i="38"/>
  <c r="E63" i="38" s="1"/>
  <c r="D21" i="38"/>
  <c r="D63" i="38" s="1"/>
  <c r="C21" i="38"/>
  <c r="C63" i="38" s="1"/>
  <c r="B21" i="38"/>
  <c r="B63" i="38" s="1"/>
  <c r="M20" i="38"/>
  <c r="L20" i="38"/>
  <c r="K20" i="38"/>
  <c r="J20" i="38"/>
  <c r="I20" i="38"/>
  <c r="I62" i="38" s="1"/>
  <c r="H20" i="38"/>
  <c r="G20" i="38"/>
  <c r="F20" i="38"/>
  <c r="E20" i="38"/>
  <c r="E48" i="38" s="1"/>
  <c r="D20" i="38"/>
  <c r="C20" i="38"/>
  <c r="C34" i="38" s="1"/>
  <c r="B20" i="38"/>
  <c r="B62" i="38" s="1"/>
  <c r="M19" i="38"/>
  <c r="M61" i="38" s="1"/>
  <c r="L19" i="38"/>
  <c r="L61" i="38" s="1"/>
  <c r="K19" i="38"/>
  <c r="K61" i="38" s="1"/>
  <c r="J19" i="38"/>
  <c r="J61" i="38" s="1"/>
  <c r="I19" i="38"/>
  <c r="I61" i="38" s="1"/>
  <c r="H19" i="38"/>
  <c r="H61" i="38" s="1"/>
  <c r="G19" i="38"/>
  <c r="G61" i="38" s="1"/>
  <c r="F19" i="38"/>
  <c r="F61" i="38" s="1"/>
  <c r="E19" i="38"/>
  <c r="E61" i="38" s="1"/>
  <c r="D19" i="38"/>
  <c r="D61" i="38" s="1"/>
  <c r="C19" i="38"/>
  <c r="C61" i="38" s="1"/>
  <c r="B19" i="38"/>
  <c r="B61" i="38" s="1"/>
  <c r="M18" i="38"/>
  <c r="M60" i="38" s="1"/>
  <c r="L18" i="38"/>
  <c r="L60" i="38" s="1"/>
  <c r="K18" i="38"/>
  <c r="K60" i="38" s="1"/>
  <c r="J18" i="38"/>
  <c r="J46" i="38" s="1"/>
  <c r="I18" i="38"/>
  <c r="I60" i="38" s="1"/>
  <c r="H18" i="38"/>
  <c r="H60" i="38" s="1"/>
  <c r="G18" i="38"/>
  <c r="G60" i="38" s="1"/>
  <c r="F18" i="38"/>
  <c r="F60" i="38" s="1"/>
  <c r="E18" i="38"/>
  <c r="E60" i="38" s="1"/>
  <c r="D18" i="38"/>
  <c r="D60" i="38" s="1"/>
  <c r="C18" i="38"/>
  <c r="C60" i="38" s="1"/>
  <c r="B18" i="38"/>
  <c r="B60" i="38" s="1"/>
  <c r="M17" i="38"/>
  <c r="M59" i="38" s="1"/>
  <c r="L17" i="38"/>
  <c r="L31" i="38" s="1"/>
  <c r="K17" i="38"/>
  <c r="K59" i="38" s="1"/>
  <c r="J17" i="38"/>
  <c r="J59" i="38" s="1"/>
  <c r="I17" i="38"/>
  <c r="I59" i="38" s="1"/>
  <c r="H17" i="38"/>
  <c r="H59" i="38" s="1"/>
  <c r="G17" i="38"/>
  <c r="G59" i="38" s="1"/>
  <c r="F17" i="38"/>
  <c r="F59" i="38" s="1"/>
  <c r="E17" i="38"/>
  <c r="E59" i="38" s="1"/>
  <c r="D17" i="38"/>
  <c r="D31" i="38" s="1"/>
  <c r="C17" i="38"/>
  <c r="C59" i="38" s="1"/>
  <c r="B17" i="38"/>
  <c r="B59" i="38" s="1"/>
  <c r="M16" i="38"/>
  <c r="M58" i="38" s="1"/>
  <c r="L16" i="38"/>
  <c r="L58" i="38" s="1"/>
  <c r="K16" i="38"/>
  <c r="K58" i="38" s="1"/>
  <c r="J16" i="38"/>
  <c r="J58" i="38" s="1"/>
  <c r="I16" i="38"/>
  <c r="I58" i="38" s="1"/>
  <c r="H16" i="38"/>
  <c r="H30" i="38" s="1"/>
  <c r="G16" i="38"/>
  <c r="G58" i="38" s="1"/>
  <c r="F16" i="38"/>
  <c r="F58" i="38" s="1"/>
  <c r="E16" i="38"/>
  <c r="E58" i="38" s="1"/>
  <c r="D16" i="38"/>
  <c r="D58" i="38" s="1"/>
  <c r="C16" i="38"/>
  <c r="C58" i="38" s="1"/>
  <c r="B16" i="38"/>
  <c r="B30" i="38" s="1"/>
  <c r="M27" i="37"/>
  <c r="M69" i="37" s="1"/>
  <c r="L27" i="37"/>
  <c r="L69" i="37" s="1"/>
  <c r="K27" i="37"/>
  <c r="K69" i="37" s="1"/>
  <c r="J27" i="37"/>
  <c r="J69" i="37" s="1"/>
  <c r="I27" i="37"/>
  <c r="I69" i="37" s="1"/>
  <c r="H27" i="37"/>
  <c r="H69" i="37" s="1"/>
  <c r="G27" i="37"/>
  <c r="F27" i="37"/>
  <c r="F69" i="37" s="1"/>
  <c r="E27" i="37"/>
  <c r="E69" i="37" s="1"/>
  <c r="D27" i="37"/>
  <c r="D69" i="37" s="1"/>
  <c r="C27" i="37"/>
  <c r="C69" i="37" s="1"/>
  <c r="B27" i="37"/>
  <c r="B69" i="37" s="1"/>
  <c r="M26" i="37"/>
  <c r="M68" i="37" s="1"/>
  <c r="L26" i="37"/>
  <c r="L68" i="37" s="1"/>
  <c r="K26" i="37"/>
  <c r="K54" i="37" s="1"/>
  <c r="J26" i="37"/>
  <c r="J54" i="37" s="1"/>
  <c r="I26" i="37"/>
  <c r="I68" i="37" s="1"/>
  <c r="H26" i="37"/>
  <c r="H68" i="37" s="1"/>
  <c r="G26" i="37"/>
  <c r="G68" i="37" s="1"/>
  <c r="F26" i="37"/>
  <c r="F68" i="37" s="1"/>
  <c r="E26" i="37"/>
  <c r="E68" i="37" s="1"/>
  <c r="D26" i="37"/>
  <c r="D68" i="37" s="1"/>
  <c r="C26" i="37"/>
  <c r="C54" i="37" s="1"/>
  <c r="B26" i="37"/>
  <c r="B54" i="37" s="1"/>
  <c r="M25" i="37"/>
  <c r="M67" i="37" s="1"/>
  <c r="L25" i="37"/>
  <c r="L67" i="37" s="1"/>
  <c r="K25" i="37"/>
  <c r="K67" i="37" s="1"/>
  <c r="J25" i="37"/>
  <c r="J67" i="37" s="1"/>
  <c r="I25" i="37"/>
  <c r="I67" i="37" s="1"/>
  <c r="H25" i="37"/>
  <c r="H67" i="37" s="1"/>
  <c r="G25" i="37"/>
  <c r="G53" i="37" s="1"/>
  <c r="F25" i="37"/>
  <c r="F39" i="37" s="1"/>
  <c r="E25" i="37"/>
  <c r="E67" i="37" s="1"/>
  <c r="D25" i="37"/>
  <c r="D67" i="37" s="1"/>
  <c r="C25" i="37"/>
  <c r="C67" i="37" s="1"/>
  <c r="B25" i="37"/>
  <c r="B67" i="37" s="1"/>
  <c r="L66" i="37"/>
  <c r="M23" i="37"/>
  <c r="M65" i="37" s="1"/>
  <c r="L23" i="37"/>
  <c r="L65" i="37" s="1"/>
  <c r="K23" i="37"/>
  <c r="K65" i="37" s="1"/>
  <c r="J23" i="37"/>
  <c r="J65" i="37" s="1"/>
  <c r="I23" i="37"/>
  <c r="I65" i="37" s="1"/>
  <c r="H23" i="37"/>
  <c r="H65" i="37" s="1"/>
  <c r="G23" i="37"/>
  <c r="G37" i="37" s="1"/>
  <c r="F23" i="37"/>
  <c r="F65" i="37" s="1"/>
  <c r="E23" i="37"/>
  <c r="E65" i="37" s="1"/>
  <c r="D23" i="37"/>
  <c r="D65" i="37" s="1"/>
  <c r="C23" i="37"/>
  <c r="C65" i="37" s="1"/>
  <c r="B23" i="37"/>
  <c r="B65" i="37" s="1"/>
  <c r="M22" i="37"/>
  <c r="M64" i="37" s="1"/>
  <c r="L22" i="37"/>
  <c r="L64" i="37" s="1"/>
  <c r="K22" i="37"/>
  <c r="K36" i="37" s="1"/>
  <c r="J22" i="37"/>
  <c r="J36" i="37" s="1"/>
  <c r="I22" i="37"/>
  <c r="I64" i="37" s="1"/>
  <c r="H22" i="37"/>
  <c r="H64" i="37" s="1"/>
  <c r="G22" i="37"/>
  <c r="G64" i="37" s="1"/>
  <c r="F22" i="37"/>
  <c r="F64" i="37" s="1"/>
  <c r="E22" i="37"/>
  <c r="E64" i="37" s="1"/>
  <c r="D22" i="37"/>
  <c r="D64" i="37" s="1"/>
  <c r="C22" i="37"/>
  <c r="B22" i="37"/>
  <c r="B36" i="37" s="1"/>
  <c r="M21" i="37"/>
  <c r="M63" i="37" s="1"/>
  <c r="L21" i="37"/>
  <c r="L63" i="37" s="1"/>
  <c r="K21" i="37"/>
  <c r="K63" i="37" s="1"/>
  <c r="J21" i="37"/>
  <c r="J63" i="37" s="1"/>
  <c r="I21" i="37"/>
  <c r="I63" i="37" s="1"/>
  <c r="H21" i="37"/>
  <c r="H63" i="37" s="1"/>
  <c r="G21" i="37"/>
  <c r="F21" i="37"/>
  <c r="F49" i="37" s="1"/>
  <c r="E21" i="37"/>
  <c r="E63" i="37" s="1"/>
  <c r="D21" i="37"/>
  <c r="D63" i="37" s="1"/>
  <c r="C21" i="37"/>
  <c r="C63" i="37" s="1"/>
  <c r="B21" i="37"/>
  <c r="B63" i="37" s="1"/>
  <c r="M20" i="37"/>
  <c r="L20" i="37"/>
  <c r="K20" i="37"/>
  <c r="J20" i="37"/>
  <c r="I20" i="37"/>
  <c r="H20" i="37"/>
  <c r="G20" i="37"/>
  <c r="F20" i="37"/>
  <c r="E20" i="37"/>
  <c r="E34" i="37" s="1"/>
  <c r="D20" i="37"/>
  <c r="D48" i="37" s="1"/>
  <c r="C20" i="37"/>
  <c r="C48" i="37" s="1"/>
  <c r="B20" i="37"/>
  <c r="B48" i="37" s="1"/>
  <c r="M19" i="37"/>
  <c r="M61" i="37" s="1"/>
  <c r="L19" i="37"/>
  <c r="L61" i="37" s="1"/>
  <c r="K19" i="37"/>
  <c r="K61" i="37" s="1"/>
  <c r="J19" i="37"/>
  <c r="J61" i="37" s="1"/>
  <c r="I19" i="37"/>
  <c r="I61" i="37" s="1"/>
  <c r="H19" i="37"/>
  <c r="H61" i="37" s="1"/>
  <c r="G19" i="37"/>
  <c r="F19" i="37"/>
  <c r="F61" i="37" s="1"/>
  <c r="E19" i="37"/>
  <c r="E61" i="37" s="1"/>
  <c r="D19" i="37"/>
  <c r="D61" i="37" s="1"/>
  <c r="C19" i="37"/>
  <c r="C61" i="37" s="1"/>
  <c r="B19" i="37"/>
  <c r="B61" i="37" s="1"/>
  <c r="M18" i="37"/>
  <c r="M60" i="37" s="1"/>
  <c r="L18" i="37"/>
  <c r="L60" i="37" s="1"/>
  <c r="K18" i="37"/>
  <c r="J18" i="37"/>
  <c r="J60" i="37" s="1"/>
  <c r="I18" i="37"/>
  <c r="I60" i="37" s="1"/>
  <c r="H18" i="37"/>
  <c r="H60" i="37" s="1"/>
  <c r="G18" i="37"/>
  <c r="G60" i="37" s="1"/>
  <c r="F18" i="37"/>
  <c r="F60" i="37" s="1"/>
  <c r="E18" i="37"/>
  <c r="E60" i="37" s="1"/>
  <c r="D18" i="37"/>
  <c r="D60" i="37" s="1"/>
  <c r="C18" i="37"/>
  <c r="C32" i="37" s="1"/>
  <c r="B18" i="37"/>
  <c r="B60" i="37" s="1"/>
  <c r="M17" i="37"/>
  <c r="M59" i="37" s="1"/>
  <c r="L17" i="37"/>
  <c r="L59" i="37" s="1"/>
  <c r="K17" i="37"/>
  <c r="K59" i="37" s="1"/>
  <c r="J17" i="37"/>
  <c r="J59" i="37" s="1"/>
  <c r="I17" i="37"/>
  <c r="I59" i="37" s="1"/>
  <c r="H17" i="37"/>
  <c r="H59" i="37" s="1"/>
  <c r="G17" i="37"/>
  <c r="G31" i="37" s="1"/>
  <c r="F17" i="37"/>
  <c r="F31" i="37" s="1"/>
  <c r="E17" i="37"/>
  <c r="E59" i="37" s="1"/>
  <c r="D17" i="37"/>
  <c r="D59" i="37" s="1"/>
  <c r="C17" i="37"/>
  <c r="C59" i="37" s="1"/>
  <c r="B17" i="37"/>
  <c r="B59" i="37" s="1"/>
  <c r="M16" i="37"/>
  <c r="M58" i="37" s="1"/>
  <c r="L16" i="37"/>
  <c r="L58" i="37" s="1"/>
  <c r="K16" i="37"/>
  <c r="J16" i="37"/>
  <c r="J30" i="37" s="1"/>
  <c r="I16" i="37"/>
  <c r="I58" i="37" s="1"/>
  <c r="H16" i="37"/>
  <c r="H58" i="37" s="1"/>
  <c r="G16" i="37"/>
  <c r="G58" i="37" s="1"/>
  <c r="F16" i="37"/>
  <c r="F58" i="37" s="1"/>
  <c r="E16" i="37"/>
  <c r="E58" i="37" s="1"/>
  <c r="D16" i="37"/>
  <c r="D58" i="37" s="1"/>
  <c r="C16" i="37"/>
  <c r="B16" i="37"/>
  <c r="B44" i="37" s="1"/>
  <c r="M27" i="36"/>
  <c r="M69" i="36" s="1"/>
  <c r="L27" i="36"/>
  <c r="L69" i="36" s="1"/>
  <c r="K27" i="36"/>
  <c r="K69" i="36" s="1"/>
  <c r="J27" i="36"/>
  <c r="J69" i="36" s="1"/>
  <c r="I27" i="36"/>
  <c r="I69" i="36" s="1"/>
  <c r="H27" i="36"/>
  <c r="H69" i="36" s="1"/>
  <c r="G27" i="36"/>
  <c r="G69" i="36" s="1"/>
  <c r="F27" i="36"/>
  <c r="F55" i="36" s="1"/>
  <c r="E27" i="36"/>
  <c r="E69" i="36" s="1"/>
  <c r="D27" i="36"/>
  <c r="D69" i="36" s="1"/>
  <c r="C27" i="36"/>
  <c r="C69" i="36" s="1"/>
  <c r="B27" i="36"/>
  <c r="B69" i="36" s="1"/>
  <c r="M26" i="36"/>
  <c r="M68" i="36" s="1"/>
  <c r="L26" i="36"/>
  <c r="L68" i="36" s="1"/>
  <c r="K26" i="36"/>
  <c r="K68" i="36" s="1"/>
  <c r="J26" i="36"/>
  <c r="J54" i="36" s="1"/>
  <c r="I26" i="36"/>
  <c r="I68" i="36" s="1"/>
  <c r="H26" i="36"/>
  <c r="H68" i="36" s="1"/>
  <c r="G26" i="36"/>
  <c r="G68" i="36" s="1"/>
  <c r="F26" i="36"/>
  <c r="F68" i="36" s="1"/>
  <c r="E26" i="36"/>
  <c r="E68" i="36" s="1"/>
  <c r="D26" i="36"/>
  <c r="D68" i="36" s="1"/>
  <c r="C26" i="36"/>
  <c r="C68" i="36" s="1"/>
  <c r="B26" i="36"/>
  <c r="B40" i="36" s="1"/>
  <c r="M25" i="36"/>
  <c r="M67" i="36" s="1"/>
  <c r="L25" i="36"/>
  <c r="L67" i="36" s="1"/>
  <c r="K25" i="36"/>
  <c r="K67" i="36" s="1"/>
  <c r="J25" i="36"/>
  <c r="J67" i="36" s="1"/>
  <c r="I25" i="36"/>
  <c r="I67" i="36" s="1"/>
  <c r="H25" i="36"/>
  <c r="H67" i="36" s="1"/>
  <c r="G25" i="36"/>
  <c r="G67" i="36" s="1"/>
  <c r="F25" i="36"/>
  <c r="F53" i="36" s="1"/>
  <c r="E25" i="36"/>
  <c r="E67" i="36" s="1"/>
  <c r="D25" i="36"/>
  <c r="D67" i="36" s="1"/>
  <c r="C25" i="36"/>
  <c r="C67" i="36" s="1"/>
  <c r="B25" i="36"/>
  <c r="B67" i="36" s="1"/>
  <c r="M23" i="36"/>
  <c r="M65" i="36" s="1"/>
  <c r="L23" i="36"/>
  <c r="L65" i="36" s="1"/>
  <c r="K23" i="36"/>
  <c r="K65" i="36" s="1"/>
  <c r="J23" i="36"/>
  <c r="J65" i="36" s="1"/>
  <c r="I23" i="36"/>
  <c r="I65" i="36" s="1"/>
  <c r="H23" i="36"/>
  <c r="H65" i="36" s="1"/>
  <c r="G23" i="36"/>
  <c r="G65" i="36" s="1"/>
  <c r="F23" i="36"/>
  <c r="F51" i="36" s="1"/>
  <c r="E23" i="36"/>
  <c r="E65" i="36" s="1"/>
  <c r="D23" i="36"/>
  <c r="D65" i="36" s="1"/>
  <c r="C23" i="36"/>
  <c r="C65" i="36" s="1"/>
  <c r="B23" i="36"/>
  <c r="B65" i="36" s="1"/>
  <c r="M22" i="36"/>
  <c r="M64" i="36" s="1"/>
  <c r="L22" i="36"/>
  <c r="L64" i="36" s="1"/>
  <c r="K22" i="36"/>
  <c r="K64" i="36" s="1"/>
  <c r="J22" i="36"/>
  <c r="J64" i="36" s="1"/>
  <c r="I22" i="36"/>
  <c r="I64" i="36" s="1"/>
  <c r="H22" i="36"/>
  <c r="H64" i="36" s="1"/>
  <c r="G22" i="36"/>
  <c r="G64" i="36" s="1"/>
  <c r="F22" i="36"/>
  <c r="F64" i="36" s="1"/>
  <c r="E22" i="36"/>
  <c r="E64" i="36" s="1"/>
  <c r="D22" i="36"/>
  <c r="D64" i="36" s="1"/>
  <c r="C22" i="36"/>
  <c r="C64" i="36" s="1"/>
  <c r="B22" i="36"/>
  <c r="B50" i="36" s="1"/>
  <c r="M21" i="36"/>
  <c r="M63" i="36" s="1"/>
  <c r="L21" i="36"/>
  <c r="L63" i="36" s="1"/>
  <c r="K21" i="36"/>
  <c r="K63" i="36" s="1"/>
  <c r="J21" i="36"/>
  <c r="J63" i="36" s="1"/>
  <c r="I21" i="36"/>
  <c r="I63" i="36" s="1"/>
  <c r="H21" i="36"/>
  <c r="H63" i="36" s="1"/>
  <c r="G21" i="36"/>
  <c r="G63" i="36" s="1"/>
  <c r="F21" i="36"/>
  <c r="F63" i="36" s="1"/>
  <c r="E21" i="36"/>
  <c r="E63" i="36" s="1"/>
  <c r="D21" i="36"/>
  <c r="D63" i="36" s="1"/>
  <c r="C21" i="36"/>
  <c r="C63" i="36" s="1"/>
  <c r="B21" i="36"/>
  <c r="B63" i="36" s="1"/>
  <c r="M20" i="36"/>
  <c r="L20" i="36"/>
  <c r="K20" i="36"/>
  <c r="J20" i="36"/>
  <c r="I20" i="36"/>
  <c r="I48" i="36" s="1"/>
  <c r="H20" i="36"/>
  <c r="H62" i="36" s="1"/>
  <c r="G20" i="36"/>
  <c r="F20" i="36"/>
  <c r="E20" i="36"/>
  <c r="E62" i="36" s="1"/>
  <c r="D20" i="36"/>
  <c r="C20" i="36"/>
  <c r="C48" i="36" s="1"/>
  <c r="B20" i="36"/>
  <c r="B48" i="36" s="1"/>
  <c r="M19" i="36"/>
  <c r="M61" i="36" s="1"/>
  <c r="L19" i="36"/>
  <c r="L61" i="36" s="1"/>
  <c r="K19" i="36"/>
  <c r="K61" i="36" s="1"/>
  <c r="J19" i="36"/>
  <c r="J61" i="36" s="1"/>
  <c r="I19" i="36"/>
  <c r="I61" i="36" s="1"/>
  <c r="H19" i="36"/>
  <c r="H61" i="36" s="1"/>
  <c r="G19" i="36"/>
  <c r="G61" i="36" s="1"/>
  <c r="F19" i="36"/>
  <c r="F33" i="36" s="1"/>
  <c r="E19" i="36"/>
  <c r="E61" i="36" s="1"/>
  <c r="D19" i="36"/>
  <c r="D61" i="36" s="1"/>
  <c r="C19" i="36"/>
  <c r="C61" i="36" s="1"/>
  <c r="B19" i="36"/>
  <c r="B61" i="36" s="1"/>
  <c r="M18" i="36"/>
  <c r="M60" i="36" s="1"/>
  <c r="L18" i="36"/>
  <c r="L60" i="36" s="1"/>
  <c r="K18" i="36"/>
  <c r="K60" i="36" s="1"/>
  <c r="J18" i="36"/>
  <c r="J60" i="36" s="1"/>
  <c r="I18" i="36"/>
  <c r="I60" i="36" s="1"/>
  <c r="H18" i="36"/>
  <c r="H60" i="36" s="1"/>
  <c r="G18" i="36"/>
  <c r="G60" i="36" s="1"/>
  <c r="F18" i="36"/>
  <c r="F60" i="36" s="1"/>
  <c r="E18" i="36"/>
  <c r="E60" i="36" s="1"/>
  <c r="D18" i="36"/>
  <c r="D60" i="36" s="1"/>
  <c r="C18" i="36"/>
  <c r="C60" i="36" s="1"/>
  <c r="B18" i="36"/>
  <c r="B32" i="36" s="1"/>
  <c r="M17" i="36"/>
  <c r="M59" i="36" s="1"/>
  <c r="L17" i="36"/>
  <c r="L59" i="36" s="1"/>
  <c r="K17" i="36"/>
  <c r="K59" i="36" s="1"/>
  <c r="J17" i="36"/>
  <c r="J59" i="36" s="1"/>
  <c r="I17" i="36"/>
  <c r="I59" i="36" s="1"/>
  <c r="H17" i="36"/>
  <c r="H59" i="36" s="1"/>
  <c r="G17" i="36"/>
  <c r="G59" i="36" s="1"/>
  <c r="F17" i="36"/>
  <c r="F59" i="36" s="1"/>
  <c r="E17" i="36"/>
  <c r="E59" i="36" s="1"/>
  <c r="D17" i="36"/>
  <c r="D59" i="36" s="1"/>
  <c r="C17" i="36"/>
  <c r="C59" i="36" s="1"/>
  <c r="B17" i="36"/>
  <c r="B59" i="36" s="1"/>
  <c r="M16" i="36"/>
  <c r="M58" i="36" s="1"/>
  <c r="L16" i="36"/>
  <c r="L58" i="36" s="1"/>
  <c r="K16" i="36"/>
  <c r="K58" i="36" s="1"/>
  <c r="J16" i="36"/>
  <c r="J30" i="36" s="1"/>
  <c r="I16" i="36"/>
  <c r="I58" i="36" s="1"/>
  <c r="H16" i="36"/>
  <c r="H58" i="36" s="1"/>
  <c r="G16" i="36"/>
  <c r="G58" i="36" s="1"/>
  <c r="F16" i="36"/>
  <c r="F58" i="36" s="1"/>
  <c r="E16" i="36"/>
  <c r="E58" i="36" s="1"/>
  <c r="D16" i="36"/>
  <c r="D58" i="36" s="1"/>
  <c r="C16" i="36"/>
  <c r="C58" i="36" s="1"/>
  <c r="B16" i="36"/>
  <c r="B58" i="36" s="1"/>
  <c r="M27" i="35"/>
  <c r="M69" i="35" s="1"/>
  <c r="L27" i="35"/>
  <c r="L69" i="35" s="1"/>
  <c r="K27" i="35"/>
  <c r="K69" i="35" s="1"/>
  <c r="J27" i="35"/>
  <c r="J69" i="35" s="1"/>
  <c r="I27" i="35"/>
  <c r="I69" i="35" s="1"/>
  <c r="H27" i="35"/>
  <c r="H69" i="35" s="1"/>
  <c r="G27" i="35"/>
  <c r="G69" i="35" s="1"/>
  <c r="F27" i="35"/>
  <c r="F55" i="35" s="1"/>
  <c r="E27" i="35"/>
  <c r="E69" i="35" s="1"/>
  <c r="D27" i="35"/>
  <c r="D69" i="35" s="1"/>
  <c r="C27" i="35"/>
  <c r="B27" i="35"/>
  <c r="B69" i="35" s="1"/>
  <c r="M26" i="35"/>
  <c r="M68" i="35" s="1"/>
  <c r="L26" i="35"/>
  <c r="L68" i="35" s="1"/>
  <c r="K26" i="35"/>
  <c r="K68" i="35" s="1"/>
  <c r="J26" i="35"/>
  <c r="I26" i="35"/>
  <c r="I68" i="35" s="1"/>
  <c r="H26" i="35"/>
  <c r="H68" i="35" s="1"/>
  <c r="G26" i="35"/>
  <c r="G68" i="35" s="1"/>
  <c r="F26" i="35"/>
  <c r="F68" i="35" s="1"/>
  <c r="E26" i="35"/>
  <c r="E68" i="35" s="1"/>
  <c r="D26" i="35"/>
  <c r="D68" i="35" s="1"/>
  <c r="C26" i="35"/>
  <c r="C68" i="35" s="1"/>
  <c r="B26" i="35"/>
  <c r="B54" i="35" s="1"/>
  <c r="M25" i="35"/>
  <c r="M67" i="35" s="1"/>
  <c r="L25" i="35"/>
  <c r="L67" i="35" s="1"/>
  <c r="K25" i="35"/>
  <c r="J25" i="35"/>
  <c r="J67" i="35" s="1"/>
  <c r="I25" i="35"/>
  <c r="I67" i="35" s="1"/>
  <c r="H25" i="35"/>
  <c r="H67" i="35" s="1"/>
  <c r="G25" i="35"/>
  <c r="G67" i="35" s="1"/>
  <c r="F25" i="35"/>
  <c r="F53" i="35" s="1"/>
  <c r="E25" i="35"/>
  <c r="E67" i="35" s="1"/>
  <c r="D25" i="35"/>
  <c r="D67" i="35" s="1"/>
  <c r="C25" i="35"/>
  <c r="B25" i="35"/>
  <c r="B67" i="35" s="1"/>
  <c r="M23" i="35"/>
  <c r="M65" i="35" s="1"/>
  <c r="L23" i="35"/>
  <c r="L65" i="35" s="1"/>
  <c r="K23" i="35"/>
  <c r="J23" i="35"/>
  <c r="J65" i="35" s="1"/>
  <c r="I23" i="35"/>
  <c r="I65" i="35" s="1"/>
  <c r="H23" i="35"/>
  <c r="H65" i="35" s="1"/>
  <c r="G23" i="35"/>
  <c r="G65" i="35" s="1"/>
  <c r="F23" i="35"/>
  <c r="E23" i="35"/>
  <c r="E65" i="35" s="1"/>
  <c r="D23" i="35"/>
  <c r="D65" i="35" s="1"/>
  <c r="C23" i="35"/>
  <c r="B23" i="35"/>
  <c r="B65" i="35" s="1"/>
  <c r="M22" i="35"/>
  <c r="M64" i="35" s="1"/>
  <c r="L22" i="35"/>
  <c r="L64" i="35" s="1"/>
  <c r="K22" i="35"/>
  <c r="K64" i="35" s="1"/>
  <c r="J22" i="35"/>
  <c r="I22" i="35"/>
  <c r="I64" i="35" s="1"/>
  <c r="H22" i="35"/>
  <c r="H64" i="35" s="1"/>
  <c r="G22" i="35"/>
  <c r="F22" i="35"/>
  <c r="F64" i="35" s="1"/>
  <c r="E22" i="35"/>
  <c r="E64" i="35" s="1"/>
  <c r="D22" i="35"/>
  <c r="D64" i="35" s="1"/>
  <c r="C22" i="35"/>
  <c r="C64" i="35" s="1"/>
  <c r="B22" i="35"/>
  <c r="B36" i="35" s="1"/>
  <c r="M21" i="35"/>
  <c r="M63" i="35" s="1"/>
  <c r="L21" i="35"/>
  <c r="L63" i="35" s="1"/>
  <c r="K21" i="35"/>
  <c r="J21" i="35"/>
  <c r="J63" i="35" s="1"/>
  <c r="I21" i="35"/>
  <c r="I63" i="35" s="1"/>
  <c r="H21" i="35"/>
  <c r="H63" i="35" s="1"/>
  <c r="G21" i="35"/>
  <c r="G63" i="35" s="1"/>
  <c r="F21" i="35"/>
  <c r="E21" i="35"/>
  <c r="E63" i="35" s="1"/>
  <c r="D21" i="35"/>
  <c r="D63" i="35" s="1"/>
  <c r="C21" i="35"/>
  <c r="B21" i="35"/>
  <c r="B63" i="35" s="1"/>
  <c r="M20" i="35"/>
  <c r="L20" i="35"/>
  <c r="K20" i="35"/>
  <c r="J20" i="35"/>
  <c r="I20" i="35"/>
  <c r="H20" i="35"/>
  <c r="G20" i="35"/>
  <c r="F20" i="35"/>
  <c r="F62" i="35" s="1"/>
  <c r="E20" i="35"/>
  <c r="E62" i="35" s="1"/>
  <c r="D20" i="35"/>
  <c r="D62" i="35" s="1"/>
  <c r="C20" i="35"/>
  <c r="B20" i="35"/>
  <c r="B48" i="35" s="1"/>
  <c r="M19" i="35"/>
  <c r="M61" i="35" s="1"/>
  <c r="L19" i="35"/>
  <c r="L61" i="35" s="1"/>
  <c r="K19" i="35"/>
  <c r="J19" i="35"/>
  <c r="J61" i="35" s="1"/>
  <c r="I19" i="35"/>
  <c r="I61" i="35" s="1"/>
  <c r="H19" i="35"/>
  <c r="H61" i="35" s="1"/>
  <c r="G19" i="35"/>
  <c r="G61" i="35" s="1"/>
  <c r="F19" i="35"/>
  <c r="E19" i="35"/>
  <c r="E61" i="35" s="1"/>
  <c r="D19" i="35"/>
  <c r="D61" i="35" s="1"/>
  <c r="C19" i="35"/>
  <c r="B19" i="35"/>
  <c r="B61" i="35" s="1"/>
  <c r="M18" i="35"/>
  <c r="M60" i="35" s="1"/>
  <c r="L18" i="35"/>
  <c r="L60" i="35" s="1"/>
  <c r="K18" i="35"/>
  <c r="K60" i="35" s="1"/>
  <c r="J18" i="35"/>
  <c r="I18" i="35"/>
  <c r="I60" i="35" s="1"/>
  <c r="H18" i="35"/>
  <c r="H60" i="35" s="1"/>
  <c r="G18" i="35"/>
  <c r="F18" i="35"/>
  <c r="F60" i="35" s="1"/>
  <c r="E18" i="35"/>
  <c r="E60" i="35" s="1"/>
  <c r="D18" i="35"/>
  <c r="D60" i="35" s="1"/>
  <c r="C18" i="35"/>
  <c r="C60" i="35" s="1"/>
  <c r="B18" i="35"/>
  <c r="M17" i="35"/>
  <c r="M59" i="35" s="1"/>
  <c r="L17" i="35"/>
  <c r="L59" i="35" s="1"/>
  <c r="K17" i="35"/>
  <c r="J17" i="35"/>
  <c r="J59" i="35" s="1"/>
  <c r="I17" i="35"/>
  <c r="I59" i="35" s="1"/>
  <c r="H17" i="35"/>
  <c r="H59" i="35" s="1"/>
  <c r="G17" i="35"/>
  <c r="G59" i="35" s="1"/>
  <c r="F17" i="35"/>
  <c r="E17" i="35"/>
  <c r="E59" i="35" s="1"/>
  <c r="D17" i="35"/>
  <c r="D59" i="35" s="1"/>
  <c r="C17" i="35"/>
  <c r="B17" i="35"/>
  <c r="B59" i="35" s="1"/>
  <c r="M16" i="35"/>
  <c r="M58" i="35" s="1"/>
  <c r="L16" i="35"/>
  <c r="L58" i="35" s="1"/>
  <c r="K16" i="35"/>
  <c r="K58" i="35" s="1"/>
  <c r="J16" i="35"/>
  <c r="J58" i="35" s="1"/>
  <c r="I16" i="35"/>
  <c r="I58" i="35" s="1"/>
  <c r="H16" i="35"/>
  <c r="H58" i="35" s="1"/>
  <c r="G16" i="35"/>
  <c r="F16" i="35"/>
  <c r="F58" i="35" s="1"/>
  <c r="E16" i="35"/>
  <c r="E58" i="35" s="1"/>
  <c r="D16" i="35"/>
  <c r="D58" i="35" s="1"/>
  <c r="C16" i="35"/>
  <c r="C58" i="35" s="1"/>
  <c r="B16" i="35"/>
  <c r="B58" i="35" s="1"/>
  <c r="M27" i="34"/>
  <c r="M69" i="34" s="1"/>
  <c r="L27" i="34"/>
  <c r="L69" i="34" s="1"/>
  <c r="K27" i="34"/>
  <c r="K69" i="34" s="1"/>
  <c r="J27" i="34"/>
  <c r="J69" i="34" s="1"/>
  <c r="I27" i="34"/>
  <c r="I69" i="34" s="1"/>
  <c r="H27" i="34"/>
  <c r="H69" i="34" s="1"/>
  <c r="G27" i="34"/>
  <c r="G69" i="34" s="1"/>
  <c r="F27" i="34"/>
  <c r="F55" i="34" s="1"/>
  <c r="E27" i="34"/>
  <c r="E69" i="34" s="1"/>
  <c r="D27" i="34"/>
  <c r="D69" i="34" s="1"/>
  <c r="C27" i="34"/>
  <c r="C69" i="34" s="1"/>
  <c r="B27" i="34"/>
  <c r="B69" i="34" s="1"/>
  <c r="M26" i="34"/>
  <c r="M68" i="34" s="1"/>
  <c r="L26" i="34"/>
  <c r="L68" i="34" s="1"/>
  <c r="K26" i="34"/>
  <c r="K68" i="34" s="1"/>
  <c r="J26" i="34"/>
  <c r="J54" i="34" s="1"/>
  <c r="I26" i="34"/>
  <c r="I68" i="34" s="1"/>
  <c r="H26" i="34"/>
  <c r="H68" i="34" s="1"/>
  <c r="G26" i="34"/>
  <c r="G68" i="34" s="1"/>
  <c r="F26" i="34"/>
  <c r="F68" i="34" s="1"/>
  <c r="E26" i="34"/>
  <c r="E68" i="34" s="1"/>
  <c r="D26" i="34"/>
  <c r="D68" i="34" s="1"/>
  <c r="C26" i="34"/>
  <c r="C68" i="34" s="1"/>
  <c r="B26" i="34"/>
  <c r="B40" i="34" s="1"/>
  <c r="M25" i="34"/>
  <c r="M67" i="34" s="1"/>
  <c r="L25" i="34"/>
  <c r="L67" i="34" s="1"/>
  <c r="K25" i="34"/>
  <c r="K67" i="34" s="1"/>
  <c r="J25" i="34"/>
  <c r="J67" i="34" s="1"/>
  <c r="I25" i="34"/>
  <c r="I67" i="34" s="1"/>
  <c r="H25" i="34"/>
  <c r="H67" i="34" s="1"/>
  <c r="G25" i="34"/>
  <c r="G67" i="34" s="1"/>
  <c r="F25" i="34"/>
  <c r="F53" i="34" s="1"/>
  <c r="E25" i="34"/>
  <c r="E67" i="34" s="1"/>
  <c r="D25" i="34"/>
  <c r="D67" i="34" s="1"/>
  <c r="C25" i="34"/>
  <c r="C67" i="34" s="1"/>
  <c r="B25" i="34"/>
  <c r="B67" i="34" s="1"/>
  <c r="M66" i="34"/>
  <c r="M23" i="34"/>
  <c r="M65" i="34" s="1"/>
  <c r="L23" i="34"/>
  <c r="L65" i="34" s="1"/>
  <c r="K23" i="34"/>
  <c r="K65" i="34" s="1"/>
  <c r="J23" i="34"/>
  <c r="J65" i="34" s="1"/>
  <c r="I23" i="34"/>
  <c r="I65" i="34" s="1"/>
  <c r="H23" i="34"/>
  <c r="H65" i="34" s="1"/>
  <c r="G23" i="34"/>
  <c r="G65" i="34" s="1"/>
  <c r="F23" i="34"/>
  <c r="F37" i="34" s="1"/>
  <c r="E23" i="34"/>
  <c r="E65" i="34" s="1"/>
  <c r="D23" i="34"/>
  <c r="D65" i="34" s="1"/>
  <c r="C23" i="34"/>
  <c r="C65" i="34" s="1"/>
  <c r="B23" i="34"/>
  <c r="B65" i="34" s="1"/>
  <c r="M22" i="34"/>
  <c r="M64" i="34" s="1"/>
  <c r="L22" i="34"/>
  <c r="L64" i="34" s="1"/>
  <c r="K22" i="34"/>
  <c r="K64" i="34" s="1"/>
  <c r="J22" i="34"/>
  <c r="J64" i="34" s="1"/>
  <c r="I22" i="34"/>
  <c r="I64" i="34" s="1"/>
  <c r="H22" i="34"/>
  <c r="H64" i="34" s="1"/>
  <c r="G22" i="34"/>
  <c r="G64" i="34" s="1"/>
  <c r="F22" i="34"/>
  <c r="F64" i="34" s="1"/>
  <c r="E22" i="34"/>
  <c r="E64" i="34" s="1"/>
  <c r="D22" i="34"/>
  <c r="D64" i="34" s="1"/>
  <c r="C22" i="34"/>
  <c r="C64" i="34" s="1"/>
  <c r="B22" i="34"/>
  <c r="B64" i="34" s="1"/>
  <c r="M21" i="34"/>
  <c r="M63" i="34" s="1"/>
  <c r="L21" i="34"/>
  <c r="L63" i="34" s="1"/>
  <c r="K21" i="34"/>
  <c r="K63" i="34" s="1"/>
  <c r="J21" i="34"/>
  <c r="J63" i="34" s="1"/>
  <c r="I21" i="34"/>
  <c r="I63" i="34" s="1"/>
  <c r="H21" i="34"/>
  <c r="H63" i="34" s="1"/>
  <c r="G21" i="34"/>
  <c r="G63" i="34" s="1"/>
  <c r="F21" i="34"/>
  <c r="F49" i="34" s="1"/>
  <c r="E21" i="34"/>
  <c r="E63" i="34" s="1"/>
  <c r="D21" i="34"/>
  <c r="D63" i="34" s="1"/>
  <c r="C21" i="34"/>
  <c r="C63" i="34" s="1"/>
  <c r="B21" i="34"/>
  <c r="B63" i="34" s="1"/>
  <c r="M20" i="34"/>
  <c r="L20" i="34"/>
  <c r="K20" i="34"/>
  <c r="K48" i="34" s="1"/>
  <c r="J20" i="34"/>
  <c r="I20" i="34"/>
  <c r="I48" i="34" s="1"/>
  <c r="H20" i="34"/>
  <c r="G20" i="34"/>
  <c r="F20" i="34"/>
  <c r="F62" i="34" s="1"/>
  <c r="E20" i="34"/>
  <c r="E62" i="34" s="1"/>
  <c r="D20" i="34"/>
  <c r="C20" i="34"/>
  <c r="B20" i="34"/>
  <c r="B34" i="34" s="1"/>
  <c r="M19" i="34"/>
  <c r="M61" i="34" s="1"/>
  <c r="L19" i="34"/>
  <c r="L61" i="34" s="1"/>
  <c r="K19" i="34"/>
  <c r="K61" i="34" s="1"/>
  <c r="J19" i="34"/>
  <c r="J61" i="34" s="1"/>
  <c r="I19" i="34"/>
  <c r="I61" i="34" s="1"/>
  <c r="H19" i="34"/>
  <c r="H61" i="34" s="1"/>
  <c r="G19" i="34"/>
  <c r="G61" i="34" s="1"/>
  <c r="F19" i="34"/>
  <c r="F33" i="34" s="1"/>
  <c r="E19" i="34"/>
  <c r="E61" i="34" s="1"/>
  <c r="D19" i="34"/>
  <c r="D61" i="34" s="1"/>
  <c r="C19" i="34"/>
  <c r="C61" i="34" s="1"/>
  <c r="B19" i="34"/>
  <c r="B61" i="34" s="1"/>
  <c r="M18" i="34"/>
  <c r="M60" i="34" s="1"/>
  <c r="L18" i="34"/>
  <c r="L60" i="34" s="1"/>
  <c r="K18" i="34"/>
  <c r="K60" i="34" s="1"/>
  <c r="J18" i="34"/>
  <c r="J60" i="34" s="1"/>
  <c r="I18" i="34"/>
  <c r="I60" i="34" s="1"/>
  <c r="H18" i="34"/>
  <c r="H60" i="34" s="1"/>
  <c r="G18" i="34"/>
  <c r="G60" i="34" s="1"/>
  <c r="F18" i="34"/>
  <c r="F60" i="34" s="1"/>
  <c r="E18" i="34"/>
  <c r="E60" i="34" s="1"/>
  <c r="D18" i="34"/>
  <c r="D60" i="34" s="1"/>
  <c r="C18" i="34"/>
  <c r="C60" i="34" s="1"/>
  <c r="B18" i="34"/>
  <c r="B60" i="34" s="1"/>
  <c r="M17" i="34"/>
  <c r="M59" i="34" s="1"/>
  <c r="L17" i="34"/>
  <c r="L59" i="34" s="1"/>
  <c r="K17" i="34"/>
  <c r="K59" i="34" s="1"/>
  <c r="J17" i="34"/>
  <c r="J59" i="34" s="1"/>
  <c r="I17" i="34"/>
  <c r="I59" i="34" s="1"/>
  <c r="H17" i="34"/>
  <c r="H59" i="34" s="1"/>
  <c r="G17" i="34"/>
  <c r="G59" i="34" s="1"/>
  <c r="F17" i="34"/>
  <c r="F59" i="34" s="1"/>
  <c r="E17" i="34"/>
  <c r="E59" i="34" s="1"/>
  <c r="D17" i="34"/>
  <c r="D59" i="34" s="1"/>
  <c r="C17" i="34"/>
  <c r="C59" i="34" s="1"/>
  <c r="B17" i="34"/>
  <c r="B59" i="34" s="1"/>
  <c r="M16" i="34"/>
  <c r="M58" i="34" s="1"/>
  <c r="L16" i="34"/>
  <c r="L58" i="34" s="1"/>
  <c r="K16" i="34"/>
  <c r="K58" i="34" s="1"/>
  <c r="J16" i="34"/>
  <c r="J30" i="34" s="1"/>
  <c r="I16" i="34"/>
  <c r="I58" i="34" s="1"/>
  <c r="H16" i="34"/>
  <c r="H58" i="34" s="1"/>
  <c r="G16" i="34"/>
  <c r="G58" i="34" s="1"/>
  <c r="F16" i="34"/>
  <c r="F58" i="34" s="1"/>
  <c r="E16" i="34"/>
  <c r="E58" i="34" s="1"/>
  <c r="D16" i="34"/>
  <c r="D58" i="34" s="1"/>
  <c r="C16" i="34"/>
  <c r="C58" i="34" s="1"/>
  <c r="B16" i="34"/>
  <c r="B58" i="34" s="1"/>
  <c r="M27" i="33"/>
  <c r="M69" i="33" s="1"/>
  <c r="L27" i="33"/>
  <c r="L69" i="33" s="1"/>
  <c r="K27" i="33"/>
  <c r="K69" i="33" s="1"/>
  <c r="J27" i="33"/>
  <c r="J69" i="33" s="1"/>
  <c r="I27" i="33"/>
  <c r="I69" i="33" s="1"/>
  <c r="H27" i="33"/>
  <c r="H69" i="33" s="1"/>
  <c r="G27" i="33"/>
  <c r="G69" i="33" s="1"/>
  <c r="F27" i="33"/>
  <c r="F41" i="33" s="1"/>
  <c r="E27" i="33"/>
  <c r="E69" i="33" s="1"/>
  <c r="D27" i="33"/>
  <c r="D69" i="33" s="1"/>
  <c r="C27" i="33"/>
  <c r="C69" i="33" s="1"/>
  <c r="B27" i="33"/>
  <c r="B69" i="33" s="1"/>
  <c r="M26" i="33"/>
  <c r="M68" i="33" s="1"/>
  <c r="L26" i="33"/>
  <c r="L68" i="33" s="1"/>
  <c r="K26" i="33"/>
  <c r="K68" i="33" s="1"/>
  <c r="J26" i="33"/>
  <c r="J68" i="33" s="1"/>
  <c r="I26" i="33"/>
  <c r="I68" i="33" s="1"/>
  <c r="H26" i="33"/>
  <c r="H68" i="33" s="1"/>
  <c r="G26" i="33"/>
  <c r="G68" i="33" s="1"/>
  <c r="F26" i="33"/>
  <c r="F68" i="33" s="1"/>
  <c r="E26" i="33"/>
  <c r="E68" i="33" s="1"/>
  <c r="D26" i="33"/>
  <c r="D68" i="33" s="1"/>
  <c r="C26" i="33"/>
  <c r="C68" i="33" s="1"/>
  <c r="B26" i="33"/>
  <c r="B40" i="33" s="1"/>
  <c r="M25" i="33"/>
  <c r="M67" i="33" s="1"/>
  <c r="L25" i="33"/>
  <c r="L67" i="33" s="1"/>
  <c r="K25" i="33"/>
  <c r="K67" i="33" s="1"/>
  <c r="J25" i="33"/>
  <c r="J67" i="33" s="1"/>
  <c r="I25" i="33"/>
  <c r="I67" i="33" s="1"/>
  <c r="H25" i="33"/>
  <c r="H67" i="33" s="1"/>
  <c r="G25" i="33"/>
  <c r="G67" i="33" s="1"/>
  <c r="F25" i="33"/>
  <c r="F67" i="33" s="1"/>
  <c r="E25" i="33"/>
  <c r="E67" i="33" s="1"/>
  <c r="D25" i="33"/>
  <c r="D67" i="33" s="1"/>
  <c r="C25" i="33"/>
  <c r="C67" i="33" s="1"/>
  <c r="B25" i="33"/>
  <c r="B67" i="33" s="1"/>
  <c r="M23" i="33"/>
  <c r="M65" i="33" s="1"/>
  <c r="L23" i="33"/>
  <c r="L65" i="33" s="1"/>
  <c r="K23" i="33"/>
  <c r="K65" i="33" s="1"/>
  <c r="J23" i="33"/>
  <c r="J65" i="33" s="1"/>
  <c r="I23" i="33"/>
  <c r="I65" i="33" s="1"/>
  <c r="H23" i="33"/>
  <c r="H65" i="33" s="1"/>
  <c r="G23" i="33"/>
  <c r="G65" i="33" s="1"/>
  <c r="F23" i="33"/>
  <c r="F37" i="33" s="1"/>
  <c r="E23" i="33"/>
  <c r="E65" i="33" s="1"/>
  <c r="D23" i="33"/>
  <c r="D65" i="33" s="1"/>
  <c r="C23" i="33"/>
  <c r="C65" i="33" s="1"/>
  <c r="B23" i="33"/>
  <c r="B65" i="33" s="1"/>
  <c r="M22" i="33"/>
  <c r="M64" i="33" s="1"/>
  <c r="L22" i="33"/>
  <c r="L64" i="33" s="1"/>
  <c r="K22" i="33"/>
  <c r="K64" i="33" s="1"/>
  <c r="J22" i="33"/>
  <c r="J50" i="33" s="1"/>
  <c r="I22" i="33"/>
  <c r="I64" i="33" s="1"/>
  <c r="H22" i="33"/>
  <c r="H64" i="33" s="1"/>
  <c r="G22" i="33"/>
  <c r="G64" i="33" s="1"/>
  <c r="F22" i="33"/>
  <c r="F64" i="33" s="1"/>
  <c r="E22" i="33"/>
  <c r="E64" i="33" s="1"/>
  <c r="D22" i="33"/>
  <c r="D64" i="33" s="1"/>
  <c r="C22" i="33"/>
  <c r="C64" i="33" s="1"/>
  <c r="B22" i="33"/>
  <c r="B50" i="33" s="1"/>
  <c r="M21" i="33"/>
  <c r="M63" i="33" s="1"/>
  <c r="L21" i="33"/>
  <c r="L63" i="33" s="1"/>
  <c r="K21" i="33"/>
  <c r="K63" i="33" s="1"/>
  <c r="J21" i="33"/>
  <c r="J63" i="33" s="1"/>
  <c r="I21" i="33"/>
  <c r="I63" i="33" s="1"/>
  <c r="H21" i="33"/>
  <c r="H63" i="33" s="1"/>
  <c r="G21" i="33"/>
  <c r="G63" i="33" s="1"/>
  <c r="F21" i="33"/>
  <c r="F35" i="33" s="1"/>
  <c r="E21" i="33"/>
  <c r="E63" i="33" s="1"/>
  <c r="D21" i="33"/>
  <c r="D63" i="33" s="1"/>
  <c r="C21" i="33"/>
  <c r="C63" i="33" s="1"/>
  <c r="B21" i="33"/>
  <c r="B63" i="33" s="1"/>
  <c r="M20" i="33"/>
  <c r="L20" i="33"/>
  <c r="K20" i="33"/>
  <c r="K48" i="33" s="1"/>
  <c r="J20" i="33"/>
  <c r="I20" i="33"/>
  <c r="I48" i="33" s="1"/>
  <c r="H20" i="33"/>
  <c r="G20" i="33"/>
  <c r="F20" i="33"/>
  <c r="E20" i="33"/>
  <c r="E48" i="33" s="1"/>
  <c r="D20" i="33"/>
  <c r="C20" i="33"/>
  <c r="B20" i="33"/>
  <c r="B34" i="33" s="1"/>
  <c r="M19" i="33"/>
  <c r="M61" i="33" s="1"/>
  <c r="L19" i="33"/>
  <c r="L61" i="33" s="1"/>
  <c r="K19" i="33"/>
  <c r="K61" i="33" s="1"/>
  <c r="J19" i="33"/>
  <c r="J61" i="33" s="1"/>
  <c r="I19" i="33"/>
  <c r="I61" i="33" s="1"/>
  <c r="H19" i="33"/>
  <c r="H61" i="33" s="1"/>
  <c r="G19" i="33"/>
  <c r="G61" i="33" s="1"/>
  <c r="F19" i="33"/>
  <c r="F47" i="33" s="1"/>
  <c r="E19" i="33"/>
  <c r="E61" i="33" s="1"/>
  <c r="D19" i="33"/>
  <c r="D61" i="33" s="1"/>
  <c r="C19" i="33"/>
  <c r="C61" i="33" s="1"/>
  <c r="B19" i="33"/>
  <c r="B61" i="33" s="1"/>
  <c r="M18" i="33"/>
  <c r="M60" i="33" s="1"/>
  <c r="L18" i="33"/>
  <c r="L60" i="33" s="1"/>
  <c r="K18" i="33"/>
  <c r="K60" i="33" s="1"/>
  <c r="J18" i="33"/>
  <c r="J46" i="33" s="1"/>
  <c r="I18" i="33"/>
  <c r="I60" i="33" s="1"/>
  <c r="H18" i="33"/>
  <c r="H60" i="33" s="1"/>
  <c r="G18" i="33"/>
  <c r="G60" i="33" s="1"/>
  <c r="F18" i="33"/>
  <c r="F60" i="33" s="1"/>
  <c r="E18" i="33"/>
  <c r="E60" i="33" s="1"/>
  <c r="D18" i="33"/>
  <c r="D60" i="33" s="1"/>
  <c r="C18" i="33"/>
  <c r="C60" i="33" s="1"/>
  <c r="B18" i="33"/>
  <c r="B32" i="33" s="1"/>
  <c r="M17" i="33"/>
  <c r="M59" i="33" s="1"/>
  <c r="L17" i="33"/>
  <c r="L59" i="33" s="1"/>
  <c r="K17" i="33"/>
  <c r="K59" i="33" s="1"/>
  <c r="J17" i="33"/>
  <c r="J59" i="33" s="1"/>
  <c r="I17" i="33"/>
  <c r="I59" i="33" s="1"/>
  <c r="H17" i="33"/>
  <c r="H59" i="33" s="1"/>
  <c r="G17" i="33"/>
  <c r="G59" i="33" s="1"/>
  <c r="F17" i="33"/>
  <c r="F59" i="33" s="1"/>
  <c r="E17" i="33"/>
  <c r="E59" i="33" s="1"/>
  <c r="D17" i="33"/>
  <c r="D59" i="33" s="1"/>
  <c r="C17" i="33"/>
  <c r="C59" i="33" s="1"/>
  <c r="B17" i="33"/>
  <c r="B59" i="33" s="1"/>
  <c r="M16" i="33"/>
  <c r="M58" i="33" s="1"/>
  <c r="L16" i="33"/>
  <c r="L58" i="33" s="1"/>
  <c r="K16" i="33"/>
  <c r="K58" i="33" s="1"/>
  <c r="J16" i="33"/>
  <c r="J44" i="33" s="1"/>
  <c r="I16" i="33"/>
  <c r="I58" i="33" s="1"/>
  <c r="H16" i="33"/>
  <c r="H58" i="33" s="1"/>
  <c r="G16" i="33"/>
  <c r="G58" i="33" s="1"/>
  <c r="F16" i="33"/>
  <c r="F58" i="33" s="1"/>
  <c r="E16" i="33"/>
  <c r="E58" i="33" s="1"/>
  <c r="D16" i="33"/>
  <c r="D58" i="33" s="1"/>
  <c r="C16" i="33"/>
  <c r="C58" i="33" s="1"/>
  <c r="B16" i="33"/>
  <c r="B30" i="33" s="1"/>
  <c r="M27" i="32"/>
  <c r="M69" i="32" s="1"/>
  <c r="L27" i="32"/>
  <c r="L69" i="32" s="1"/>
  <c r="K27" i="32"/>
  <c r="K69" i="32" s="1"/>
  <c r="J27" i="32"/>
  <c r="J69" i="32" s="1"/>
  <c r="I27" i="32"/>
  <c r="I69" i="32" s="1"/>
  <c r="H27" i="32"/>
  <c r="H69" i="32" s="1"/>
  <c r="G27" i="32"/>
  <c r="G69" i="32" s="1"/>
  <c r="F27" i="32"/>
  <c r="E27" i="32"/>
  <c r="E69" i="32" s="1"/>
  <c r="D27" i="32"/>
  <c r="D69" i="32" s="1"/>
  <c r="C27" i="32"/>
  <c r="C69" i="32" s="1"/>
  <c r="B27" i="32"/>
  <c r="B69" i="32" s="1"/>
  <c r="M26" i="32"/>
  <c r="M68" i="32" s="1"/>
  <c r="L26" i="32"/>
  <c r="L68" i="32" s="1"/>
  <c r="K26" i="32"/>
  <c r="K68" i="32" s="1"/>
  <c r="J26" i="32"/>
  <c r="J54" i="32" s="1"/>
  <c r="I26" i="32"/>
  <c r="I68" i="32" s="1"/>
  <c r="H26" i="32"/>
  <c r="H68" i="32" s="1"/>
  <c r="G26" i="32"/>
  <c r="G68" i="32" s="1"/>
  <c r="F26" i="32"/>
  <c r="F68" i="32" s="1"/>
  <c r="E26" i="32"/>
  <c r="E68" i="32" s="1"/>
  <c r="D26" i="32"/>
  <c r="D68" i="32" s="1"/>
  <c r="C26" i="32"/>
  <c r="C68" i="32" s="1"/>
  <c r="B26" i="32"/>
  <c r="B54" i="32" s="1"/>
  <c r="M25" i="32"/>
  <c r="M67" i="32" s="1"/>
  <c r="L25" i="32"/>
  <c r="L67" i="32" s="1"/>
  <c r="K25" i="32"/>
  <c r="K67" i="32" s="1"/>
  <c r="J25" i="32"/>
  <c r="J67" i="32" s="1"/>
  <c r="I25" i="32"/>
  <c r="I67" i="32" s="1"/>
  <c r="H25" i="32"/>
  <c r="H67" i="32" s="1"/>
  <c r="G25" i="32"/>
  <c r="G67" i="32" s="1"/>
  <c r="F25" i="32"/>
  <c r="E25" i="32"/>
  <c r="E67" i="32" s="1"/>
  <c r="D25" i="32"/>
  <c r="D67" i="32" s="1"/>
  <c r="C25" i="32"/>
  <c r="C67" i="32" s="1"/>
  <c r="B25" i="32"/>
  <c r="B67" i="32" s="1"/>
  <c r="M23" i="32"/>
  <c r="M65" i="32" s="1"/>
  <c r="L23" i="32"/>
  <c r="L65" i="32" s="1"/>
  <c r="K23" i="32"/>
  <c r="K65" i="32" s="1"/>
  <c r="J23" i="32"/>
  <c r="J65" i="32" s="1"/>
  <c r="I23" i="32"/>
  <c r="I65" i="32" s="1"/>
  <c r="H23" i="32"/>
  <c r="H65" i="32" s="1"/>
  <c r="G23" i="32"/>
  <c r="G65" i="32" s="1"/>
  <c r="F23" i="32"/>
  <c r="E23" i="32"/>
  <c r="E65" i="32" s="1"/>
  <c r="D23" i="32"/>
  <c r="D65" i="32" s="1"/>
  <c r="C23" i="32"/>
  <c r="C65" i="32" s="1"/>
  <c r="B23" i="32"/>
  <c r="B65" i="32" s="1"/>
  <c r="M22" i="32"/>
  <c r="M64" i="32" s="1"/>
  <c r="L22" i="32"/>
  <c r="L64" i="32" s="1"/>
  <c r="K22" i="32"/>
  <c r="K64" i="32" s="1"/>
  <c r="J22" i="32"/>
  <c r="I22" i="32"/>
  <c r="I64" i="32" s="1"/>
  <c r="H22" i="32"/>
  <c r="H64" i="32" s="1"/>
  <c r="G22" i="32"/>
  <c r="G64" i="32" s="1"/>
  <c r="F22" i="32"/>
  <c r="F64" i="32" s="1"/>
  <c r="E22" i="32"/>
  <c r="E64" i="32" s="1"/>
  <c r="D22" i="32"/>
  <c r="D64" i="32" s="1"/>
  <c r="C22" i="32"/>
  <c r="C64" i="32" s="1"/>
  <c r="B22" i="32"/>
  <c r="B36" i="32" s="1"/>
  <c r="M21" i="32"/>
  <c r="M63" i="32" s="1"/>
  <c r="L21" i="32"/>
  <c r="L63" i="32" s="1"/>
  <c r="K21" i="32"/>
  <c r="K63" i="32" s="1"/>
  <c r="J21" i="32"/>
  <c r="J63" i="32" s="1"/>
  <c r="I21" i="32"/>
  <c r="I63" i="32" s="1"/>
  <c r="H21" i="32"/>
  <c r="H63" i="32" s="1"/>
  <c r="G21" i="32"/>
  <c r="G63" i="32" s="1"/>
  <c r="F21" i="32"/>
  <c r="E21" i="32"/>
  <c r="E63" i="32" s="1"/>
  <c r="D21" i="32"/>
  <c r="D63" i="32" s="1"/>
  <c r="C21" i="32"/>
  <c r="C63" i="32" s="1"/>
  <c r="B21" i="32"/>
  <c r="B63" i="32" s="1"/>
  <c r="M20" i="32"/>
  <c r="L20" i="32"/>
  <c r="K20" i="32"/>
  <c r="J20" i="32"/>
  <c r="I20" i="32"/>
  <c r="H20" i="32"/>
  <c r="G20" i="32"/>
  <c r="F20" i="32"/>
  <c r="E20" i="32"/>
  <c r="D20" i="32"/>
  <c r="C20" i="32"/>
  <c r="C48" i="32" s="1"/>
  <c r="B20" i="32"/>
  <c r="B34" i="32" s="1"/>
  <c r="M19" i="32"/>
  <c r="M61" i="32" s="1"/>
  <c r="L19" i="32"/>
  <c r="L61" i="32" s="1"/>
  <c r="K19" i="32"/>
  <c r="K61" i="32" s="1"/>
  <c r="J19" i="32"/>
  <c r="J61" i="32" s="1"/>
  <c r="I19" i="32"/>
  <c r="I61" i="32" s="1"/>
  <c r="H19" i="32"/>
  <c r="H61" i="32" s="1"/>
  <c r="G19" i="32"/>
  <c r="G61" i="32" s="1"/>
  <c r="F19" i="32"/>
  <c r="E19" i="32"/>
  <c r="E61" i="32" s="1"/>
  <c r="D19" i="32"/>
  <c r="D61" i="32" s="1"/>
  <c r="C19" i="32"/>
  <c r="C61" i="32" s="1"/>
  <c r="B19" i="32"/>
  <c r="B61" i="32" s="1"/>
  <c r="M18" i="32"/>
  <c r="M60" i="32" s="1"/>
  <c r="L18" i="32"/>
  <c r="L60" i="32" s="1"/>
  <c r="K18" i="32"/>
  <c r="K60" i="32" s="1"/>
  <c r="J18" i="32"/>
  <c r="I18" i="32"/>
  <c r="I60" i="32" s="1"/>
  <c r="H18" i="32"/>
  <c r="H60" i="32" s="1"/>
  <c r="G18" i="32"/>
  <c r="G60" i="32" s="1"/>
  <c r="F18" i="32"/>
  <c r="F60" i="32" s="1"/>
  <c r="E18" i="32"/>
  <c r="E60" i="32" s="1"/>
  <c r="D18" i="32"/>
  <c r="D60" i="32" s="1"/>
  <c r="C18" i="32"/>
  <c r="C60" i="32" s="1"/>
  <c r="B18" i="32"/>
  <c r="M17" i="32"/>
  <c r="M59" i="32" s="1"/>
  <c r="L17" i="32"/>
  <c r="L59" i="32" s="1"/>
  <c r="K17" i="32"/>
  <c r="K59" i="32" s="1"/>
  <c r="J17" i="32"/>
  <c r="J59" i="32" s="1"/>
  <c r="I17" i="32"/>
  <c r="I59" i="32" s="1"/>
  <c r="H17" i="32"/>
  <c r="H59" i="32" s="1"/>
  <c r="G17" i="32"/>
  <c r="G59" i="32" s="1"/>
  <c r="F17" i="32"/>
  <c r="F59" i="32" s="1"/>
  <c r="E17" i="32"/>
  <c r="E59" i="32" s="1"/>
  <c r="D17" i="32"/>
  <c r="D59" i="32" s="1"/>
  <c r="C17" i="32"/>
  <c r="C59" i="32" s="1"/>
  <c r="B17" i="32"/>
  <c r="B59" i="32" s="1"/>
  <c r="M16" i="32"/>
  <c r="M58" i="32" s="1"/>
  <c r="L16" i="32"/>
  <c r="L58" i="32" s="1"/>
  <c r="K16" i="32"/>
  <c r="K58" i="32" s="1"/>
  <c r="J16" i="32"/>
  <c r="J58" i="32" s="1"/>
  <c r="I16" i="32"/>
  <c r="I58" i="32" s="1"/>
  <c r="H16" i="32"/>
  <c r="H58" i="32" s="1"/>
  <c r="G16" i="32"/>
  <c r="G58" i="32" s="1"/>
  <c r="F16" i="32"/>
  <c r="F58" i="32" s="1"/>
  <c r="E16" i="32"/>
  <c r="E58" i="32" s="1"/>
  <c r="D16" i="32"/>
  <c r="D58" i="32" s="1"/>
  <c r="C16" i="32"/>
  <c r="C58" i="32" s="1"/>
  <c r="B16" i="32"/>
  <c r="B58" i="32" s="1"/>
  <c r="M27" i="31"/>
  <c r="M69" i="31" s="1"/>
  <c r="L27" i="31"/>
  <c r="L69" i="31" s="1"/>
  <c r="K27" i="31"/>
  <c r="K69" i="31" s="1"/>
  <c r="J27" i="31"/>
  <c r="J69" i="31" s="1"/>
  <c r="I27" i="31"/>
  <c r="I69" i="31" s="1"/>
  <c r="H27" i="31"/>
  <c r="H69" i="31" s="1"/>
  <c r="G27" i="31"/>
  <c r="G69" i="31" s="1"/>
  <c r="F27" i="31"/>
  <c r="E27" i="31"/>
  <c r="E69" i="31" s="1"/>
  <c r="D27" i="31"/>
  <c r="D69" i="31" s="1"/>
  <c r="C27" i="31"/>
  <c r="C69" i="31" s="1"/>
  <c r="B27" i="31"/>
  <c r="B69" i="31" s="1"/>
  <c r="M26" i="31"/>
  <c r="M68" i="31" s="1"/>
  <c r="L26" i="31"/>
  <c r="L68" i="31" s="1"/>
  <c r="K26" i="31"/>
  <c r="K68" i="31" s="1"/>
  <c r="J26" i="31"/>
  <c r="I26" i="31"/>
  <c r="I68" i="31" s="1"/>
  <c r="H26" i="31"/>
  <c r="H68" i="31" s="1"/>
  <c r="G26" i="31"/>
  <c r="G68" i="31" s="1"/>
  <c r="F26" i="31"/>
  <c r="F68" i="31" s="1"/>
  <c r="E26" i="31"/>
  <c r="E68" i="31" s="1"/>
  <c r="D26" i="31"/>
  <c r="D68" i="31" s="1"/>
  <c r="C26" i="31"/>
  <c r="C68" i="31" s="1"/>
  <c r="B26" i="31"/>
  <c r="M25" i="31"/>
  <c r="M67" i="31" s="1"/>
  <c r="L25" i="31"/>
  <c r="L67" i="31" s="1"/>
  <c r="K25" i="31"/>
  <c r="K67" i="31" s="1"/>
  <c r="J25" i="31"/>
  <c r="J67" i="31" s="1"/>
  <c r="I25" i="31"/>
  <c r="I67" i="31" s="1"/>
  <c r="H25" i="31"/>
  <c r="H67" i="31" s="1"/>
  <c r="G25" i="31"/>
  <c r="G67" i="31" s="1"/>
  <c r="F25" i="31"/>
  <c r="E25" i="31"/>
  <c r="E67" i="31" s="1"/>
  <c r="D25" i="31"/>
  <c r="D67" i="31" s="1"/>
  <c r="C25" i="31"/>
  <c r="C67" i="31" s="1"/>
  <c r="B25" i="31"/>
  <c r="B67" i="31" s="1"/>
  <c r="M23" i="31"/>
  <c r="M65" i="31" s="1"/>
  <c r="L23" i="31"/>
  <c r="L65" i="31" s="1"/>
  <c r="K23" i="31"/>
  <c r="K65" i="31" s="1"/>
  <c r="J23" i="31"/>
  <c r="J65" i="31" s="1"/>
  <c r="I23" i="31"/>
  <c r="I65" i="31" s="1"/>
  <c r="H23" i="31"/>
  <c r="H65" i="31" s="1"/>
  <c r="G23" i="31"/>
  <c r="G65" i="31" s="1"/>
  <c r="F23" i="31"/>
  <c r="E23" i="31"/>
  <c r="E65" i="31" s="1"/>
  <c r="D23" i="31"/>
  <c r="D65" i="31" s="1"/>
  <c r="C23" i="31"/>
  <c r="C65" i="31" s="1"/>
  <c r="B23" i="31"/>
  <c r="B65" i="31" s="1"/>
  <c r="M22" i="31"/>
  <c r="M64" i="31" s="1"/>
  <c r="L22" i="31"/>
  <c r="L64" i="31" s="1"/>
  <c r="K22" i="31"/>
  <c r="K64" i="31" s="1"/>
  <c r="J22" i="31"/>
  <c r="I22" i="31"/>
  <c r="I64" i="31" s="1"/>
  <c r="H22" i="31"/>
  <c r="H64" i="31" s="1"/>
  <c r="G22" i="31"/>
  <c r="G64" i="31" s="1"/>
  <c r="F22" i="31"/>
  <c r="F64" i="31" s="1"/>
  <c r="E22" i="31"/>
  <c r="E64" i="31" s="1"/>
  <c r="D22" i="31"/>
  <c r="D64" i="31" s="1"/>
  <c r="C22" i="31"/>
  <c r="C64" i="31" s="1"/>
  <c r="B22" i="31"/>
  <c r="M21" i="31"/>
  <c r="M63" i="31" s="1"/>
  <c r="L21" i="31"/>
  <c r="L63" i="31" s="1"/>
  <c r="K21" i="31"/>
  <c r="K63" i="31" s="1"/>
  <c r="J21" i="31"/>
  <c r="J63" i="31" s="1"/>
  <c r="I21" i="31"/>
  <c r="I63" i="31" s="1"/>
  <c r="H21" i="31"/>
  <c r="H63" i="31" s="1"/>
  <c r="G21" i="31"/>
  <c r="G63" i="31" s="1"/>
  <c r="F21" i="31"/>
  <c r="E21" i="31"/>
  <c r="E63" i="31" s="1"/>
  <c r="D21" i="31"/>
  <c r="D63" i="31" s="1"/>
  <c r="C21" i="31"/>
  <c r="C63" i="31" s="1"/>
  <c r="B21" i="31"/>
  <c r="B63" i="31" s="1"/>
  <c r="M20" i="31"/>
  <c r="L20" i="31"/>
  <c r="K20" i="31"/>
  <c r="J20" i="31"/>
  <c r="I20" i="31"/>
  <c r="H20" i="31"/>
  <c r="G20" i="31"/>
  <c r="G48" i="31" s="1"/>
  <c r="F20" i="31"/>
  <c r="E20" i="31"/>
  <c r="E34" i="31" s="1"/>
  <c r="D20" i="31"/>
  <c r="C20" i="31"/>
  <c r="B20" i="31"/>
  <c r="M19" i="31"/>
  <c r="M61" i="31" s="1"/>
  <c r="L19" i="31"/>
  <c r="L61" i="31" s="1"/>
  <c r="K19" i="31"/>
  <c r="K61" i="31" s="1"/>
  <c r="J19" i="31"/>
  <c r="J61" i="31" s="1"/>
  <c r="I19" i="31"/>
  <c r="I61" i="31" s="1"/>
  <c r="H19" i="31"/>
  <c r="H61" i="31" s="1"/>
  <c r="G19" i="31"/>
  <c r="G61" i="31" s="1"/>
  <c r="F19" i="31"/>
  <c r="F33" i="31" s="1"/>
  <c r="E19" i="31"/>
  <c r="E61" i="31" s="1"/>
  <c r="D19" i="31"/>
  <c r="D61" i="31" s="1"/>
  <c r="C19" i="31"/>
  <c r="C61" i="31" s="1"/>
  <c r="B19" i="31"/>
  <c r="B61" i="31" s="1"/>
  <c r="M18" i="31"/>
  <c r="M60" i="31" s="1"/>
  <c r="L18" i="31"/>
  <c r="L60" i="31" s="1"/>
  <c r="K18" i="31"/>
  <c r="K60" i="31" s="1"/>
  <c r="J18" i="31"/>
  <c r="J32" i="31" s="1"/>
  <c r="I18" i="31"/>
  <c r="I60" i="31" s="1"/>
  <c r="H18" i="31"/>
  <c r="H60" i="31" s="1"/>
  <c r="G18" i="31"/>
  <c r="G60" i="31" s="1"/>
  <c r="F18" i="31"/>
  <c r="F60" i="31" s="1"/>
  <c r="E18" i="31"/>
  <c r="E60" i="31" s="1"/>
  <c r="D18" i="31"/>
  <c r="D60" i="31" s="1"/>
  <c r="C18" i="31"/>
  <c r="C60" i="31" s="1"/>
  <c r="B18" i="31"/>
  <c r="B32" i="31" s="1"/>
  <c r="M17" i="31"/>
  <c r="M59" i="31" s="1"/>
  <c r="L17" i="31"/>
  <c r="L59" i="31" s="1"/>
  <c r="K17" i="31"/>
  <c r="K59" i="31" s="1"/>
  <c r="J17" i="31"/>
  <c r="J59" i="31" s="1"/>
  <c r="I17" i="31"/>
  <c r="I59" i="31" s="1"/>
  <c r="H17" i="31"/>
  <c r="H59" i="31" s="1"/>
  <c r="G17" i="31"/>
  <c r="G59" i="31" s="1"/>
  <c r="F17" i="31"/>
  <c r="F31" i="31" s="1"/>
  <c r="E17" i="31"/>
  <c r="E59" i="31" s="1"/>
  <c r="D17" i="31"/>
  <c r="D59" i="31" s="1"/>
  <c r="C17" i="31"/>
  <c r="C59" i="31" s="1"/>
  <c r="B17" i="31"/>
  <c r="B59" i="31" s="1"/>
  <c r="M16" i="31"/>
  <c r="M58" i="31" s="1"/>
  <c r="L16" i="31"/>
  <c r="L58" i="31" s="1"/>
  <c r="K16" i="31"/>
  <c r="K58" i="31" s="1"/>
  <c r="J16" i="31"/>
  <c r="J30" i="31" s="1"/>
  <c r="I16" i="31"/>
  <c r="I58" i="31" s="1"/>
  <c r="H16" i="31"/>
  <c r="H58" i="31" s="1"/>
  <c r="G16" i="31"/>
  <c r="G58" i="31" s="1"/>
  <c r="F16" i="31"/>
  <c r="F58" i="31" s="1"/>
  <c r="E16" i="31"/>
  <c r="E58" i="31" s="1"/>
  <c r="D16" i="31"/>
  <c r="D58" i="31" s="1"/>
  <c r="C16" i="31"/>
  <c r="C58" i="31" s="1"/>
  <c r="B16" i="31"/>
  <c r="M27" i="30"/>
  <c r="M69" i="30" s="1"/>
  <c r="L27" i="30"/>
  <c r="L69" i="30" s="1"/>
  <c r="K27" i="30"/>
  <c r="K69" i="30" s="1"/>
  <c r="J27" i="30"/>
  <c r="J69" i="30" s="1"/>
  <c r="I27" i="30"/>
  <c r="I69" i="30" s="1"/>
  <c r="H27" i="30"/>
  <c r="H69" i="30" s="1"/>
  <c r="G27" i="30"/>
  <c r="G69" i="30" s="1"/>
  <c r="F27" i="30"/>
  <c r="F55" i="30" s="1"/>
  <c r="E27" i="30"/>
  <c r="E69" i="30" s="1"/>
  <c r="D27" i="30"/>
  <c r="D69" i="30" s="1"/>
  <c r="C27" i="30"/>
  <c r="C69" i="30" s="1"/>
  <c r="B27" i="30"/>
  <c r="B69" i="30" s="1"/>
  <c r="M26" i="30"/>
  <c r="M68" i="30" s="1"/>
  <c r="L26" i="30"/>
  <c r="L68" i="30" s="1"/>
  <c r="K26" i="30"/>
  <c r="K68" i="30" s="1"/>
  <c r="J26" i="30"/>
  <c r="J68" i="30" s="1"/>
  <c r="I26" i="30"/>
  <c r="I68" i="30" s="1"/>
  <c r="H26" i="30"/>
  <c r="H68" i="30" s="1"/>
  <c r="G26" i="30"/>
  <c r="G68" i="30" s="1"/>
  <c r="F26" i="30"/>
  <c r="F68" i="30" s="1"/>
  <c r="E26" i="30"/>
  <c r="E68" i="30" s="1"/>
  <c r="D26" i="30"/>
  <c r="D68" i="30" s="1"/>
  <c r="C26" i="30"/>
  <c r="C68" i="30" s="1"/>
  <c r="B26" i="30"/>
  <c r="B68" i="30" s="1"/>
  <c r="M25" i="30"/>
  <c r="M67" i="30" s="1"/>
  <c r="L25" i="30"/>
  <c r="L67" i="30" s="1"/>
  <c r="K25" i="30"/>
  <c r="K67" i="30" s="1"/>
  <c r="J25" i="30"/>
  <c r="J67" i="30" s="1"/>
  <c r="I25" i="30"/>
  <c r="I67" i="30" s="1"/>
  <c r="H25" i="30"/>
  <c r="H67" i="30" s="1"/>
  <c r="G25" i="30"/>
  <c r="G67" i="30" s="1"/>
  <c r="F25" i="30"/>
  <c r="F53" i="30" s="1"/>
  <c r="E25" i="30"/>
  <c r="E67" i="30" s="1"/>
  <c r="D25" i="30"/>
  <c r="D67" i="30" s="1"/>
  <c r="C25" i="30"/>
  <c r="C67" i="30" s="1"/>
  <c r="B25" i="30"/>
  <c r="B67" i="30" s="1"/>
  <c r="L66" i="30"/>
  <c r="M23" i="30"/>
  <c r="M65" i="30" s="1"/>
  <c r="L23" i="30"/>
  <c r="L65" i="30" s="1"/>
  <c r="K23" i="30"/>
  <c r="K65" i="30" s="1"/>
  <c r="J23" i="30"/>
  <c r="J65" i="30" s="1"/>
  <c r="I23" i="30"/>
  <c r="I65" i="30" s="1"/>
  <c r="H23" i="30"/>
  <c r="H65" i="30" s="1"/>
  <c r="G23" i="30"/>
  <c r="G65" i="30" s="1"/>
  <c r="F23" i="30"/>
  <c r="F65" i="30" s="1"/>
  <c r="E23" i="30"/>
  <c r="E65" i="30" s="1"/>
  <c r="D23" i="30"/>
  <c r="D65" i="30" s="1"/>
  <c r="C23" i="30"/>
  <c r="C65" i="30" s="1"/>
  <c r="B23" i="30"/>
  <c r="B65" i="30" s="1"/>
  <c r="M22" i="30"/>
  <c r="M64" i="30" s="1"/>
  <c r="L22" i="30"/>
  <c r="L64" i="30" s="1"/>
  <c r="K22" i="30"/>
  <c r="K64" i="30" s="1"/>
  <c r="J22" i="30"/>
  <c r="J64" i="30" s="1"/>
  <c r="I22" i="30"/>
  <c r="I64" i="30" s="1"/>
  <c r="H22" i="30"/>
  <c r="H64" i="30" s="1"/>
  <c r="G22" i="30"/>
  <c r="G64" i="30" s="1"/>
  <c r="F22" i="30"/>
  <c r="F64" i="30" s="1"/>
  <c r="E22" i="30"/>
  <c r="E64" i="30" s="1"/>
  <c r="D22" i="30"/>
  <c r="D64" i="30" s="1"/>
  <c r="C22" i="30"/>
  <c r="C64" i="30" s="1"/>
  <c r="B22" i="30"/>
  <c r="B36" i="30" s="1"/>
  <c r="M21" i="30"/>
  <c r="M63" i="30" s="1"/>
  <c r="L21" i="30"/>
  <c r="L63" i="30" s="1"/>
  <c r="K21" i="30"/>
  <c r="K63" i="30" s="1"/>
  <c r="J21" i="30"/>
  <c r="J63" i="30" s="1"/>
  <c r="I21" i="30"/>
  <c r="I63" i="30" s="1"/>
  <c r="H21" i="30"/>
  <c r="H63" i="30" s="1"/>
  <c r="G21" i="30"/>
  <c r="G63" i="30" s="1"/>
  <c r="F21" i="30"/>
  <c r="F63" i="30" s="1"/>
  <c r="E21" i="30"/>
  <c r="E63" i="30" s="1"/>
  <c r="D21" i="30"/>
  <c r="D63" i="30" s="1"/>
  <c r="C21" i="30"/>
  <c r="C63" i="30" s="1"/>
  <c r="B21" i="30"/>
  <c r="B63" i="30" s="1"/>
  <c r="M20" i="30"/>
  <c r="L20" i="30"/>
  <c r="K20" i="30"/>
  <c r="K48" i="30" s="1"/>
  <c r="J20" i="30"/>
  <c r="I20" i="30"/>
  <c r="I48" i="30" s="1"/>
  <c r="H20" i="30"/>
  <c r="H34" i="30" s="1"/>
  <c r="G20" i="30"/>
  <c r="F20" i="30"/>
  <c r="E20" i="30"/>
  <c r="E48" i="30" s="1"/>
  <c r="D20" i="30"/>
  <c r="C20" i="30"/>
  <c r="C48" i="30" s="1"/>
  <c r="B20" i="30"/>
  <c r="M19" i="30"/>
  <c r="M61" i="30" s="1"/>
  <c r="L19" i="30"/>
  <c r="L61" i="30" s="1"/>
  <c r="K19" i="30"/>
  <c r="K61" i="30" s="1"/>
  <c r="J19" i="30"/>
  <c r="J61" i="30" s="1"/>
  <c r="I19" i="30"/>
  <c r="I61" i="30" s="1"/>
  <c r="H19" i="30"/>
  <c r="H61" i="30" s="1"/>
  <c r="G19" i="30"/>
  <c r="G61" i="30" s="1"/>
  <c r="F19" i="30"/>
  <c r="F61" i="30" s="1"/>
  <c r="E19" i="30"/>
  <c r="E61" i="30" s="1"/>
  <c r="D19" i="30"/>
  <c r="D61" i="30" s="1"/>
  <c r="C19" i="30"/>
  <c r="C61" i="30" s="1"/>
  <c r="B19" i="30"/>
  <c r="B61" i="30" s="1"/>
  <c r="M18" i="30"/>
  <c r="M60" i="30" s="1"/>
  <c r="L18" i="30"/>
  <c r="L60" i="30" s="1"/>
  <c r="K18" i="30"/>
  <c r="K60" i="30" s="1"/>
  <c r="J18" i="30"/>
  <c r="J46" i="30" s="1"/>
  <c r="I18" i="30"/>
  <c r="I60" i="30" s="1"/>
  <c r="H18" i="30"/>
  <c r="H60" i="30" s="1"/>
  <c r="G18" i="30"/>
  <c r="G60" i="30" s="1"/>
  <c r="F18" i="30"/>
  <c r="F60" i="30" s="1"/>
  <c r="E18" i="30"/>
  <c r="E60" i="30" s="1"/>
  <c r="D18" i="30"/>
  <c r="D60" i="30" s="1"/>
  <c r="C18" i="30"/>
  <c r="C60" i="30" s="1"/>
  <c r="B18" i="30"/>
  <c r="B60" i="30" s="1"/>
  <c r="M17" i="30"/>
  <c r="M59" i="30" s="1"/>
  <c r="L17" i="30"/>
  <c r="L59" i="30" s="1"/>
  <c r="K17" i="30"/>
  <c r="K59" i="30" s="1"/>
  <c r="J17" i="30"/>
  <c r="J59" i="30" s="1"/>
  <c r="I17" i="30"/>
  <c r="I59" i="30" s="1"/>
  <c r="H17" i="30"/>
  <c r="H59" i="30" s="1"/>
  <c r="G17" i="30"/>
  <c r="G59" i="30" s="1"/>
  <c r="F17" i="30"/>
  <c r="F31" i="30" s="1"/>
  <c r="E17" i="30"/>
  <c r="E59" i="30" s="1"/>
  <c r="D17" i="30"/>
  <c r="D59" i="30" s="1"/>
  <c r="C17" i="30"/>
  <c r="C59" i="30" s="1"/>
  <c r="B17" i="30"/>
  <c r="B59" i="30" s="1"/>
  <c r="M16" i="30"/>
  <c r="M58" i="30" s="1"/>
  <c r="L16" i="30"/>
  <c r="L58" i="30" s="1"/>
  <c r="K16" i="30"/>
  <c r="K58" i="30" s="1"/>
  <c r="J16" i="30"/>
  <c r="J58" i="30" s="1"/>
  <c r="I16" i="30"/>
  <c r="I58" i="30" s="1"/>
  <c r="H16" i="30"/>
  <c r="H58" i="30" s="1"/>
  <c r="G16" i="30"/>
  <c r="G58" i="30" s="1"/>
  <c r="F16" i="30"/>
  <c r="F58" i="30" s="1"/>
  <c r="E16" i="30"/>
  <c r="E58" i="30" s="1"/>
  <c r="D16" i="30"/>
  <c r="D58" i="30" s="1"/>
  <c r="C16" i="30"/>
  <c r="C58" i="30" s="1"/>
  <c r="B16" i="30"/>
  <c r="B30" i="30" s="1"/>
  <c r="M27" i="29"/>
  <c r="M69" i="29" s="1"/>
  <c r="L27" i="29"/>
  <c r="L69" i="29" s="1"/>
  <c r="K27" i="29"/>
  <c r="K69" i="29" s="1"/>
  <c r="J27" i="29"/>
  <c r="J69" i="29" s="1"/>
  <c r="I27" i="29"/>
  <c r="I69" i="29" s="1"/>
  <c r="H27" i="29"/>
  <c r="H69" i="29" s="1"/>
  <c r="G27" i="29"/>
  <c r="G69" i="29" s="1"/>
  <c r="F27" i="29"/>
  <c r="F69" i="29" s="1"/>
  <c r="E27" i="29"/>
  <c r="E69" i="29" s="1"/>
  <c r="D27" i="29"/>
  <c r="D69" i="29" s="1"/>
  <c r="C27" i="29"/>
  <c r="C69" i="29" s="1"/>
  <c r="B27" i="29"/>
  <c r="B69" i="29" s="1"/>
  <c r="M26" i="29"/>
  <c r="M68" i="29" s="1"/>
  <c r="L26" i="29"/>
  <c r="L68" i="29" s="1"/>
  <c r="K26" i="29"/>
  <c r="K68" i="29" s="1"/>
  <c r="J26" i="29"/>
  <c r="J40" i="29" s="1"/>
  <c r="I26" i="29"/>
  <c r="I68" i="29" s="1"/>
  <c r="H26" i="29"/>
  <c r="H68" i="29" s="1"/>
  <c r="G26" i="29"/>
  <c r="G68" i="29" s="1"/>
  <c r="F26" i="29"/>
  <c r="F68" i="29" s="1"/>
  <c r="E26" i="29"/>
  <c r="E68" i="29" s="1"/>
  <c r="D26" i="29"/>
  <c r="D68" i="29" s="1"/>
  <c r="C26" i="29"/>
  <c r="C68" i="29" s="1"/>
  <c r="B26" i="29"/>
  <c r="B54" i="29" s="1"/>
  <c r="M25" i="29"/>
  <c r="M67" i="29" s="1"/>
  <c r="L25" i="29"/>
  <c r="L67" i="29" s="1"/>
  <c r="K25" i="29"/>
  <c r="K67" i="29" s="1"/>
  <c r="J25" i="29"/>
  <c r="J67" i="29" s="1"/>
  <c r="I25" i="29"/>
  <c r="I67" i="29" s="1"/>
  <c r="H25" i="29"/>
  <c r="H67" i="29" s="1"/>
  <c r="G25" i="29"/>
  <c r="G67" i="29" s="1"/>
  <c r="F25" i="29"/>
  <c r="F67" i="29" s="1"/>
  <c r="E25" i="29"/>
  <c r="E67" i="29" s="1"/>
  <c r="D25" i="29"/>
  <c r="D67" i="29" s="1"/>
  <c r="C25" i="29"/>
  <c r="C67" i="29" s="1"/>
  <c r="B25" i="29"/>
  <c r="B67" i="29" s="1"/>
  <c r="M23" i="29"/>
  <c r="M65" i="29" s="1"/>
  <c r="L23" i="29"/>
  <c r="L65" i="29" s="1"/>
  <c r="K23" i="29"/>
  <c r="K65" i="29" s="1"/>
  <c r="J23" i="29"/>
  <c r="J65" i="29" s="1"/>
  <c r="I23" i="29"/>
  <c r="I65" i="29" s="1"/>
  <c r="H23" i="29"/>
  <c r="H65" i="29" s="1"/>
  <c r="G23" i="29"/>
  <c r="G65" i="29" s="1"/>
  <c r="F23" i="29"/>
  <c r="F37" i="29" s="1"/>
  <c r="E23" i="29"/>
  <c r="E65" i="29" s="1"/>
  <c r="D23" i="29"/>
  <c r="D65" i="29" s="1"/>
  <c r="C23" i="29"/>
  <c r="C65" i="29" s="1"/>
  <c r="B23" i="29"/>
  <c r="B65" i="29" s="1"/>
  <c r="M22" i="29"/>
  <c r="M64" i="29" s="1"/>
  <c r="L22" i="29"/>
  <c r="L64" i="29" s="1"/>
  <c r="K22" i="29"/>
  <c r="K64" i="29" s="1"/>
  <c r="J22" i="29"/>
  <c r="J64" i="29" s="1"/>
  <c r="I22" i="29"/>
  <c r="I64" i="29" s="1"/>
  <c r="H22" i="29"/>
  <c r="H64" i="29" s="1"/>
  <c r="G22" i="29"/>
  <c r="G64" i="29" s="1"/>
  <c r="F22" i="29"/>
  <c r="F64" i="29" s="1"/>
  <c r="E22" i="29"/>
  <c r="E64" i="29" s="1"/>
  <c r="D22" i="29"/>
  <c r="D64" i="29" s="1"/>
  <c r="C22" i="29"/>
  <c r="C64" i="29" s="1"/>
  <c r="B22" i="29"/>
  <c r="B36" i="29" s="1"/>
  <c r="M21" i="29"/>
  <c r="M63" i="29" s="1"/>
  <c r="L21" i="29"/>
  <c r="L63" i="29" s="1"/>
  <c r="K21" i="29"/>
  <c r="K63" i="29" s="1"/>
  <c r="J21" i="29"/>
  <c r="J63" i="29" s="1"/>
  <c r="I21" i="29"/>
  <c r="I63" i="29" s="1"/>
  <c r="H21" i="29"/>
  <c r="H63" i="29" s="1"/>
  <c r="G21" i="29"/>
  <c r="G63" i="29" s="1"/>
  <c r="F21" i="29"/>
  <c r="F63" i="29" s="1"/>
  <c r="E21" i="29"/>
  <c r="E63" i="29" s="1"/>
  <c r="D21" i="29"/>
  <c r="D63" i="29" s="1"/>
  <c r="C21" i="29"/>
  <c r="C63" i="29" s="1"/>
  <c r="B21" i="29"/>
  <c r="B63" i="29" s="1"/>
  <c r="M20" i="29"/>
  <c r="L20" i="29"/>
  <c r="K20" i="29"/>
  <c r="J20" i="29"/>
  <c r="I20" i="29"/>
  <c r="I34" i="29" s="1"/>
  <c r="H20" i="29"/>
  <c r="H48" i="29" s="1"/>
  <c r="G20" i="29"/>
  <c r="F20" i="29"/>
  <c r="E20" i="29"/>
  <c r="E62" i="29" s="1"/>
  <c r="D20" i="29"/>
  <c r="C20" i="29"/>
  <c r="B20" i="29"/>
  <c r="M19" i="29"/>
  <c r="M61" i="29" s="1"/>
  <c r="L19" i="29"/>
  <c r="L61" i="29" s="1"/>
  <c r="K19" i="29"/>
  <c r="K61" i="29" s="1"/>
  <c r="J19" i="29"/>
  <c r="J61" i="29" s="1"/>
  <c r="I19" i="29"/>
  <c r="I61" i="29" s="1"/>
  <c r="H19" i="29"/>
  <c r="H61" i="29" s="1"/>
  <c r="G19" i="29"/>
  <c r="G61" i="29" s="1"/>
  <c r="F19" i="29"/>
  <c r="F33" i="29" s="1"/>
  <c r="E19" i="29"/>
  <c r="E61" i="29" s="1"/>
  <c r="D19" i="29"/>
  <c r="D61" i="29" s="1"/>
  <c r="C19" i="29"/>
  <c r="C61" i="29" s="1"/>
  <c r="B19" i="29"/>
  <c r="B61" i="29" s="1"/>
  <c r="M18" i="29"/>
  <c r="M60" i="29" s="1"/>
  <c r="L18" i="29"/>
  <c r="L60" i="29" s="1"/>
  <c r="K18" i="29"/>
  <c r="K60" i="29" s="1"/>
  <c r="J18" i="29"/>
  <c r="J60" i="29" s="1"/>
  <c r="I18" i="29"/>
  <c r="I60" i="29" s="1"/>
  <c r="H18" i="29"/>
  <c r="H60" i="29" s="1"/>
  <c r="G18" i="29"/>
  <c r="G60" i="29" s="1"/>
  <c r="F18" i="29"/>
  <c r="F60" i="29" s="1"/>
  <c r="E18" i="29"/>
  <c r="E60" i="29" s="1"/>
  <c r="D18" i="29"/>
  <c r="D60" i="29" s="1"/>
  <c r="C18" i="29"/>
  <c r="C60" i="29" s="1"/>
  <c r="B18" i="29"/>
  <c r="B60" i="29" s="1"/>
  <c r="M17" i="29"/>
  <c r="M59" i="29" s="1"/>
  <c r="L17" i="29"/>
  <c r="L59" i="29" s="1"/>
  <c r="K17" i="29"/>
  <c r="K59" i="29" s="1"/>
  <c r="J17" i="29"/>
  <c r="J59" i="29" s="1"/>
  <c r="I17" i="29"/>
  <c r="I59" i="29" s="1"/>
  <c r="H17" i="29"/>
  <c r="H59" i="29" s="1"/>
  <c r="G17" i="29"/>
  <c r="G59" i="29" s="1"/>
  <c r="F17" i="29"/>
  <c r="F59" i="29" s="1"/>
  <c r="E17" i="29"/>
  <c r="E59" i="29" s="1"/>
  <c r="D17" i="29"/>
  <c r="D59" i="29" s="1"/>
  <c r="C17" i="29"/>
  <c r="C59" i="29" s="1"/>
  <c r="B17" i="29"/>
  <c r="B59" i="29" s="1"/>
  <c r="M16" i="29"/>
  <c r="M58" i="29" s="1"/>
  <c r="L16" i="29"/>
  <c r="L58" i="29" s="1"/>
  <c r="K16" i="29"/>
  <c r="K58" i="29" s="1"/>
  <c r="J16" i="29"/>
  <c r="J58" i="29" s="1"/>
  <c r="I16" i="29"/>
  <c r="I58" i="29" s="1"/>
  <c r="H16" i="29"/>
  <c r="H58" i="29" s="1"/>
  <c r="G16" i="29"/>
  <c r="G58" i="29" s="1"/>
  <c r="F16" i="29"/>
  <c r="F58" i="29" s="1"/>
  <c r="E16" i="29"/>
  <c r="E58" i="29" s="1"/>
  <c r="D16" i="29"/>
  <c r="D58" i="29" s="1"/>
  <c r="C16" i="29"/>
  <c r="C58" i="29" s="1"/>
  <c r="B16" i="29"/>
  <c r="B58" i="29" s="1"/>
  <c r="M27" i="28"/>
  <c r="M69" i="28" s="1"/>
  <c r="L27" i="28"/>
  <c r="L69" i="28" s="1"/>
  <c r="K27" i="28"/>
  <c r="K69" i="28" s="1"/>
  <c r="J27" i="28"/>
  <c r="J69" i="28" s="1"/>
  <c r="I27" i="28"/>
  <c r="I69" i="28" s="1"/>
  <c r="H27" i="28"/>
  <c r="H69" i="28" s="1"/>
  <c r="G27" i="28"/>
  <c r="G69" i="28" s="1"/>
  <c r="F27" i="28"/>
  <c r="F55" i="28" s="1"/>
  <c r="E27" i="28"/>
  <c r="E69" i="28" s="1"/>
  <c r="D27" i="28"/>
  <c r="D69" i="28" s="1"/>
  <c r="C27" i="28"/>
  <c r="C69" i="28" s="1"/>
  <c r="B27" i="28"/>
  <c r="B69" i="28" s="1"/>
  <c r="M26" i="28"/>
  <c r="M68" i="28" s="1"/>
  <c r="L26" i="28"/>
  <c r="L68" i="28" s="1"/>
  <c r="K26" i="28"/>
  <c r="K68" i="28" s="1"/>
  <c r="J26" i="28"/>
  <c r="J40" i="28" s="1"/>
  <c r="I26" i="28"/>
  <c r="I68" i="28" s="1"/>
  <c r="H26" i="28"/>
  <c r="H68" i="28" s="1"/>
  <c r="G26" i="28"/>
  <c r="G68" i="28" s="1"/>
  <c r="F26" i="28"/>
  <c r="F68" i="28" s="1"/>
  <c r="E26" i="28"/>
  <c r="E68" i="28" s="1"/>
  <c r="D26" i="28"/>
  <c r="D68" i="28" s="1"/>
  <c r="C26" i="28"/>
  <c r="C68" i="28" s="1"/>
  <c r="B26" i="28"/>
  <c r="B54" i="28" s="1"/>
  <c r="M25" i="28"/>
  <c r="M67" i="28" s="1"/>
  <c r="L25" i="28"/>
  <c r="L67" i="28" s="1"/>
  <c r="K25" i="28"/>
  <c r="K67" i="28" s="1"/>
  <c r="J25" i="28"/>
  <c r="J67" i="28" s="1"/>
  <c r="I25" i="28"/>
  <c r="I67" i="28" s="1"/>
  <c r="H25" i="28"/>
  <c r="H67" i="28" s="1"/>
  <c r="G25" i="28"/>
  <c r="G67" i="28" s="1"/>
  <c r="F25" i="28"/>
  <c r="F53" i="28" s="1"/>
  <c r="E25" i="28"/>
  <c r="E67" i="28" s="1"/>
  <c r="D25" i="28"/>
  <c r="D67" i="28" s="1"/>
  <c r="C25" i="28"/>
  <c r="C67" i="28" s="1"/>
  <c r="B25" i="28"/>
  <c r="B67" i="28" s="1"/>
  <c r="L66" i="28"/>
  <c r="M23" i="28"/>
  <c r="M65" i="28" s="1"/>
  <c r="L23" i="28"/>
  <c r="L65" i="28" s="1"/>
  <c r="K23" i="28"/>
  <c r="K65" i="28" s="1"/>
  <c r="J23" i="28"/>
  <c r="J65" i="28" s="1"/>
  <c r="I23" i="28"/>
  <c r="I65" i="28" s="1"/>
  <c r="H23" i="28"/>
  <c r="H65" i="28" s="1"/>
  <c r="G23" i="28"/>
  <c r="G65" i="28" s="1"/>
  <c r="F23" i="28"/>
  <c r="F65" i="28" s="1"/>
  <c r="E23" i="28"/>
  <c r="E65" i="28" s="1"/>
  <c r="D23" i="28"/>
  <c r="D65" i="28" s="1"/>
  <c r="C23" i="28"/>
  <c r="C65" i="28" s="1"/>
  <c r="B23" i="28"/>
  <c r="B65" i="28" s="1"/>
  <c r="M22" i="28"/>
  <c r="M64" i="28" s="1"/>
  <c r="L22" i="28"/>
  <c r="L64" i="28" s="1"/>
  <c r="K22" i="28"/>
  <c r="K64" i="28" s="1"/>
  <c r="J22" i="28"/>
  <c r="J64" i="28" s="1"/>
  <c r="I22" i="28"/>
  <c r="I64" i="28" s="1"/>
  <c r="H22" i="28"/>
  <c r="H64" i="28" s="1"/>
  <c r="G22" i="28"/>
  <c r="G64" i="28" s="1"/>
  <c r="F22" i="28"/>
  <c r="F64" i="28" s="1"/>
  <c r="E22" i="28"/>
  <c r="E64" i="28" s="1"/>
  <c r="D22" i="28"/>
  <c r="D64" i="28" s="1"/>
  <c r="C22" i="28"/>
  <c r="C64" i="28" s="1"/>
  <c r="B22" i="28"/>
  <c r="B36" i="28" s="1"/>
  <c r="M21" i="28"/>
  <c r="M63" i="28" s="1"/>
  <c r="L21" i="28"/>
  <c r="L63" i="28" s="1"/>
  <c r="K21" i="28"/>
  <c r="K63" i="28" s="1"/>
  <c r="J21" i="28"/>
  <c r="J63" i="28" s="1"/>
  <c r="I21" i="28"/>
  <c r="I63" i="28" s="1"/>
  <c r="H21" i="28"/>
  <c r="H63" i="28" s="1"/>
  <c r="G21" i="28"/>
  <c r="G63" i="28" s="1"/>
  <c r="F21" i="28"/>
  <c r="F63" i="28" s="1"/>
  <c r="E21" i="28"/>
  <c r="E63" i="28" s="1"/>
  <c r="D21" i="28"/>
  <c r="D63" i="28" s="1"/>
  <c r="C21" i="28"/>
  <c r="C63" i="28" s="1"/>
  <c r="B21" i="28"/>
  <c r="B63" i="28" s="1"/>
  <c r="M20" i="28"/>
  <c r="L20" i="28"/>
  <c r="K20" i="28"/>
  <c r="K48" i="28" s="1"/>
  <c r="J20" i="28"/>
  <c r="I20" i="28"/>
  <c r="H20" i="28"/>
  <c r="H62" i="28" s="1"/>
  <c r="G20" i="28"/>
  <c r="F20" i="28"/>
  <c r="E20" i="28"/>
  <c r="E48" i="28" s="1"/>
  <c r="D20" i="28"/>
  <c r="C20" i="28"/>
  <c r="B20" i="28"/>
  <c r="B62" i="28" s="1"/>
  <c r="M19" i="28"/>
  <c r="M61" i="28" s="1"/>
  <c r="L19" i="28"/>
  <c r="L61" i="28" s="1"/>
  <c r="K19" i="28"/>
  <c r="K61" i="28" s="1"/>
  <c r="J19" i="28"/>
  <c r="J61" i="28" s="1"/>
  <c r="I19" i="28"/>
  <c r="I61" i="28" s="1"/>
  <c r="H19" i="28"/>
  <c r="H61" i="28" s="1"/>
  <c r="G19" i="28"/>
  <c r="G61" i="28" s="1"/>
  <c r="F19" i="28"/>
  <c r="F61" i="28" s="1"/>
  <c r="E19" i="28"/>
  <c r="E61" i="28" s="1"/>
  <c r="D19" i="28"/>
  <c r="D61" i="28" s="1"/>
  <c r="C19" i="28"/>
  <c r="C61" i="28" s="1"/>
  <c r="B19" i="28"/>
  <c r="B61" i="28" s="1"/>
  <c r="M18" i="28"/>
  <c r="M60" i="28" s="1"/>
  <c r="L18" i="28"/>
  <c r="L60" i="28" s="1"/>
  <c r="K18" i="28"/>
  <c r="K60" i="28" s="1"/>
  <c r="J18" i="28"/>
  <c r="J60" i="28" s="1"/>
  <c r="I18" i="28"/>
  <c r="I60" i="28" s="1"/>
  <c r="H18" i="28"/>
  <c r="H60" i="28" s="1"/>
  <c r="G18" i="28"/>
  <c r="G60" i="28" s="1"/>
  <c r="F18" i="28"/>
  <c r="F60" i="28" s="1"/>
  <c r="E18" i="28"/>
  <c r="E60" i="28" s="1"/>
  <c r="D18" i="28"/>
  <c r="D60" i="28" s="1"/>
  <c r="C18" i="28"/>
  <c r="C60" i="28" s="1"/>
  <c r="B18" i="28"/>
  <c r="B60" i="28" s="1"/>
  <c r="M17" i="28"/>
  <c r="M59" i="28" s="1"/>
  <c r="L17" i="28"/>
  <c r="L59" i="28" s="1"/>
  <c r="K17" i="28"/>
  <c r="K59" i="28" s="1"/>
  <c r="J17" i="28"/>
  <c r="J59" i="28" s="1"/>
  <c r="I17" i="28"/>
  <c r="I59" i="28" s="1"/>
  <c r="H17" i="28"/>
  <c r="H59" i="28" s="1"/>
  <c r="G17" i="28"/>
  <c r="G59" i="28" s="1"/>
  <c r="F17" i="28"/>
  <c r="F59" i="28" s="1"/>
  <c r="E17" i="28"/>
  <c r="E59" i="28" s="1"/>
  <c r="D17" i="28"/>
  <c r="D59" i="28" s="1"/>
  <c r="C17" i="28"/>
  <c r="C59" i="28" s="1"/>
  <c r="B17" i="28"/>
  <c r="B59" i="28" s="1"/>
  <c r="M16" i="28"/>
  <c r="M58" i="28" s="1"/>
  <c r="L16" i="28"/>
  <c r="L58" i="28" s="1"/>
  <c r="K16" i="28"/>
  <c r="K58" i="28" s="1"/>
  <c r="J16" i="28"/>
  <c r="J44" i="28" s="1"/>
  <c r="I16" i="28"/>
  <c r="I58" i="28" s="1"/>
  <c r="H16" i="28"/>
  <c r="H58" i="28" s="1"/>
  <c r="G16" i="28"/>
  <c r="G58" i="28" s="1"/>
  <c r="F16" i="28"/>
  <c r="F58" i="28" s="1"/>
  <c r="E16" i="28"/>
  <c r="E58" i="28" s="1"/>
  <c r="D16" i="28"/>
  <c r="D58" i="28" s="1"/>
  <c r="C16" i="28"/>
  <c r="C58" i="28" s="1"/>
  <c r="B16" i="28"/>
  <c r="B58" i="28" s="1"/>
  <c r="M27" i="27"/>
  <c r="M69" i="27" s="1"/>
  <c r="L27" i="27"/>
  <c r="L69" i="27" s="1"/>
  <c r="K27" i="27"/>
  <c r="K69" i="27" s="1"/>
  <c r="J27" i="27"/>
  <c r="J69" i="27" s="1"/>
  <c r="I27" i="27"/>
  <c r="I69" i="27" s="1"/>
  <c r="H27" i="27"/>
  <c r="H69" i="27" s="1"/>
  <c r="G27" i="27"/>
  <c r="G69" i="27" s="1"/>
  <c r="F27" i="27"/>
  <c r="F41" i="27" s="1"/>
  <c r="E27" i="27"/>
  <c r="E69" i="27" s="1"/>
  <c r="D27" i="27"/>
  <c r="D69" i="27" s="1"/>
  <c r="C27" i="27"/>
  <c r="C69" i="27" s="1"/>
  <c r="B27" i="27"/>
  <c r="B69" i="27" s="1"/>
  <c r="M26" i="27"/>
  <c r="M68" i="27" s="1"/>
  <c r="L26" i="27"/>
  <c r="L68" i="27" s="1"/>
  <c r="K26" i="27"/>
  <c r="K68" i="27" s="1"/>
  <c r="J26" i="27"/>
  <c r="J68" i="27" s="1"/>
  <c r="I26" i="27"/>
  <c r="I68" i="27" s="1"/>
  <c r="H26" i="27"/>
  <c r="H68" i="27" s="1"/>
  <c r="G26" i="27"/>
  <c r="G68" i="27" s="1"/>
  <c r="F26" i="27"/>
  <c r="F68" i="27" s="1"/>
  <c r="E26" i="27"/>
  <c r="E68" i="27" s="1"/>
  <c r="D26" i="27"/>
  <c r="D68" i="27" s="1"/>
  <c r="C26" i="27"/>
  <c r="C68" i="27" s="1"/>
  <c r="B26" i="27"/>
  <c r="B68" i="27" s="1"/>
  <c r="M25" i="27"/>
  <c r="M67" i="27" s="1"/>
  <c r="L25" i="27"/>
  <c r="L67" i="27" s="1"/>
  <c r="K25" i="27"/>
  <c r="K67" i="27" s="1"/>
  <c r="J25" i="27"/>
  <c r="J67" i="27" s="1"/>
  <c r="I25" i="27"/>
  <c r="I67" i="27" s="1"/>
  <c r="H25" i="27"/>
  <c r="H67" i="27" s="1"/>
  <c r="G25" i="27"/>
  <c r="G67" i="27" s="1"/>
  <c r="F25" i="27"/>
  <c r="F67" i="27" s="1"/>
  <c r="E25" i="27"/>
  <c r="E67" i="27" s="1"/>
  <c r="D25" i="27"/>
  <c r="D67" i="27" s="1"/>
  <c r="C25" i="27"/>
  <c r="C67" i="27" s="1"/>
  <c r="B25" i="27"/>
  <c r="B67" i="27" s="1"/>
  <c r="M23" i="27"/>
  <c r="M65" i="27" s="1"/>
  <c r="L23" i="27"/>
  <c r="L65" i="27" s="1"/>
  <c r="K23" i="27"/>
  <c r="K65" i="27" s="1"/>
  <c r="J23" i="27"/>
  <c r="J65" i="27" s="1"/>
  <c r="I23" i="27"/>
  <c r="I65" i="27" s="1"/>
  <c r="H23" i="27"/>
  <c r="H65" i="27" s="1"/>
  <c r="G23" i="27"/>
  <c r="G65" i="27" s="1"/>
  <c r="F23" i="27"/>
  <c r="F37" i="27" s="1"/>
  <c r="E23" i="27"/>
  <c r="E65" i="27" s="1"/>
  <c r="D23" i="27"/>
  <c r="D65" i="27" s="1"/>
  <c r="C23" i="27"/>
  <c r="C65" i="27" s="1"/>
  <c r="B23" i="27"/>
  <c r="B65" i="27" s="1"/>
  <c r="M22" i="27"/>
  <c r="M64" i="27" s="1"/>
  <c r="L22" i="27"/>
  <c r="L64" i="27" s="1"/>
  <c r="K22" i="27"/>
  <c r="K64" i="27" s="1"/>
  <c r="J22" i="27"/>
  <c r="J50" i="27" s="1"/>
  <c r="I22" i="27"/>
  <c r="I64" i="27" s="1"/>
  <c r="H22" i="27"/>
  <c r="H64" i="27" s="1"/>
  <c r="G22" i="27"/>
  <c r="G64" i="27" s="1"/>
  <c r="F22" i="27"/>
  <c r="F64" i="27" s="1"/>
  <c r="E22" i="27"/>
  <c r="E64" i="27" s="1"/>
  <c r="D22" i="27"/>
  <c r="D64" i="27" s="1"/>
  <c r="C22" i="27"/>
  <c r="C64" i="27" s="1"/>
  <c r="B22" i="27"/>
  <c r="B36" i="27" s="1"/>
  <c r="M21" i="27"/>
  <c r="M63" i="27" s="1"/>
  <c r="L21" i="27"/>
  <c r="L63" i="27" s="1"/>
  <c r="K21" i="27"/>
  <c r="K63" i="27" s="1"/>
  <c r="J21" i="27"/>
  <c r="J63" i="27" s="1"/>
  <c r="I21" i="27"/>
  <c r="I63" i="27" s="1"/>
  <c r="H21" i="27"/>
  <c r="H63" i="27" s="1"/>
  <c r="G21" i="27"/>
  <c r="G63" i="27" s="1"/>
  <c r="F21" i="27"/>
  <c r="F49" i="27" s="1"/>
  <c r="E21" i="27"/>
  <c r="E63" i="27" s="1"/>
  <c r="D21" i="27"/>
  <c r="D63" i="27" s="1"/>
  <c r="C21" i="27"/>
  <c r="C63" i="27" s="1"/>
  <c r="B21" i="27"/>
  <c r="B63" i="27" s="1"/>
  <c r="M20" i="27"/>
  <c r="L20" i="27"/>
  <c r="K20" i="27"/>
  <c r="J20" i="27"/>
  <c r="I20" i="27"/>
  <c r="H20" i="27"/>
  <c r="H62" i="27" s="1"/>
  <c r="G20" i="27"/>
  <c r="G48" i="27" s="1"/>
  <c r="F20" i="27"/>
  <c r="F48" i="27" s="1"/>
  <c r="E20" i="27"/>
  <c r="E48" i="27" s="1"/>
  <c r="D20" i="27"/>
  <c r="C20" i="27"/>
  <c r="C34" i="27" s="1"/>
  <c r="B20" i="27"/>
  <c r="B62" i="27" s="1"/>
  <c r="M19" i="27"/>
  <c r="M61" i="27" s="1"/>
  <c r="L19" i="27"/>
  <c r="L61" i="27" s="1"/>
  <c r="K19" i="27"/>
  <c r="K61" i="27" s="1"/>
  <c r="J19" i="27"/>
  <c r="J61" i="27" s="1"/>
  <c r="I19" i="27"/>
  <c r="I61" i="27" s="1"/>
  <c r="H19" i="27"/>
  <c r="H61" i="27" s="1"/>
  <c r="G19" i="27"/>
  <c r="G61" i="27" s="1"/>
  <c r="F19" i="27"/>
  <c r="F47" i="27" s="1"/>
  <c r="E19" i="27"/>
  <c r="E61" i="27" s="1"/>
  <c r="D19" i="27"/>
  <c r="D61" i="27" s="1"/>
  <c r="C19" i="27"/>
  <c r="C61" i="27" s="1"/>
  <c r="B19" i="27"/>
  <c r="B61" i="27" s="1"/>
  <c r="M18" i="27"/>
  <c r="M60" i="27" s="1"/>
  <c r="L18" i="27"/>
  <c r="L60" i="27" s="1"/>
  <c r="K18" i="27"/>
  <c r="K60" i="27" s="1"/>
  <c r="J18" i="27"/>
  <c r="J32" i="27" s="1"/>
  <c r="I18" i="27"/>
  <c r="I60" i="27" s="1"/>
  <c r="H18" i="27"/>
  <c r="H60" i="27" s="1"/>
  <c r="G18" i="27"/>
  <c r="G60" i="27" s="1"/>
  <c r="F18" i="27"/>
  <c r="F60" i="27" s="1"/>
  <c r="E18" i="27"/>
  <c r="E60" i="27" s="1"/>
  <c r="D18" i="27"/>
  <c r="D60" i="27" s="1"/>
  <c r="C18" i="27"/>
  <c r="C60" i="27" s="1"/>
  <c r="B18" i="27"/>
  <c r="B46" i="27" s="1"/>
  <c r="M17" i="27"/>
  <c r="M59" i="27" s="1"/>
  <c r="L17" i="27"/>
  <c r="L59" i="27" s="1"/>
  <c r="K17" i="27"/>
  <c r="K59" i="27" s="1"/>
  <c r="J17" i="27"/>
  <c r="J59" i="27" s="1"/>
  <c r="I17" i="27"/>
  <c r="I59" i="27" s="1"/>
  <c r="H17" i="27"/>
  <c r="H59" i="27" s="1"/>
  <c r="G17" i="27"/>
  <c r="G59" i="27" s="1"/>
  <c r="F17" i="27"/>
  <c r="F45" i="27" s="1"/>
  <c r="E17" i="27"/>
  <c r="E59" i="27" s="1"/>
  <c r="D17" i="27"/>
  <c r="D59" i="27" s="1"/>
  <c r="C17" i="27"/>
  <c r="C59" i="27" s="1"/>
  <c r="B17" i="27"/>
  <c r="B59" i="27" s="1"/>
  <c r="M16" i="27"/>
  <c r="M58" i="27" s="1"/>
  <c r="L16" i="27"/>
  <c r="L58" i="27" s="1"/>
  <c r="K16" i="27"/>
  <c r="K58" i="27" s="1"/>
  <c r="J16" i="27"/>
  <c r="J30" i="27" s="1"/>
  <c r="I16" i="27"/>
  <c r="I58" i="27" s="1"/>
  <c r="H16" i="27"/>
  <c r="H58" i="27" s="1"/>
  <c r="G16" i="27"/>
  <c r="G58" i="27" s="1"/>
  <c r="F16" i="27"/>
  <c r="F58" i="27" s="1"/>
  <c r="E16" i="27"/>
  <c r="E58" i="27" s="1"/>
  <c r="D16" i="27"/>
  <c r="D58" i="27" s="1"/>
  <c r="C16" i="27"/>
  <c r="C58" i="27" s="1"/>
  <c r="B16" i="27"/>
  <c r="B58" i="27" s="1"/>
  <c r="M27" i="26"/>
  <c r="M69" i="26" s="1"/>
  <c r="L27" i="26"/>
  <c r="L69" i="26" s="1"/>
  <c r="K27" i="26"/>
  <c r="K69" i="26" s="1"/>
  <c r="J27" i="26"/>
  <c r="J69" i="26" s="1"/>
  <c r="I27" i="26"/>
  <c r="I69" i="26" s="1"/>
  <c r="H27" i="26"/>
  <c r="H69" i="26" s="1"/>
  <c r="G27" i="26"/>
  <c r="G69" i="26" s="1"/>
  <c r="F27" i="26"/>
  <c r="F55" i="26" s="1"/>
  <c r="E27" i="26"/>
  <c r="E69" i="26" s="1"/>
  <c r="D27" i="26"/>
  <c r="D69" i="26" s="1"/>
  <c r="C27" i="26"/>
  <c r="C69" i="26" s="1"/>
  <c r="B27" i="26"/>
  <c r="B69" i="26" s="1"/>
  <c r="M26" i="26"/>
  <c r="M68" i="26" s="1"/>
  <c r="L26" i="26"/>
  <c r="L68" i="26" s="1"/>
  <c r="K26" i="26"/>
  <c r="K68" i="26" s="1"/>
  <c r="J26" i="26"/>
  <c r="J68" i="26" s="1"/>
  <c r="I26" i="26"/>
  <c r="I68" i="26" s="1"/>
  <c r="H26" i="26"/>
  <c r="H68" i="26" s="1"/>
  <c r="G26" i="26"/>
  <c r="G68" i="26" s="1"/>
  <c r="F26" i="26"/>
  <c r="F68" i="26" s="1"/>
  <c r="E26" i="26"/>
  <c r="E68" i="26" s="1"/>
  <c r="D26" i="26"/>
  <c r="D68" i="26" s="1"/>
  <c r="C26" i="26"/>
  <c r="C68" i="26" s="1"/>
  <c r="B26" i="26"/>
  <c r="B68" i="26" s="1"/>
  <c r="M25" i="26"/>
  <c r="M67" i="26" s="1"/>
  <c r="L25" i="26"/>
  <c r="L67" i="26" s="1"/>
  <c r="K25" i="26"/>
  <c r="K67" i="26" s="1"/>
  <c r="J25" i="26"/>
  <c r="J67" i="26" s="1"/>
  <c r="I25" i="26"/>
  <c r="I67" i="26" s="1"/>
  <c r="H25" i="26"/>
  <c r="H67" i="26" s="1"/>
  <c r="G25" i="26"/>
  <c r="G67" i="26" s="1"/>
  <c r="F25" i="26"/>
  <c r="F67" i="26" s="1"/>
  <c r="E25" i="26"/>
  <c r="E67" i="26" s="1"/>
  <c r="D25" i="26"/>
  <c r="D67" i="26" s="1"/>
  <c r="C25" i="26"/>
  <c r="C67" i="26" s="1"/>
  <c r="B25" i="26"/>
  <c r="B67" i="26" s="1"/>
  <c r="M23" i="26"/>
  <c r="M65" i="26" s="1"/>
  <c r="L23" i="26"/>
  <c r="L65" i="26" s="1"/>
  <c r="K23" i="26"/>
  <c r="K65" i="26" s="1"/>
  <c r="J23" i="26"/>
  <c r="J65" i="26" s="1"/>
  <c r="I23" i="26"/>
  <c r="I65" i="26" s="1"/>
  <c r="H23" i="26"/>
  <c r="H65" i="26" s="1"/>
  <c r="G23" i="26"/>
  <c r="G65" i="26" s="1"/>
  <c r="F23" i="26"/>
  <c r="F65" i="26" s="1"/>
  <c r="E23" i="26"/>
  <c r="E65" i="26" s="1"/>
  <c r="D23" i="26"/>
  <c r="D65" i="26" s="1"/>
  <c r="C23" i="26"/>
  <c r="C65" i="26" s="1"/>
  <c r="B23" i="26"/>
  <c r="B65" i="26" s="1"/>
  <c r="M22" i="26"/>
  <c r="M64" i="26" s="1"/>
  <c r="L22" i="26"/>
  <c r="L64" i="26" s="1"/>
  <c r="K22" i="26"/>
  <c r="K64" i="26" s="1"/>
  <c r="J22" i="26"/>
  <c r="J50" i="26" s="1"/>
  <c r="I22" i="26"/>
  <c r="I64" i="26" s="1"/>
  <c r="H22" i="26"/>
  <c r="H64" i="26" s="1"/>
  <c r="G22" i="26"/>
  <c r="G64" i="26" s="1"/>
  <c r="F22" i="26"/>
  <c r="F64" i="26" s="1"/>
  <c r="E22" i="26"/>
  <c r="E64" i="26" s="1"/>
  <c r="D22" i="26"/>
  <c r="D64" i="26" s="1"/>
  <c r="C22" i="26"/>
  <c r="C64" i="26" s="1"/>
  <c r="B22" i="26"/>
  <c r="B64" i="26" s="1"/>
  <c r="M21" i="26"/>
  <c r="M63" i="26" s="1"/>
  <c r="L21" i="26"/>
  <c r="L63" i="26" s="1"/>
  <c r="K21" i="26"/>
  <c r="K63" i="26" s="1"/>
  <c r="J21" i="26"/>
  <c r="J63" i="26" s="1"/>
  <c r="I21" i="26"/>
  <c r="I63" i="26" s="1"/>
  <c r="H21" i="26"/>
  <c r="H63" i="26" s="1"/>
  <c r="G21" i="26"/>
  <c r="G63" i="26" s="1"/>
  <c r="F21" i="26"/>
  <c r="F49" i="26" s="1"/>
  <c r="E21" i="26"/>
  <c r="E63" i="26" s="1"/>
  <c r="D21" i="26"/>
  <c r="D63" i="26" s="1"/>
  <c r="C21" i="26"/>
  <c r="C63" i="26" s="1"/>
  <c r="B21" i="26"/>
  <c r="B63" i="26" s="1"/>
  <c r="M20" i="26"/>
  <c r="L20" i="26"/>
  <c r="K20" i="26"/>
  <c r="J20" i="26"/>
  <c r="I20" i="26"/>
  <c r="H20" i="26"/>
  <c r="H62" i="26" s="1"/>
  <c r="G20" i="26"/>
  <c r="G48" i="26" s="1"/>
  <c r="F20" i="26"/>
  <c r="E20" i="26"/>
  <c r="E34" i="26" s="1"/>
  <c r="D20" i="26"/>
  <c r="C20" i="26"/>
  <c r="C48" i="26" s="1"/>
  <c r="B20" i="26"/>
  <c r="B48" i="26" s="1"/>
  <c r="M19" i="26"/>
  <c r="M61" i="26" s="1"/>
  <c r="L19" i="26"/>
  <c r="L61" i="26" s="1"/>
  <c r="K19" i="26"/>
  <c r="K61" i="26" s="1"/>
  <c r="J19" i="26"/>
  <c r="J61" i="26" s="1"/>
  <c r="I19" i="26"/>
  <c r="I61" i="26" s="1"/>
  <c r="H19" i="26"/>
  <c r="H61" i="26" s="1"/>
  <c r="G19" i="26"/>
  <c r="G61" i="26" s="1"/>
  <c r="F19" i="26"/>
  <c r="F61" i="26" s="1"/>
  <c r="E19" i="26"/>
  <c r="E61" i="26" s="1"/>
  <c r="D19" i="26"/>
  <c r="D61" i="26" s="1"/>
  <c r="C19" i="26"/>
  <c r="C61" i="26" s="1"/>
  <c r="B19" i="26"/>
  <c r="B61" i="26" s="1"/>
  <c r="M18" i="26"/>
  <c r="M60" i="26" s="1"/>
  <c r="L18" i="26"/>
  <c r="L60" i="26" s="1"/>
  <c r="K18" i="26"/>
  <c r="K60" i="26" s="1"/>
  <c r="J18" i="26"/>
  <c r="J46" i="26" s="1"/>
  <c r="I18" i="26"/>
  <c r="I60" i="26" s="1"/>
  <c r="H18" i="26"/>
  <c r="H60" i="26" s="1"/>
  <c r="G18" i="26"/>
  <c r="G60" i="26" s="1"/>
  <c r="F18" i="26"/>
  <c r="F60" i="26" s="1"/>
  <c r="E18" i="26"/>
  <c r="E60" i="26" s="1"/>
  <c r="D18" i="26"/>
  <c r="D60" i="26" s="1"/>
  <c r="C18" i="26"/>
  <c r="C60" i="26" s="1"/>
  <c r="B18" i="26"/>
  <c r="B60" i="26" s="1"/>
  <c r="M17" i="26"/>
  <c r="M59" i="26" s="1"/>
  <c r="L17" i="26"/>
  <c r="L59" i="26" s="1"/>
  <c r="K17" i="26"/>
  <c r="K59" i="26" s="1"/>
  <c r="J17" i="26"/>
  <c r="J59" i="26" s="1"/>
  <c r="I17" i="26"/>
  <c r="I59" i="26" s="1"/>
  <c r="H17" i="26"/>
  <c r="H59" i="26" s="1"/>
  <c r="G17" i="26"/>
  <c r="G59" i="26" s="1"/>
  <c r="F17" i="26"/>
  <c r="F45" i="26" s="1"/>
  <c r="E17" i="26"/>
  <c r="E59" i="26" s="1"/>
  <c r="D17" i="26"/>
  <c r="D59" i="26" s="1"/>
  <c r="C17" i="26"/>
  <c r="C59" i="26" s="1"/>
  <c r="B17" i="26"/>
  <c r="B59" i="26" s="1"/>
  <c r="M16" i="26"/>
  <c r="M58" i="26" s="1"/>
  <c r="L16" i="26"/>
  <c r="L58" i="26" s="1"/>
  <c r="K16" i="26"/>
  <c r="K58" i="26" s="1"/>
  <c r="J16" i="26"/>
  <c r="J58" i="26" s="1"/>
  <c r="I16" i="26"/>
  <c r="I58" i="26" s="1"/>
  <c r="H16" i="26"/>
  <c r="H58" i="26" s="1"/>
  <c r="G16" i="26"/>
  <c r="G58" i="26" s="1"/>
  <c r="F16" i="26"/>
  <c r="F58" i="26" s="1"/>
  <c r="E16" i="26"/>
  <c r="E58" i="26" s="1"/>
  <c r="D16" i="26"/>
  <c r="D58" i="26" s="1"/>
  <c r="C16" i="26"/>
  <c r="C58" i="26" s="1"/>
  <c r="B16" i="26"/>
  <c r="B44" i="26" s="1"/>
  <c r="M27" i="25"/>
  <c r="M69" i="25" s="1"/>
  <c r="L27" i="25"/>
  <c r="L69" i="25" s="1"/>
  <c r="K27" i="25"/>
  <c r="K69" i="25" s="1"/>
  <c r="J27" i="25"/>
  <c r="J69" i="25" s="1"/>
  <c r="I27" i="25"/>
  <c r="I69" i="25" s="1"/>
  <c r="H27" i="25"/>
  <c r="H55" i="25" s="1"/>
  <c r="G27" i="25"/>
  <c r="G69" i="25" s="1"/>
  <c r="F27" i="25"/>
  <c r="F41" i="25" s="1"/>
  <c r="E27" i="25"/>
  <c r="E69" i="25" s="1"/>
  <c r="D27" i="25"/>
  <c r="D69" i="25" s="1"/>
  <c r="C27" i="25"/>
  <c r="C69" i="25" s="1"/>
  <c r="B27" i="25"/>
  <c r="B69" i="25" s="1"/>
  <c r="M26" i="25"/>
  <c r="M68" i="25" s="1"/>
  <c r="L26" i="25"/>
  <c r="L54" i="25" s="1"/>
  <c r="K26" i="25"/>
  <c r="K68" i="25" s="1"/>
  <c r="J26" i="25"/>
  <c r="I26" i="25"/>
  <c r="I68" i="25" s="1"/>
  <c r="H26" i="25"/>
  <c r="H68" i="25" s="1"/>
  <c r="G26" i="25"/>
  <c r="G68" i="25" s="1"/>
  <c r="F26" i="25"/>
  <c r="F68" i="25" s="1"/>
  <c r="E26" i="25"/>
  <c r="E68" i="25" s="1"/>
  <c r="D26" i="25"/>
  <c r="D68" i="25" s="1"/>
  <c r="C26" i="25"/>
  <c r="C68" i="25" s="1"/>
  <c r="B26" i="25"/>
  <c r="B40" i="25" s="1"/>
  <c r="M25" i="25"/>
  <c r="M67" i="25" s="1"/>
  <c r="L25" i="25"/>
  <c r="L67" i="25" s="1"/>
  <c r="K25" i="25"/>
  <c r="K67" i="25" s="1"/>
  <c r="J25" i="25"/>
  <c r="J67" i="25" s="1"/>
  <c r="I25" i="25"/>
  <c r="I67" i="25" s="1"/>
  <c r="H25" i="25"/>
  <c r="H67" i="25" s="1"/>
  <c r="G25" i="25"/>
  <c r="G67" i="25" s="1"/>
  <c r="F25" i="25"/>
  <c r="E25" i="25"/>
  <c r="E67" i="25" s="1"/>
  <c r="D25" i="25"/>
  <c r="D67" i="25" s="1"/>
  <c r="C25" i="25"/>
  <c r="C67" i="25" s="1"/>
  <c r="B25" i="25"/>
  <c r="B67" i="25" s="1"/>
  <c r="M23" i="25"/>
  <c r="M65" i="25" s="1"/>
  <c r="L23" i="25"/>
  <c r="L65" i="25" s="1"/>
  <c r="K23" i="25"/>
  <c r="K65" i="25" s="1"/>
  <c r="J23" i="25"/>
  <c r="J65" i="25" s="1"/>
  <c r="I23" i="25"/>
  <c r="I65" i="25" s="1"/>
  <c r="H23" i="25"/>
  <c r="G23" i="25"/>
  <c r="G65" i="25" s="1"/>
  <c r="F23" i="25"/>
  <c r="E23" i="25"/>
  <c r="E65" i="25" s="1"/>
  <c r="D23" i="25"/>
  <c r="D65" i="25" s="1"/>
  <c r="C23" i="25"/>
  <c r="C65" i="25" s="1"/>
  <c r="B23" i="25"/>
  <c r="B65" i="25" s="1"/>
  <c r="M22" i="25"/>
  <c r="M64" i="25" s="1"/>
  <c r="L22" i="25"/>
  <c r="K22" i="25"/>
  <c r="K64" i="25" s="1"/>
  <c r="J22" i="25"/>
  <c r="I22" i="25"/>
  <c r="I64" i="25" s="1"/>
  <c r="H22" i="25"/>
  <c r="H64" i="25" s="1"/>
  <c r="G22" i="25"/>
  <c r="G64" i="25" s="1"/>
  <c r="F22" i="25"/>
  <c r="F64" i="25" s="1"/>
  <c r="E22" i="25"/>
  <c r="E64" i="25" s="1"/>
  <c r="D22" i="25"/>
  <c r="C22" i="25"/>
  <c r="C64" i="25" s="1"/>
  <c r="B22" i="25"/>
  <c r="B36" i="25" s="1"/>
  <c r="M21" i="25"/>
  <c r="M63" i="25" s="1"/>
  <c r="L21" i="25"/>
  <c r="L63" i="25" s="1"/>
  <c r="K21" i="25"/>
  <c r="K63" i="25" s="1"/>
  <c r="J21" i="25"/>
  <c r="J63" i="25" s="1"/>
  <c r="I21" i="25"/>
  <c r="I63" i="25" s="1"/>
  <c r="H21" i="25"/>
  <c r="G21" i="25"/>
  <c r="G63" i="25" s="1"/>
  <c r="F21" i="25"/>
  <c r="E21" i="25"/>
  <c r="E63" i="25" s="1"/>
  <c r="D21" i="25"/>
  <c r="D63" i="25" s="1"/>
  <c r="C21" i="25"/>
  <c r="C63" i="25" s="1"/>
  <c r="B21" i="25"/>
  <c r="B63" i="25" s="1"/>
  <c r="M20" i="25"/>
  <c r="L20" i="25"/>
  <c r="K20" i="25"/>
  <c r="K34" i="25" s="1"/>
  <c r="J20" i="25"/>
  <c r="I20" i="25"/>
  <c r="I34" i="25" s="1"/>
  <c r="H20" i="25"/>
  <c r="H62" i="25" s="1"/>
  <c r="G20" i="25"/>
  <c r="F20" i="25"/>
  <c r="F34" i="25" s="1"/>
  <c r="E20" i="25"/>
  <c r="E34" i="25" s="1"/>
  <c r="D20" i="25"/>
  <c r="C20" i="25"/>
  <c r="B20" i="25"/>
  <c r="M19" i="25"/>
  <c r="M61" i="25" s="1"/>
  <c r="L19" i="25"/>
  <c r="L61" i="25" s="1"/>
  <c r="K19" i="25"/>
  <c r="K61" i="25" s="1"/>
  <c r="J19" i="25"/>
  <c r="J61" i="25" s="1"/>
  <c r="I19" i="25"/>
  <c r="I61" i="25" s="1"/>
  <c r="H19" i="25"/>
  <c r="G19" i="25"/>
  <c r="G61" i="25" s="1"/>
  <c r="F19" i="25"/>
  <c r="E19" i="25"/>
  <c r="E61" i="25" s="1"/>
  <c r="D19" i="25"/>
  <c r="D61" i="25" s="1"/>
  <c r="C19" i="25"/>
  <c r="C61" i="25" s="1"/>
  <c r="B19" i="25"/>
  <c r="B61" i="25" s="1"/>
  <c r="M18" i="25"/>
  <c r="M60" i="25" s="1"/>
  <c r="L18" i="25"/>
  <c r="K18" i="25"/>
  <c r="K60" i="25" s="1"/>
  <c r="J18" i="25"/>
  <c r="J60" i="25" s="1"/>
  <c r="I18" i="25"/>
  <c r="I60" i="25" s="1"/>
  <c r="H18" i="25"/>
  <c r="H60" i="25" s="1"/>
  <c r="G18" i="25"/>
  <c r="G60" i="25" s="1"/>
  <c r="F18" i="25"/>
  <c r="F60" i="25" s="1"/>
  <c r="E18" i="25"/>
  <c r="E60" i="25" s="1"/>
  <c r="D18" i="25"/>
  <c r="C18" i="25"/>
  <c r="C60" i="25" s="1"/>
  <c r="B18" i="25"/>
  <c r="B60" i="25" s="1"/>
  <c r="M17" i="25"/>
  <c r="M59" i="25" s="1"/>
  <c r="L17" i="25"/>
  <c r="L59" i="25" s="1"/>
  <c r="K17" i="25"/>
  <c r="K59" i="25" s="1"/>
  <c r="J17" i="25"/>
  <c r="J59" i="25" s="1"/>
  <c r="I17" i="25"/>
  <c r="I59" i="25" s="1"/>
  <c r="H17" i="25"/>
  <c r="G17" i="25"/>
  <c r="G59" i="25" s="1"/>
  <c r="F17" i="25"/>
  <c r="F59" i="25" s="1"/>
  <c r="E17" i="25"/>
  <c r="E59" i="25" s="1"/>
  <c r="D17" i="25"/>
  <c r="D59" i="25" s="1"/>
  <c r="C17" i="25"/>
  <c r="C59" i="25" s="1"/>
  <c r="B17" i="25"/>
  <c r="B59" i="25" s="1"/>
  <c r="M16" i="25"/>
  <c r="M58" i="25" s="1"/>
  <c r="L16" i="25"/>
  <c r="K16" i="25"/>
  <c r="K58" i="25" s="1"/>
  <c r="J16" i="25"/>
  <c r="J58" i="25" s="1"/>
  <c r="I16" i="25"/>
  <c r="I58" i="25" s="1"/>
  <c r="H16" i="25"/>
  <c r="H58" i="25" s="1"/>
  <c r="G16" i="25"/>
  <c r="G58" i="25" s="1"/>
  <c r="F16" i="25"/>
  <c r="F58" i="25" s="1"/>
  <c r="E16" i="25"/>
  <c r="E58" i="25" s="1"/>
  <c r="D16" i="25"/>
  <c r="C16" i="25"/>
  <c r="C58" i="25" s="1"/>
  <c r="B16" i="25"/>
  <c r="B58" i="25" s="1"/>
  <c r="M27" i="24"/>
  <c r="M69" i="24" s="1"/>
  <c r="L27" i="24"/>
  <c r="L69" i="24" s="1"/>
  <c r="K27" i="24"/>
  <c r="K69" i="24" s="1"/>
  <c r="J27" i="24"/>
  <c r="J69" i="24" s="1"/>
  <c r="I27" i="24"/>
  <c r="I69" i="24" s="1"/>
  <c r="H27" i="24"/>
  <c r="H69" i="24" s="1"/>
  <c r="G27" i="24"/>
  <c r="G69" i="24" s="1"/>
  <c r="F27" i="24"/>
  <c r="F55" i="24" s="1"/>
  <c r="E27" i="24"/>
  <c r="E69" i="24" s="1"/>
  <c r="D27" i="24"/>
  <c r="D69" i="24" s="1"/>
  <c r="C27" i="24"/>
  <c r="C69" i="24" s="1"/>
  <c r="B27" i="24"/>
  <c r="B69" i="24" s="1"/>
  <c r="M26" i="24"/>
  <c r="M68" i="24" s="1"/>
  <c r="L26" i="24"/>
  <c r="L68" i="24" s="1"/>
  <c r="K26" i="24"/>
  <c r="K68" i="24" s="1"/>
  <c r="J26" i="24"/>
  <c r="J68" i="24" s="1"/>
  <c r="I26" i="24"/>
  <c r="I68" i="24" s="1"/>
  <c r="H26" i="24"/>
  <c r="H68" i="24" s="1"/>
  <c r="G26" i="24"/>
  <c r="G68" i="24" s="1"/>
  <c r="F26" i="24"/>
  <c r="F68" i="24" s="1"/>
  <c r="E26" i="24"/>
  <c r="E68" i="24" s="1"/>
  <c r="D26" i="24"/>
  <c r="D68" i="24" s="1"/>
  <c r="C26" i="24"/>
  <c r="C68" i="24" s="1"/>
  <c r="B26" i="24"/>
  <c r="B54" i="24" s="1"/>
  <c r="M25" i="24"/>
  <c r="M67" i="24" s="1"/>
  <c r="L25" i="24"/>
  <c r="L67" i="24" s="1"/>
  <c r="K25" i="24"/>
  <c r="K67" i="24" s="1"/>
  <c r="J25" i="24"/>
  <c r="J67" i="24" s="1"/>
  <c r="I25" i="24"/>
  <c r="I67" i="24" s="1"/>
  <c r="H25" i="24"/>
  <c r="H67" i="24" s="1"/>
  <c r="G25" i="24"/>
  <c r="G67" i="24" s="1"/>
  <c r="F25" i="24"/>
  <c r="F67" i="24" s="1"/>
  <c r="E25" i="24"/>
  <c r="E67" i="24" s="1"/>
  <c r="D25" i="24"/>
  <c r="D67" i="24" s="1"/>
  <c r="C25" i="24"/>
  <c r="C67" i="24" s="1"/>
  <c r="B25" i="24"/>
  <c r="B67" i="24" s="1"/>
  <c r="M23" i="24"/>
  <c r="M65" i="24" s="1"/>
  <c r="L23" i="24"/>
  <c r="L65" i="24" s="1"/>
  <c r="K23" i="24"/>
  <c r="K65" i="24" s="1"/>
  <c r="J23" i="24"/>
  <c r="J65" i="24" s="1"/>
  <c r="I23" i="24"/>
  <c r="I65" i="24" s="1"/>
  <c r="H23" i="24"/>
  <c r="H65" i="24" s="1"/>
  <c r="G23" i="24"/>
  <c r="G65" i="24" s="1"/>
  <c r="F23" i="24"/>
  <c r="F65" i="24" s="1"/>
  <c r="E23" i="24"/>
  <c r="E65" i="24" s="1"/>
  <c r="D23" i="24"/>
  <c r="D65" i="24" s="1"/>
  <c r="C23" i="24"/>
  <c r="C65" i="24" s="1"/>
  <c r="B23" i="24"/>
  <c r="B65" i="24" s="1"/>
  <c r="M22" i="24"/>
  <c r="M64" i="24" s="1"/>
  <c r="L22" i="24"/>
  <c r="L64" i="24" s="1"/>
  <c r="K22" i="24"/>
  <c r="K64" i="24" s="1"/>
  <c r="J22" i="24"/>
  <c r="J64" i="24" s="1"/>
  <c r="I22" i="24"/>
  <c r="I64" i="24" s="1"/>
  <c r="H22" i="24"/>
  <c r="H64" i="24" s="1"/>
  <c r="G22" i="24"/>
  <c r="G64" i="24" s="1"/>
  <c r="F22" i="24"/>
  <c r="F64" i="24" s="1"/>
  <c r="E22" i="24"/>
  <c r="E64" i="24" s="1"/>
  <c r="D22" i="24"/>
  <c r="D64" i="24" s="1"/>
  <c r="C22" i="24"/>
  <c r="C64" i="24" s="1"/>
  <c r="B22" i="24"/>
  <c r="B50" i="24" s="1"/>
  <c r="M21" i="24"/>
  <c r="M63" i="24" s="1"/>
  <c r="L21" i="24"/>
  <c r="L63" i="24" s="1"/>
  <c r="K21" i="24"/>
  <c r="K63" i="24" s="1"/>
  <c r="J21" i="24"/>
  <c r="J63" i="24" s="1"/>
  <c r="I21" i="24"/>
  <c r="I63" i="24" s="1"/>
  <c r="H21" i="24"/>
  <c r="H63" i="24" s="1"/>
  <c r="G21" i="24"/>
  <c r="G63" i="24" s="1"/>
  <c r="F21" i="24"/>
  <c r="F63" i="24" s="1"/>
  <c r="E21" i="24"/>
  <c r="E63" i="24" s="1"/>
  <c r="D21" i="24"/>
  <c r="D63" i="24" s="1"/>
  <c r="C21" i="24"/>
  <c r="C63" i="24" s="1"/>
  <c r="B21" i="24"/>
  <c r="B63" i="24" s="1"/>
  <c r="M20" i="24"/>
  <c r="L20" i="24"/>
  <c r="K20" i="24"/>
  <c r="J20" i="24"/>
  <c r="I20" i="24"/>
  <c r="H20" i="24"/>
  <c r="H48" i="24" s="1"/>
  <c r="G20" i="24"/>
  <c r="F20" i="24"/>
  <c r="E20" i="24"/>
  <c r="E34" i="24" s="1"/>
  <c r="D20" i="24"/>
  <c r="C20" i="24"/>
  <c r="C34" i="24" s="1"/>
  <c r="B20" i="24"/>
  <c r="M19" i="24"/>
  <c r="M61" i="24" s="1"/>
  <c r="L19" i="24"/>
  <c r="L61" i="24" s="1"/>
  <c r="K19" i="24"/>
  <c r="K61" i="24" s="1"/>
  <c r="J19" i="24"/>
  <c r="J61" i="24" s="1"/>
  <c r="I19" i="24"/>
  <c r="I61" i="24" s="1"/>
  <c r="H19" i="24"/>
  <c r="H61" i="24" s="1"/>
  <c r="G19" i="24"/>
  <c r="G61" i="24" s="1"/>
  <c r="F19" i="24"/>
  <c r="F61" i="24" s="1"/>
  <c r="E19" i="24"/>
  <c r="E61" i="24" s="1"/>
  <c r="D19" i="24"/>
  <c r="D61" i="24" s="1"/>
  <c r="C19" i="24"/>
  <c r="C61" i="24" s="1"/>
  <c r="B19" i="24"/>
  <c r="B61" i="24" s="1"/>
  <c r="M18" i="24"/>
  <c r="M60" i="24" s="1"/>
  <c r="L18" i="24"/>
  <c r="L60" i="24" s="1"/>
  <c r="K18" i="24"/>
  <c r="K60" i="24" s="1"/>
  <c r="J18" i="24"/>
  <c r="J60" i="24" s="1"/>
  <c r="I18" i="24"/>
  <c r="I60" i="24" s="1"/>
  <c r="H18" i="24"/>
  <c r="H60" i="24" s="1"/>
  <c r="G18" i="24"/>
  <c r="G60" i="24" s="1"/>
  <c r="F18" i="24"/>
  <c r="F60" i="24" s="1"/>
  <c r="E18" i="24"/>
  <c r="E60" i="24" s="1"/>
  <c r="D18" i="24"/>
  <c r="D60" i="24" s="1"/>
  <c r="C18" i="24"/>
  <c r="C60" i="24" s="1"/>
  <c r="B18" i="24"/>
  <c r="B46" i="24" s="1"/>
  <c r="M17" i="24"/>
  <c r="M59" i="24" s="1"/>
  <c r="L17" i="24"/>
  <c r="L59" i="24" s="1"/>
  <c r="K17" i="24"/>
  <c r="K59" i="24" s="1"/>
  <c r="J17" i="24"/>
  <c r="J59" i="24" s="1"/>
  <c r="I17" i="24"/>
  <c r="I59" i="24" s="1"/>
  <c r="H17" i="24"/>
  <c r="H59" i="24" s="1"/>
  <c r="G17" i="24"/>
  <c r="G59" i="24" s="1"/>
  <c r="F17" i="24"/>
  <c r="F59" i="24" s="1"/>
  <c r="E17" i="24"/>
  <c r="E59" i="24" s="1"/>
  <c r="D17" i="24"/>
  <c r="D59" i="24" s="1"/>
  <c r="C17" i="24"/>
  <c r="C59" i="24" s="1"/>
  <c r="B17" i="24"/>
  <c r="B59" i="24" s="1"/>
  <c r="M16" i="24"/>
  <c r="M58" i="24" s="1"/>
  <c r="L16" i="24"/>
  <c r="L58" i="24" s="1"/>
  <c r="K16" i="24"/>
  <c r="K58" i="24" s="1"/>
  <c r="J16" i="24"/>
  <c r="J30" i="24" s="1"/>
  <c r="I16" i="24"/>
  <c r="I58" i="24" s="1"/>
  <c r="H16" i="24"/>
  <c r="H58" i="24" s="1"/>
  <c r="G16" i="24"/>
  <c r="G58" i="24" s="1"/>
  <c r="F16" i="24"/>
  <c r="F58" i="24" s="1"/>
  <c r="E16" i="24"/>
  <c r="E58" i="24" s="1"/>
  <c r="D16" i="24"/>
  <c r="D58" i="24" s="1"/>
  <c r="C16" i="24"/>
  <c r="C58" i="24" s="1"/>
  <c r="B16" i="24"/>
  <c r="B44" i="24" s="1"/>
  <c r="M27" i="23"/>
  <c r="M69" i="23" s="1"/>
  <c r="L27" i="23"/>
  <c r="L69" i="23" s="1"/>
  <c r="K27" i="23"/>
  <c r="K69" i="23" s="1"/>
  <c r="J27" i="23"/>
  <c r="J69" i="23" s="1"/>
  <c r="I27" i="23"/>
  <c r="I69" i="23" s="1"/>
  <c r="H27" i="23"/>
  <c r="H69" i="23" s="1"/>
  <c r="G27" i="23"/>
  <c r="G69" i="23" s="1"/>
  <c r="F27" i="23"/>
  <c r="E27" i="23"/>
  <c r="E69" i="23" s="1"/>
  <c r="D27" i="23"/>
  <c r="D69" i="23" s="1"/>
  <c r="C27" i="23"/>
  <c r="C69" i="23" s="1"/>
  <c r="B27" i="23"/>
  <c r="B69" i="23" s="1"/>
  <c r="M26" i="23"/>
  <c r="M68" i="23" s="1"/>
  <c r="L26" i="23"/>
  <c r="L68" i="23" s="1"/>
  <c r="K26" i="23"/>
  <c r="K68" i="23" s="1"/>
  <c r="J26" i="23"/>
  <c r="I26" i="23"/>
  <c r="I68" i="23" s="1"/>
  <c r="H26" i="23"/>
  <c r="H68" i="23" s="1"/>
  <c r="G26" i="23"/>
  <c r="G68" i="23" s="1"/>
  <c r="F26" i="23"/>
  <c r="F68" i="23" s="1"/>
  <c r="E26" i="23"/>
  <c r="E68" i="23" s="1"/>
  <c r="D26" i="23"/>
  <c r="D68" i="23" s="1"/>
  <c r="C26" i="23"/>
  <c r="C68" i="23" s="1"/>
  <c r="B26" i="23"/>
  <c r="B40" i="23" s="1"/>
  <c r="M25" i="23"/>
  <c r="M67" i="23" s="1"/>
  <c r="L25" i="23"/>
  <c r="K25" i="23"/>
  <c r="K67" i="23" s="1"/>
  <c r="J25" i="23"/>
  <c r="J67" i="23" s="1"/>
  <c r="I25" i="23"/>
  <c r="I67" i="23" s="1"/>
  <c r="H25" i="23"/>
  <c r="H67" i="23" s="1"/>
  <c r="G25" i="23"/>
  <c r="G67" i="23" s="1"/>
  <c r="F25" i="23"/>
  <c r="F53" i="23" s="1"/>
  <c r="E25" i="23"/>
  <c r="E67" i="23" s="1"/>
  <c r="D25" i="23"/>
  <c r="C25" i="23"/>
  <c r="C67" i="23" s="1"/>
  <c r="B25" i="23"/>
  <c r="B67" i="23" s="1"/>
  <c r="M23" i="23"/>
  <c r="M65" i="23" s="1"/>
  <c r="L23" i="23"/>
  <c r="K23" i="23"/>
  <c r="K65" i="23" s="1"/>
  <c r="J23" i="23"/>
  <c r="J65" i="23" s="1"/>
  <c r="I23" i="23"/>
  <c r="I65" i="23" s="1"/>
  <c r="H23" i="23"/>
  <c r="H65" i="23" s="1"/>
  <c r="G23" i="23"/>
  <c r="G65" i="23" s="1"/>
  <c r="F23" i="23"/>
  <c r="E23" i="23"/>
  <c r="E65" i="23" s="1"/>
  <c r="D23" i="23"/>
  <c r="C23" i="23"/>
  <c r="C65" i="23" s="1"/>
  <c r="B23" i="23"/>
  <c r="B65" i="23" s="1"/>
  <c r="M22" i="23"/>
  <c r="M64" i="23" s="1"/>
  <c r="L22" i="23"/>
  <c r="L64" i="23" s="1"/>
  <c r="K22" i="23"/>
  <c r="K64" i="23" s="1"/>
  <c r="J22" i="23"/>
  <c r="I22" i="23"/>
  <c r="I64" i="23" s="1"/>
  <c r="H22" i="23"/>
  <c r="G22" i="23"/>
  <c r="G64" i="23" s="1"/>
  <c r="F22" i="23"/>
  <c r="F64" i="23" s="1"/>
  <c r="E22" i="23"/>
  <c r="E64" i="23" s="1"/>
  <c r="D22" i="23"/>
  <c r="D64" i="23" s="1"/>
  <c r="C22" i="23"/>
  <c r="C64" i="23" s="1"/>
  <c r="B22" i="23"/>
  <c r="M21" i="23"/>
  <c r="M63" i="23" s="1"/>
  <c r="L21" i="23"/>
  <c r="K21" i="23"/>
  <c r="K63" i="23" s="1"/>
  <c r="J21" i="23"/>
  <c r="J63" i="23" s="1"/>
  <c r="I21" i="23"/>
  <c r="I63" i="23" s="1"/>
  <c r="H21" i="23"/>
  <c r="H63" i="23" s="1"/>
  <c r="G21" i="23"/>
  <c r="G63" i="23" s="1"/>
  <c r="F21" i="23"/>
  <c r="E21" i="23"/>
  <c r="E63" i="23" s="1"/>
  <c r="D21" i="23"/>
  <c r="C21" i="23"/>
  <c r="C63" i="23" s="1"/>
  <c r="B21" i="23"/>
  <c r="B63" i="23" s="1"/>
  <c r="M20" i="23"/>
  <c r="L20" i="23"/>
  <c r="K20" i="23"/>
  <c r="J20" i="23"/>
  <c r="I20" i="23"/>
  <c r="I62" i="23" s="1"/>
  <c r="H20" i="23"/>
  <c r="G20" i="23"/>
  <c r="G48" i="23" s="1"/>
  <c r="F20" i="23"/>
  <c r="E20" i="23"/>
  <c r="D20" i="23"/>
  <c r="D62" i="23" s="1"/>
  <c r="C20" i="23"/>
  <c r="C34" i="23" s="1"/>
  <c r="B20" i="23"/>
  <c r="B62" i="23" s="1"/>
  <c r="M19" i="23"/>
  <c r="M61" i="23" s="1"/>
  <c r="L19" i="23"/>
  <c r="K19" i="23"/>
  <c r="K61" i="23" s="1"/>
  <c r="J19" i="23"/>
  <c r="J61" i="23" s="1"/>
  <c r="I19" i="23"/>
  <c r="I61" i="23" s="1"/>
  <c r="H19" i="23"/>
  <c r="H61" i="23" s="1"/>
  <c r="G19" i="23"/>
  <c r="G61" i="23" s="1"/>
  <c r="F19" i="23"/>
  <c r="F33" i="23" s="1"/>
  <c r="E19" i="23"/>
  <c r="E61" i="23" s="1"/>
  <c r="D19" i="23"/>
  <c r="C19" i="23"/>
  <c r="C61" i="23" s="1"/>
  <c r="B19" i="23"/>
  <c r="B61" i="23" s="1"/>
  <c r="M18" i="23"/>
  <c r="M60" i="23" s="1"/>
  <c r="L18" i="23"/>
  <c r="L60" i="23" s="1"/>
  <c r="K18" i="23"/>
  <c r="K60" i="23" s="1"/>
  <c r="J18" i="23"/>
  <c r="I18" i="23"/>
  <c r="I60" i="23" s="1"/>
  <c r="H18" i="23"/>
  <c r="G18" i="23"/>
  <c r="G60" i="23" s="1"/>
  <c r="F18" i="23"/>
  <c r="F60" i="23" s="1"/>
  <c r="E18" i="23"/>
  <c r="E60" i="23" s="1"/>
  <c r="D18" i="23"/>
  <c r="D60" i="23" s="1"/>
  <c r="C18" i="23"/>
  <c r="C60" i="23" s="1"/>
  <c r="B18" i="23"/>
  <c r="M17" i="23"/>
  <c r="M59" i="23" s="1"/>
  <c r="L17" i="23"/>
  <c r="K17" i="23"/>
  <c r="K59" i="23" s="1"/>
  <c r="J17" i="23"/>
  <c r="J59" i="23" s="1"/>
  <c r="I17" i="23"/>
  <c r="I59" i="23" s="1"/>
  <c r="H17" i="23"/>
  <c r="H59" i="23" s="1"/>
  <c r="G17" i="23"/>
  <c r="G59" i="23" s="1"/>
  <c r="F17" i="23"/>
  <c r="E17" i="23"/>
  <c r="E59" i="23" s="1"/>
  <c r="D17" i="23"/>
  <c r="C17" i="23"/>
  <c r="C59" i="23" s="1"/>
  <c r="B17" i="23"/>
  <c r="B59" i="23" s="1"/>
  <c r="M16" i="23"/>
  <c r="M58" i="23" s="1"/>
  <c r="L16" i="23"/>
  <c r="L58" i="23" s="1"/>
  <c r="K16" i="23"/>
  <c r="K58" i="23" s="1"/>
  <c r="J16" i="23"/>
  <c r="I16" i="23"/>
  <c r="I58" i="23" s="1"/>
  <c r="H16" i="23"/>
  <c r="G16" i="23"/>
  <c r="G58" i="23" s="1"/>
  <c r="F16" i="23"/>
  <c r="F58" i="23" s="1"/>
  <c r="E16" i="23"/>
  <c r="E58" i="23" s="1"/>
  <c r="D16" i="23"/>
  <c r="D58" i="23" s="1"/>
  <c r="C16" i="23"/>
  <c r="C58" i="23" s="1"/>
  <c r="B16" i="23"/>
  <c r="B58" i="23" s="1"/>
  <c r="M27" i="22"/>
  <c r="M69" i="22" s="1"/>
  <c r="L27" i="22"/>
  <c r="L69" i="22" s="1"/>
  <c r="K27" i="22"/>
  <c r="K69" i="22" s="1"/>
  <c r="J27" i="22"/>
  <c r="J69" i="22" s="1"/>
  <c r="I27" i="22"/>
  <c r="I69" i="22" s="1"/>
  <c r="H27" i="22"/>
  <c r="G27" i="22"/>
  <c r="G69" i="22" s="1"/>
  <c r="F27" i="22"/>
  <c r="E27" i="22"/>
  <c r="E69" i="22" s="1"/>
  <c r="D27" i="22"/>
  <c r="D69" i="22" s="1"/>
  <c r="C27" i="22"/>
  <c r="C69" i="22" s="1"/>
  <c r="B27" i="22"/>
  <c r="B69" i="22" s="1"/>
  <c r="M26" i="22"/>
  <c r="M68" i="22" s="1"/>
  <c r="L26" i="22"/>
  <c r="L54" i="22" s="1"/>
  <c r="K26" i="22"/>
  <c r="K68" i="22" s="1"/>
  <c r="J26" i="22"/>
  <c r="J40" i="22" s="1"/>
  <c r="I26" i="22"/>
  <c r="I68" i="22" s="1"/>
  <c r="H26" i="22"/>
  <c r="H68" i="22" s="1"/>
  <c r="G26" i="22"/>
  <c r="G68" i="22" s="1"/>
  <c r="F26" i="22"/>
  <c r="F68" i="22" s="1"/>
  <c r="E26" i="22"/>
  <c r="E68" i="22" s="1"/>
  <c r="D26" i="22"/>
  <c r="D54" i="22" s="1"/>
  <c r="C26" i="22"/>
  <c r="C68" i="22" s="1"/>
  <c r="B26" i="22"/>
  <c r="B40" i="22" s="1"/>
  <c r="M25" i="22"/>
  <c r="M67" i="22" s="1"/>
  <c r="L25" i="22"/>
  <c r="L67" i="22" s="1"/>
  <c r="K25" i="22"/>
  <c r="K67" i="22" s="1"/>
  <c r="J25" i="22"/>
  <c r="J67" i="22" s="1"/>
  <c r="I25" i="22"/>
  <c r="I67" i="22" s="1"/>
  <c r="H25" i="22"/>
  <c r="H53" i="22" s="1"/>
  <c r="G25" i="22"/>
  <c r="G67" i="22" s="1"/>
  <c r="F25" i="22"/>
  <c r="E25" i="22"/>
  <c r="E67" i="22" s="1"/>
  <c r="D25" i="22"/>
  <c r="D67" i="22" s="1"/>
  <c r="C25" i="22"/>
  <c r="C67" i="22" s="1"/>
  <c r="B25" i="22"/>
  <c r="B67" i="22" s="1"/>
  <c r="M23" i="22"/>
  <c r="M65" i="22" s="1"/>
  <c r="L23" i="22"/>
  <c r="L65" i="22" s="1"/>
  <c r="K23" i="22"/>
  <c r="K65" i="22" s="1"/>
  <c r="J23" i="22"/>
  <c r="J65" i="22" s="1"/>
  <c r="I23" i="22"/>
  <c r="I65" i="22" s="1"/>
  <c r="H23" i="22"/>
  <c r="H37" i="22" s="1"/>
  <c r="G23" i="22"/>
  <c r="G65" i="22" s="1"/>
  <c r="F23" i="22"/>
  <c r="F37" i="22" s="1"/>
  <c r="E23" i="22"/>
  <c r="E65" i="22" s="1"/>
  <c r="D23" i="22"/>
  <c r="D65" i="22" s="1"/>
  <c r="C23" i="22"/>
  <c r="C65" i="22" s="1"/>
  <c r="B23" i="22"/>
  <c r="B65" i="22" s="1"/>
  <c r="M22" i="22"/>
  <c r="M64" i="22" s="1"/>
  <c r="L22" i="22"/>
  <c r="K22" i="22"/>
  <c r="K64" i="22" s="1"/>
  <c r="J22" i="22"/>
  <c r="I22" i="22"/>
  <c r="I64" i="22" s="1"/>
  <c r="H22" i="22"/>
  <c r="H64" i="22" s="1"/>
  <c r="G22" i="22"/>
  <c r="G64" i="22" s="1"/>
  <c r="F22" i="22"/>
  <c r="F64" i="22" s="1"/>
  <c r="E22" i="22"/>
  <c r="E64" i="22" s="1"/>
  <c r="D22" i="22"/>
  <c r="C22" i="22"/>
  <c r="C64" i="22" s="1"/>
  <c r="B22" i="22"/>
  <c r="M21" i="22"/>
  <c r="M63" i="22" s="1"/>
  <c r="L21" i="22"/>
  <c r="L63" i="22" s="1"/>
  <c r="K21" i="22"/>
  <c r="K63" i="22" s="1"/>
  <c r="J21" i="22"/>
  <c r="J63" i="22" s="1"/>
  <c r="I21" i="22"/>
  <c r="I63" i="22" s="1"/>
  <c r="H21" i="22"/>
  <c r="H35" i="22" s="1"/>
  <c r="G21" i="22"/>
  <c r="G63" i="22" s="1"/>
  <c r="F21" i="22"/>
  <c r="E21" i="22"/>
  <c r="E63" i="22" s="1"/>
  <c r="D21" i="22"/>
  <c r="D63" i="22" s="1"/>
  <c r="C21" i="22"/>
  <c r="C63" i="22" s="1"/>
  <c r="B21" i="22"/>
  <c r="B63" i="22" s="1"/>
  <c r="M20" i="22"/>
  <c r="L20" i="22"/>
  <c r="K20" i="22"/>
  <c r="J20" i="22"/>
  <c r="I20" i="22"/>
  <c r="H20" i="22"/>
  <c r="G20" i="22"/>
  <c r="G34" i="22" s="1"/>
  <c r="F20" i="22"/>
  <c r="F48" i="22" s="1"/>
  <c r="E20" i="22"/>
  <c r="E48" i="22" s="1"/>
  <c r="D20" i="22"/>
  <c r="D48" i="22" s="1"/>
  <c r="C20" i="22"/>
  <c r="C48" i="22" s="1"/>
  <c r="B20" i="22"/>
  <c r="B48" i="22" s="1"/>
  <c r="M19" i="22"/>
  <c r="M61" i="22" s="1"/>
  <c r="L19" i="22"/>
  <c r="L61" i="22" s="1"/>
  <c r="K19" i="22"/>
  <c r="K61" i="22" s="1"/>
  <c r="J19" i="22"/>
  <c r="J61" i="22" s="1"/>
  <c r="I19" i="22"/>
  <c r="I61" i="22" s="1"/>
  <c r="H19" i="22"/>
  <c r="G19" i="22"/>
  <c r="G61" i="22" s="1"/>
  <c r="F19" i="22"/>
  <c r="E19" i="22"/>
  <c r="E61" i="22" s="1"/>
  <c r="D19" i="22"/>
  <c r="D61" i="22" s="1"/>
  <c r="C19" i="22"/>
  <c r="C61" i="22" s="1"/>
  <c r="B19" i="22"/>
  <c r="B61" i="22" s="1"/>
  <c r="M18" i="22"/>
  <c r="M60" i="22" s="1"/>
  <c r="L18" i="22"/>
  <c r="L32" i="22" s="1"/>
  <c r="K18" i="22"/>
  <c r="K60" i="22" s="1"/>
  <c r="J18" i="22"/>
  <c r="J60" i="22" s="1"/>
  <c r="I18" i="22"/>
  <c r="I60" i="22" s="1"/>
  <c r="H18" i="22"/>
  <c r="H60" i="22" s="1"/>
  <c r="G18" i="22"/>
  <c r="G60" i="22" s="1"/>
  <c r="F18" i="22"/>
  <c r="F60" i="22" s="1"/>
  <c r="E18" i="22"/>
  <c r="E60" i="22" s="1"/>
  <c r="D18" i="22"/>
  <c r="D32" i="22" s="1"/>
  <c r="C18" i="22"/>
  <c r="C60" i="22" s="1"/>
  <c r="B18" i="22"/>
  <c r="B60" i="22" s="1"/>
  <c r="M17" i="22"/>
  <c r="M59" i="22" s="1"/>
  <c r="L17" i="22"/>
  <c r="L59" i="22" s="1"/>
  <c r="K17" i="22"/>
  <c r="K59" i="22" s="1"/>
  <c r="J17" i="22"/>
  <c r="J59" i="22" s="1"/>
  <c r="I17" i="22"/>
  <c r="I59" i="22" s="1"/>
  <c r="H17" i="22"/>
  <c r="G17" i="22"/>
  <c r="G59" i="22" s="1"/>
  <c r="F17" i="22"/>
  <c r="F59" i="22" s="1"/>
  <c r="E17" i="22"/>
  <c r="E59" i="22" s="1"/>
  <c r="D17" i="22"/>
  <c r="D59" i="22" s="1"/>
  <c r="C17" i="22"/>
  <c r="C59" i="22" s="1"/>
  <c r="B17" i="22"/>
  <c r="B59" i="22" s="1"/>
  <c r="M16" i="22"/>
  <c r="M58" i="22" s="1"/>
  <c r="L16" i="22"/>
  <c r="L58" i="22" s="1"/>
  <c r="K16" i="22"/>
  <c r="K58" i="22" s="1"/>
  <c r="J16" i="22"/>
  <c r="J58" i="22" s="1"/>
  <c r="I16" i="22"/>
  <c r="I58" i="22" s="1"/>
  <c r="H16" i="22"/>
  <c r="H58" i="22" s="1"/>
  <c r="G16" i="22"/>
  <c r="G58" i="22" s="1"/>
  <c r="F16" i="22"/>
  <c r="F58" i="22" s="1"/>
  <c r="E16" i="22"/>
  <c r="E58" i="22" s="1"/>
  <c r="D16" i="22"/>
  <c r="D58" i="22" s="1"/>
  <c r="C16" i="22"/>
  <c r="C58" i="22" s="1"/>
  <c r="B16" i="22"/>
  <c r="B58" i="22" s="1"/>
  <c r="M27" i="21"/>
  <c r="M69" i="21" s="1"/>
  <c r="L27" i="21"/>
  <c r="L69" i="21" s="1"/>
  <c r="K27" i="21"/>
  <c r="K69" i="21" s="1"/>
  <c r="J27" i="21"/>
  <c r="J69" i="21" s="1"/>
  <c r="I27" i="21"/>
  <c r="I69" i="21" s="1"/>
  <c r="H27" i="21"/>
  <c r="H69" i="21" s="1"/>
  <c r="G27" i="21"/>
  <c r="G55" i="21" s="1"/>
  <c r="F27" i="21"/>
  <c r="F55" i="21" s="1"/>
  <c r="E27" i="21"/>
  <c r="E69" i="21" s="1"/>
  <c r="D27" i="21"/>
  <c r="D69" i="21" s="1"/>
  <c r="C27" i="21"/>
  <c r="C69" i="21" s="1"/>
  <c r="B27" i="21"/>
  <c r="B69" i="21" s="1"/>
  <c r="M26" i="21"/>
  <c r="M68" i="21" s="1"/>
  <c r="L26" i="21"/>
  <c r="L68" i="21" s="1"/>
  <c r="K26" i="21"/>
  <c r="K40" i="21" s="1"/>
  <c r="J26" i="21"/>
  <c r="J68" i="21" s="1"/>
  <c r="I26" i="21"/>
  <c r="I68" i="21" s="1"/>
  <c r="H26" i="21"/>
  <c r="H68" i="21" s="1"/>
  <c r="G26" i="21"/>
  <c r="G68" i="21" s="1"/>
  <c r="F26" i="21"/>
  <c r="F68" i="21" s="1"/>
  <c r="E26" i="21"/>
  <c r="E68" i="21" s="1"/>
  <c r="D26" i="21"/>
  <c r="D68" i="21" s="1"/>
  <c r="C26" i="21"/>
  <c r="C68" i="21" s="1"/>
  <c r="B26" i="21"/>
  <c r="B54" i="21" s="1"/>
  <c r="M25" i="21"/>
  <c r="M67" i="21" s="1"/>
  <c r="L25" i="21"/>
  <c r="L67" i="21" s="1"/>
  <c r="K25" i="21"/>
  <c r="K67" i="21" s="1"/>
  <c r="J25" i="21"/>
  <c r="J67" i="21" s="1"/>
  <c r="I25" i="21"/>
  <c r="I67" i="21" s="1"/>
  <c r="H25" i="21"/>
  <c r="H67" i="21" s="1"/>
  <c r="G25" i="21"/>
  <c r="G67" i="21" s="1"/>
  <c r="F25" i="21"/>
  <c r="F67" i="21" s="1"/>
  <c r="E25" i="21"/>
  <c r="E67" i="21" s="1"/>
  <c r="D25" i="21"/>
  <c r="D67" i="21" s="1"/>
  <c r="C25" i="21"/>
  <c r="C67" i="21" s="1"/>
  <c r="B25" i="21"/>
  <c r="B67" i="21" s="1"/>
  <c r="M23" i="21"/>
  <c r="M65" i="21" s="1"/>
  <c r="L23" i="21"/>
  <c r="L65" i="21" s="1"/>
  <c r="K23" i="21"/>
  <c r="K65" i="21" s="1"/>
  <c r="J23" i="21"/>
  <c r="J65" i="21" s="1"/>
  <c r="I23" i="21"/>
  <c r="I65" i="21" s="1"/>
  <c r="H23" i="21"/>
  <c r="H65" i="21" s="1"/>
  <c r="G23" i="21"/>
  <c r="G65" i="21" s="1"/>
  <c r="F23" i="21"/>
  <c r="F65" i="21" s="1"/>
  <c r="E23" i="21"/>
  <c r="E65" i="21" s="1"/>
  <c r="D23" i="21"/>
  <c r="D65" i="21" s="1"/>
  <c r="C23" i="21"/>
  <c r="C65" i="21" s="1"/>
  <c r="B23" i="21"/>
  <c r="B65" i="21" s="1"/>
  <c r="M22" i="21"/>
  <c r="M64" i="21" s="1"/>
  <c r="L22" i="21"/>
  <c r="L64" i="21" s="1"/>
  <c r="K22" i="21"/>
  <c r="K64" i="21" s="1"/>
  <c r="J22" i="21"/>
  <c r="J36" i="21" s="1"/>
  <c r="I22" i="21"/>
  <c r="I64" i="21" s="1"/>
  <c r="H22" i="21"/>
  <c r="H64" i="21" s="1"/>
  <c r="G22" i="21"/>
  <c r="G64" i="21" s="1"/>
  <c r="F22" i="21"/>
  <c r="F64" i="21" s="1"/>
  <c r="E22" i="21"/>
  <c r="E64" i="21" s="1"/>
  <c r="D22" i="21"/>
  <c r="D64" i="21" s="1"/>
  <c r="C22" i="21"/>
  <c r="C64" i="21" s="1"/>
  <c r="B22" i="21"/>
  <c r="B64" i="21" s="1"/>
  <c r="M21" i="21"/>
  <c r="M63" i="21" s="1"/>
  <c r="L21" i="21"/>
  <c r="L63" i="21" s="1"/>
  <c r="K21" i="21"/>
  <c r="K63" i="21" s="1"/>
  <c r="J21" i="21"/>
  <c r="J63" i="21" s="1"/>
  <c r="I21" i="21"/>
  <c r="I63" i="21" s="1"/>
  <c r="H21" i="21"/>
  <c r="H63" i="21" s="1"/>
  <c r="G21" i="21"/>
  <c r="G63" i="21" s="1"/>
  <c r="F21" i="21"/>
  <c r="F35" i="21" s="1"/>
  <c r="E21" i="21"/>
  <c r="E63" i="21" s="1"/>
  <c r="D21" i="21"/>
  <c r="D63" i="21" s="1"/>
  <c r="C21" i="21"/>
  <c r="C63" i="21" s="1"/>
  <c r="B21" i="21"/>
  <c r="B63" i="21" s="1"/>
  <c r="M20" i="21"/>
  <c r="L20" i="21"/>
  <c r="K20" i="21"/>
  <c r="J20" i="21"/>
  <c r="I20" i="21"/>
  <c r="H20" i="21"/>
  <c r="G20" i="21"/>
  <c r="G62" i="21" s="1"/>
  <c r="F20" i="21"/>
  <c r="F62" i="21" s="1"/>
  <c r="E20" i="21"/>
  <c r="E48" i="21" s="1"/>
  <c r="D20" i="21"/>
  <c r="C20" i="21"/>
  <c r="B20" i="21"/>
  <c r="B48" i="21" s="1"/>
  <c r="M19" i="21"/>
  <c r="M61" i="21" s="1"/>
  <c r="L19" i="21"/>
  <c r="L61" i="21" s="1"/>
  <c r="K19" i="21"/>
  <c r="K61" i="21" s="1"/>
  <c r="J19" i="21"/>
  <c r="J61" i="21" s="1"/>
  <c r="I19" i="21"/>
  <c r="I61" i="21" s="1"/>
  <c r="H19" i="21"/>
  <c r="H61" i="21" s="1"/>
  <c r="G19" i="21"/>
  <c r="G61" i="21" s="1"/>
  <c r="F19" i="21"/>
  <c r="F61" i="21" s="1"/>
  <c r="E19" i="21"/>
  <c r="E61" i="21" s="1"/>
  <c r="D19" i="21"/>
  <c r="D61" i="21" s="1"/>
  <c r="C19" i="21"/>
  <c r="C61" i="21" s="1"/>
  <c r="B19" i="21"/>
  <c r="B61" i="21" s="1"/>
  <c r="M18" i="21"/>
  <c r="M60" i="21" s="1"/>
  <c r="L18" i="21"/>
  <c r="L60" i="21" s="1"/>
  <c r="K18" i="21"/>
  <c r="K32" i="21" s="1"/>
  <c r="J18" i="21"/>
  <c r="J32" i="21" s="1"/>
  <c r="I18" i="21"/>
  <c r="I60" i="21" s="1"/>
  <c r="H18" i="21"/>
  <c r="H60" i="21" s="1"/>
  <c r="G18" i="21"/>
  <c r="G60" i="21" s="1"/>
  <c r="F18" i="21"/>
  <c r="F60" i="21" s="1"/>
  <c r="E18" i="21"/>
  <c r="E60" i="21" s="1"/>
  <c r="D18" i="21"/>
  <c r="D60" i="21" s="1"/>
  <c r="C18" i="21"/>
  <c r="C60" i="21" s="1"/>
  <c r="B18" i="21"/>
  <c r="B60" i="21" s="1"/>
  <c r="M17" i="21"/>
  <c r="M59" i="21" s="1"/>
  <c r="L17" i="21"/>
  <c r="L59" i="21" s="1"/>
  <c r="K17" i="21"/>
  <c r="K59" i="21" s="1"/>
  <c r="J17" i="21"/>
  <c r="J59" i="21" s="1"/>
  <c r="I17" i="21"/>
  <c r="I59" i="21" s="1"/>
  <c r="H17" i="21"/>
  <c r="H59" i="21" s="1"/>
  <c r="G17" i="21"/>
  <c r="G59" i="21" s="1"/>
  <c r="F17" i="21"/>
  <c r="F31" i="21" s="1"/>
  <c r="E17" i="21"/>
  <c r="E59" i="21" s="1"/>
  <c r="D17" i="21"/>
  <c r="D59" i="21" s="1"/>
  <c r="C17" i="21"/>
  <c r="C59" i="21" s="1"/>
  <c r="B17" i="21"/>
  <c r="B59" i="21" s="1"/>
  <c r="M16" i="21"/>
  <c r="M58" i="21" s="1"/>
  <c r="L16" i="21"/>
  <c r="L58" i="21" s="1"/>
  <c r="K16" i="21"/>
  <c r="K58" i="21" s="1"/>
  <c r="J16" i="21"/>
  <c r="J58" i="21" s="1"/>
  <c r="I16" i="21"/>
  <c r="I58" i="21" s="1"/>
  <c r="H16" i="21"/>
  <c r="H58" i="21" s="1"/>
  <c r="G16" i="21"/>
  <c r="G58" i="21" s="1"/>
  <c r="F16" i="21"/>
  <c r="F58" i="21" s="1"/>
  <c r="E16" i="21"/>
  <c r="E58" i="21" s="1"/>
  <c r="D16" i="21"/>
  <c r="D58" i="21" s="1"/>
  <c r="C16" i="21"/>
  <c r="C58" i="21" s="1"/>
  <c r="B16" i="21"/>
  <c r="B58" i="21" s="1"/>
  <c r="M27" i="20"/>
  <c r="M69" i="20" s="1"/>
  <c r="L27" i="20"/>
  <c r="L69" i="20" s="1"/>
  <c r="K27" i="20"/>
  <c r="K69" i="20" s="1"/>
  <c r="J27" i="20"/>
  <c r="J69" i="20" s="1"/>
  <c r="I27" i="20"/>
  <c r="I69" i="20" s="1"/>
  <c r="H27" i="20"/>
  <c r="H69" i="20" s="1"/>
  <c r="G27" i="20"/>
  <c r="G69" i="20" s="1"/>
  <c r="F27" i="20"/>
  <c r="F41" i="20" s="1"/>
  <c r="E27" i="20"/>
  <c r="E69" i="20" s="1"/>
  <c r="D27" i="20"/>
  <c r="D69" i="20" s="1"/>
  <c r="C27" i="20"/>
  <c r="C69" i="20" s="1"/>
  <c r="B27" i="20"/>
  <c r="B69" i="20" s="1"/>
  <c r="M26" i="20"/>
  <c r="M68" i="20" s="1"/>
  <c r="L26" i="20"/>
  <c r="L68" i="20" s="1"/>
  <c r="K26" i="20"/>
  <c r="K68" i="20" s="1"/>
  <c r="J26" i="20"/>
  <c r="I26" i="20"/>
  <c r="I68" i="20" s="1"/>
  <c r="H26" i="20"/>
  <c r="H68" i="20" s="1"/>
  <c r="G26" i="20"/>
  <c r="G68" i="20" s="1"/>
  <c r="F26" i="20"/>
  <c r="F68" i="20" s="1"/>
  <c r="E26" i="20"/>
  <c r="E68" i="20" s="1"/>
  <c r="D26" i="20"/>
  <c r="D68" i="20" s="1"/>
  <c r="C26" i="20"/>
  <c r="C68" i="20" s="1"/>
  <c r="B26" i="20"/>
  <c r="B40" i="20" s="1"/>
  <c r="M25" i="20"/>
  <c r="M67" i="20" s="1"/>
  <c r="L25" i="20"/>
  <c r="L67" i="20" s="1"/>
  <c r="K25" i="20"/>
  <c r="K67" i="20" s="1"/>
  <c r="J25" i="20"/>
  <c r="J67" i="20" s="1"/>
  <c r="I25" i="20"/>
  <c r="I67" i="20" s="1"/>
  <c r="H25" i="20"/>
  <c r="H67" i="20" s="1"/>
  <c r="G25" i="20"/>
  <c r="G67" i="20" s="1"/>
  <c r="F25" i="20"/>
  <c r="F39" i="20" s="1"/>
  <c r="E25" i="20"/>
  <c r="E67" i="20" s="1"/>
  <c r="D25" i="20"/>
  <c r="D67" i="20" s="1"/>
  <c r="C25" i="20"/>
  <c r="C67" i="20" s="1"/>
  <c r="B25" i="20"/>
  <c r="B67" i="20" s="1"/>
  <c r="M23" i="20"/>
  <c r="M65" i="20" s="1"/>
  <c r="L23" i="20"/>
  <c r="L65" i="20" s="1"/>
  <c r="K23" i="20"/>
  <c r="K65" i="20" s="1"/>
  <c r="J23" i="20"/>
  <c r="J65" i="20" s="1"/>
  <c r="I23" i="20"/>
  <c r="I65" i="20" s="1"/>
  <c r="H23" i="20"/>
  <c r="H65" i="20" s="1"/>
  <c r="G23" i="20"/>
  <c r="G65" i="20" s="1"/>
  <c r="F23" i="20"/>
  <c r="E23" i="20"/>
  <c r="E65" i="20" s="1"/>
  <c r="D23" i="20"/>
  <c r="D65" i="20" s="1"/>
  <c r="C23" i="20"/>
  <c r="C65" i="20" s="1"/>
  <c r="B23" i="20"/>
  <c r="B65" i="20" s="1"/>
  <c r="M22" i="20"/>
  <c r="M64" i="20" s="1"/>
  <c r="L22" i="20"/>
  <c r="L64" i="20" s="1"/>
  <c r="K22" i="20"/>
  <c r="K64" i="20" s="1"/>
  <c r="J22" i="20"/>
  <c r="I22" i="20"/>
  <c r="I64" i="20" s="1"/>
  <c r="H22" i="20"/>
  <c r="H64" i="20" s="1"/>
  <c r="G22" i="20"/>
  <c r="G64" i="20" s="1"/>
  <c r="F22" i="20"/>
  <c r="F64" i="20" s="1"/>
  <c r="E22" i="20"/>
  <c r="E64" i="20" s="1"/>
  <c r="D22" i="20"/>
  <c r="D64" i="20" s="1"/>
  <c r="C22" i="20"/>
  <c r="C64" i="20" s="1"/>
  <c r="B22" i="20"/>
  <c r="M21" i="20"/>
  <c r="M63" i="20" s="1"/>
  <c r="L21" i="20"/>
  <c r="L63" i="20" s="1"/>
  <c r="K21" i="20"/>
  <c r="K63" i="20" s="1"/>
  <c r="J21" i="20"/>
  <c r="J63" i="20" s="1"/>
  <c r="I21" i="20"/>
  <c r="I63" i="20" s="1"/>
  <c r="H21" i="20"/>
  <c r="H63" i="20" s="1"/>
  <c r="G21" i="20"/>
  <c r="G63" i="20" s="1"/>
  <c r="F21" i="20"/>
  <c r="E21" i="20"/>
  <c r="E63" i="20" s="1"/>
  <c r="D21" i="20"/>
  <c r="D63" i="20" s="1"/>
  <c r="C21" i="20"/>
  <c r="C63" i="20" s="1"/>
  <c r="B21" i="20"/>
  <c r="B63" i="20" s="1"/>
  <c r="M20" i="20"/>
  <c r="L20" i="20"/>
  <c r="K20" i="20"/>
  <c r="K62" i="20" s="1"/>
  <c r="J20" i="20"/>
  <c r="I20" i="20"/>
  <c r="I34" i="20" s="1"/>
  <c r="H20" i="20"/>
  <c r="G20" i="20"/>
  <c r="F20" i="20"/>
  <c r="E20" i="20"/>
  <c r="D20" i="20"/>
  <c r="D62" i="20" s="1"/>
  <c r="C20" i="20"/>
  <c r="C48" i="20" s="1"/>
  <c r="B20" i="20"/>
  <c r="B48" i="20" s="1"/>
  <c r="M19" i="20"/>
  <c r="M61" i="20" s="1"/>
  <c r="L19" i="20"/>
  <c r="L61" i="20" s="1"/>
  <c r="K19" i="20"/>
  <c r="K61" i="20" s="1"/>
  <c r="J19" i="20"/>
  <c r="J61" i="20" s="1"/>
  <c r="I19" i="20"/>
  <c r="I61" i="20" s="1"/>
  <c r="H19" i="20"/>
  <c r="H61" i="20" s="1"/>
  <c r="G19" i="20"/>
  <c r="G61" i="20" s="1"/>
  <c r="F19" i="20"/>
  <c r="E19" i="20"/>
  <c r="E61" i="20" s="1"/>
  <c r="D19" i="20"/>
  <c r="D61" i="20" s="1"/>
  <c r="C19" i="20"/>
  <c r="C61" i="20" s="1"/>
  <c r="B19" i="20"/>
  <c r="B61" i="20" s="1"/>
  <c r="M18" i="20"/>
  <c r="M60" i="20" s="1"/>
  <c r="L18" i="20"/>
  <c r="L60" i="20" s="1"/>
  <c r="K18" i="20"/>
  <c r="K60" i="20" s="1"/>
  <c r="J18" i="20"/>
  <c r="J60" i="20" s="1"/>
  <c r="I18" i="20"/>
  <c r="I60" i="20" s="1"/>
  <c r="H18" i="20"/>
  <c r="H60" i="20" s="1"/>
  <c r="G18" i="20"/>
  <c r="G60" i="20" s="1"/>
  <c r="F18" i="20"/>
  <c r="F60" i="20" s="1"/>
  <c r="E18" i="20"/>
  <c r="E60" i="20" s="1"/>
  <c r="D18" i="20"/>
  <c r="D60" i="20" s="1"/>
  <c r="C18" i="20"/>
  <c r="C60" i="20" s="1"/>
  <c r="B18" i="20"/>
  <c r="B60" i="20" s="1"/>
  <c r="M17" i="20"/>
  <c r="M59" i="20" s="1"/>
  <c r="L17" i="20"/>
  <c r="L59" i="20" s="1"/>
  <c r="K17" i="20"/>
  <c r="K59" i="20" s="1"/>
  <c r="J17" i="20"/>
  <c r="J59" i="20" s="1"/>
  <c r="I17" i="20"/>
  <c r="I59" i="20" s="1"/>
  <c r="H17" i="20"/>
  <c r="H59" i="20" s="1"/>
  <c r="G17" i="20"/>
  <c r="G59" i="20" s="1"/>
  <c r="F17" i="20"/>
  <c r="F59" i="20" s="1"/>
  <c r="E17" i="20"/>
  <c r="E59" i="20" s="1"/>
  <c r="D17" i="20"/>
  <c r="D59" i="20" s="1"/>
  <c r="C17" i="20"/>
  <c r="C59" i="20" s="1"/>
  <c r="B17" i="20"/>
  <c r="B59" i="20" s="1"/>
  <c r="M16" i="20"/>
  <c r="M58" i="20" s="1"/>
  <c r="L16" i="20"/>
  <c r="L58" i="20" s="1"/>
  <c r="K16" i="20"/>
  <c r="K58" i="20" s="1"/>
  <c r="J16" i="20"/>
  <c r="J58" i="20" s="1"/>
  <c r="I16" i="20"/>
  <c r="I58" i="20" s="1"/>
  <c r="H16" i="20"/>
  <c r="H58" i="20" s="1"/>
  <c r="G16" i="20"/>
  <c r="G58" i="20" s="1"/>
  <c r="F16" i="20"/>
  <c r="F58" i="20" s="1"/>
  <c r="E16" i="20"/>
  <c r="E58" i="20" s="1"/>
  <c r="D16" i="20"/>
  <c r="D58" i="20" s="1"/>
  <c r="C16" i="20"/>
  <c r="C58" i="20" s="1"/>
  <c r="B16" i="20"/>
  <c r="B58" i="20" s="1"/>
  <c r="M27" i="19"/>
  <c r="M69" i="19" s="1"/>
  <c r="L27" i="19"/>
  <c r="L69" i="19" s="1"/>
  <c r="K27" i="19"/>
  <c r="K69" i="19" s="1"/>
  <c r="J27" i="19"/>
  <c r="J69" i="19" s="1"/>
  <c r="I27" i="19"/>
  <c r="I69" i="19" s="1"/>
  <c r="H27" i="19"/>
  <c r="H69" i="19" s="1"/>
  <c r="G27" i="19"/>
  <c r="G41" i="19" s="1"/>
  <c r="F27" i="19"/>
  <c r="F41" i="19" s="1"/>
  <c r="E27" i="19"/>
  <c r="E69" i="19" s="1"/>
  <c r="D27" i="19"/>
  <c r="D69" i="19" s="1"/>
  <c r="C27" i="19"/>
  <c r="C69" i="19" s="1"/>
  <c r="B27" i="19"/>
  <c r="B69" i="19" s="1"/>
  <c r="M26" i="19"/>
  <c r="M68" i="19" s="1"/>
  <c r="L26" i="19"/>
  <c r="L68" i="19" s="1"/>
  <c r="K26" i="19"/>
  <c r="K40" i="19" s="1"/>
  <c r="J26" i="19"/>
  <c r="J40" i="19" s="1"/>
  <c r="I26" i="19"/>
  <c r="I68" i="19" s="1"/>
  <c r="H26" i="19"/>
  <c r="H68" i="19" s="1"/>
  <c r="G26" i="19"/>
  <c r="G68" i="19" s="1"/>
  <c r="F26" i="19"/>
  <c r="F68" i="19" s="1"/>
  <c r="E26" i="19"/>
  <c r="E68" i="19" s="1"/>
  <c r="D26" i="19"/>
  <c r="D68" i="19" s="1"/>
  <c r="C26" i="19"/>
  <c r="C68" i="19" s="1"/>
  <c r="B26" i="19"/>
  <c r="B40" i="19" s="1"/>
  <c r="M25" i="19"/>
  <c r="M67" i="19" s="1"/>
  <c r="L25" i="19"/>
  <c r="L67" i="19" s="1"/>
  <c r="K25" i="19"/>
  <c r="K67" i="19" s="1"/>
  <c r="J25" i="19"/>
  <c r="J67" i="19" s="1"/>
  <c r="I25" i="19"/>
  <c r="I67" i="19" s="1"/>
  <c r="H25" i="19"/>
  <c r="H67" i="19" s="1"/>
  <c r="G25" i="19"/>
  <c r="G67" i="19" s="1"/>
  <c r="F25" i="19"/>
  <c r="F67" i="19" s="1"/>
  <c r="E25" i="19"/>
  <c r="E67" i="19" s="1"/>
  <c r="D25" i="19"/>
  <c r="D67" i="19" s="1"/>
  <c r="C25" i="19"/>
  <c r="C67" i="19" s="1"/>
  <c r="B25" i="19"/>
  <c r="B67" i="19" s="1"/>
  <c r="M23" i="19"/>
  <c r="M65" i="19" s="1"/>
  <c r="L23" i="19"/>
  <c r="L65" i="19" s="1"/>
  <c r="K23" i="19"/>
  <c r="K65" i="19" s="1"/>
  <c r="J23" i="19"/>
  <c r="J65" i="19" s="1"/>
  <c r="I23" i="19"/>
  <c r="I65" i="19" s="1"/>
  <c r="H23" i="19"/>
  <c r="H65" i="19" s="1"/>
  <c r="G23" i="19"/>
  <c r="G37" i="19" s="1"/>
  <c r="F23" i="19"/>
  <c r="E23" i="19"/>
  <c r="E65" i="19" s="1"/>
  <c r="D23" i="19"/>
  <c r="D65" i="19" s="1"/>
  <c r="C23" i="19"/>
  <c r="C65" i="19" s="1"/>
  <c r="B23" i="19"/>
  <c r="B65" i="19" s="1"/>
  <c r="M22" i="19"/>
  <c r="M64" i="19" s="1"/>
  <c r="L22" i="19"/>
  <c r="L64" i="19" s="1"/>
  <c r="K22" i="19"/>
  <c r="K36" i="19" s="1"/>
  <c r="J22" i="19"/>
  <c r="I22" i="19"/>
  <c r="I64" i="19" s="1"/>
  <c r="H22" i="19"/>
  <c r="H64" i="19" s="1"/>
  <c r="G22" i="19"/>
  <c r="G64" i="19" s="1"/>
  <c r="F22" i="19"/>
  <c r="F64" i="19" s="1"/>
  <c r="E22" i="19"/>
  <c r="E64" i="19" s="1"/>
  <c r="D22" i="19"/>
  <c r="D64" i="19" s="1"/>
  <c r="C22" i="19"/>
  <c r="C50" i="19" s="1"/>
  <c r="B22" i="19"/>
  <c r="M21" i="19"/>
  <c r="M63" i="19" s="1"/>
  <c r="L21" i="19"/>
  <c r="L63" i="19" s="1"/>
  <c r="K21" i="19"/>
  <c r="K63" i="19" s="1"/>
  <c r="J21" i="19"/>
  <c r="J63" i="19" s="1"/>
  <c r="I21" i="19"/>
  <c r="I63" i="19" s="1"/>
  <c r="H21" i="19"/>
  <c r="H63" i="19" s="1"/>
  <c r="G21" i="19"/>
  <c r="G49" i="19" s="1"/>
  <c r="F21" i="19"/>
  <c r="E21" i="19"/>
  <c r="E63" i="19" s="1"/>
  <c r="D21" i="19"/>
  <c r="D63" i="19" s="1"/>
  <c r="C21" i="19"/>
  <c r="C63" i="19" s="1"/>
  <c r="B21" i="19"/>
  <c r="B63" i="19" s="1"/>
  <c r="M20" i="19"/>
  <c r="L20" i="19"/>
  <c r="K20" i="19"/>
  <c r="K34" i="19" s="1"/>
  <c r="J20" i="19"/>
  <c r="I20" i="19"/>
  <c r="H20" i="19"/>
  <c r="H48" i="19" s="1"/>
  <c r="G20" i="19"/>
  <c r="F20" i="19"/>
  <c r="E20" i="19"/>
  <c r="D20" i="19"/>
  <c r="C20" i="19"/>
  <c r="B20" i="19"/>
  <c r="B34" i="19" s="1"/>
  <c r="M19" i="19"/>
  <c r="M61" i="19" s="1"/>
  <c r="L19" i="19"/>
  <c r="L61" i="19" s="1"/>
  <c r="K19" i="19"/>
  <c r="K61" i="19" s="1"/>
  <c r="J19" i="19"/>
  <c r="J61" i="19" s="1"/>
  <c r="I19" i="19"/>
  <c r="I61" i="19" s="1"/>
  <c r="H19" i="19"/>
  <c r="H61" i="19" s="1"/>
  <c r="G19" i="19"/>
  <c r="G47" i="19" s="1"/>
  <c r="F19" i="19"/>
  <c r="E19" i="19"/>
  <c r="E61" i="19" s="1"/>
  <c r="D19" i="19"/>
  <c r="D61" i="19" s="1"/>
  <c r="C19" i="19"/>
  <c r="C61" i="19" s="1"/>
  <c r="B19" i="19"/>
  <c r="B61" i="19" s="1"/>
  <c r="M18" i="19"/>
  <c r="M60" i="19" s="1"/>
  <c r="L18" i="19"/>
  <c r="L60" i="19" s="1"/>
  <c r="K18" i="19"/>
  <c r="K46" i="19" s="1"/>
  <c r="J18" i="19"/>
  <c r="J32" i="19" s="1"/>
  <c r="I18" i="19"/>
  <c r="I60" i="19" s="1"/>
  <c r="H18" i="19"/>
  <c r="H60" i="19" s="1"/>
  <c r="G18" i="19"/>
  <c r="G60" i="19" s="1"/>
  <c r="F18" i="19"/>
  <c r="F60" i="19" s="1"/>
  <c r="E18" i="19"/>
  <c r="E60" i="19" s="1"/>
  <c r="D18" i="19"/>
  <c r="D60" i="19" s="1"/>
  <c r="C18" i="19"/>
  <c r="C32" i="19" s="1"/>
  <c r="B18" i="19"/>
  <c r="M17" i="19"/>
  <c r="M59" i="19" s="1"/>
  <c r="L17" i="19"/>
  <c r="L59" i="19" s="1"/>
  <c r="K17" i="19"/>
  <c r="K59" i="19" s="1"/>
  <c r="J17" i="19"/>
  <c r="J59" i="19" s="1"/>
  <c r="I17" i="19"/>
  <c r="I59" i="19" s="1"/>
  <c r="H17" i="19"/>
  <c r="H59" i="19" s="1"/>
  <c r="G17" i="19"/>
  <c r="G31" i="19" s="1"/>
  <c r="F17" i="19"/>
  <c r="F59" i="19" s="1"/>
  <c r="E17" i="19"/>
  <c r="E59" i="19" s="1"/>
  <c r="D17" i="19"/>
  <c r="D59" i="19" s="1"/>
  <c r="C17" i="19"/>
  <c r="C59" i="19" s="1"/>
  <c r="B17" i="19"/>
  <c r="B59" i="19" s="1"/>
  <c r="M16" i="19"/>
  <c r="M58" i="19" s="1"/>
  <c r="L16" i="19"/>
  <c r="L58" i="19" s="1"/>
  <c r="K16" i="19"/>
  <c r="K44" i="19" s="1"/>
  <c r="J16" i="19"/>
  <c r="J58" i="19" s="1"/>
  <c r="I16" i="19"/>
  <c r="I58" i="19" s="1"/>
  <c r="H16" i="19"/>
  <c r="H58" i="19" s="1"/>
  <c r="G16" i="19"/>
  <c r="G58" i="19" s="1"/>
  <c r="F16" i="19"/>
  <c r="F58" i="19" s="1"/>
  <c r="E16" i="19"/>
  <c r="E58" i="19" s="1"/>
  <c r="D16" i="19"/>
  <c r="D58" i="19" s="1"/>
  <c r="C16" i="19"/>
  <c r="C30" i="19" s="1"/>
  <c r="B16" i="19"/>
  <c r="B58" i="19" s="1"/>
  <c r="M27" i="18"/>
  <c r="M69" i="18" s="1"/>
  <c r="L27" i="18"/>
  <c r="L69" i="18" s="1"/>
  <c r="K27" i="18"/>
  <c r="K69" i="18" s="1"/>
  <c r="J27" i="18"/>
  <c r="J69" i="18" s="1"/>
  <c r="I27" i="18"/>
  <c r="I69" i="18" s="1"/>
  <c r="H27" i="18"/>
  <c r="H69" i="18" s="1"/>
  <c r="G27" i="18"/>
  <c r="G69" i="18" s="1"/>
  <c r="F27" i="18"/>
  <c r="F41" i="18" s="1"/>
  <c r="E27" i="18"/>
  <c r="E69" i="18" s="1"/>
  <c r="D27" i="18"/>
  <c r="D69" i="18" s="1"/>
  <c r="C27" i="18"/>
  <c r="C69" i="18" s="1"/>
  <c r="B27" i="18"/>
  <c r="B69" i="18" s="1"/>
  <c r="M26" i="18"/>
  <c r="M68" i="18" s="1"/>
  <c r="L26" i="18"/>
  <c r="L68" i="18" s="1"/>
  <c r="K26" i="18"/>
  <c r="K68" i="18" s="1"/>
  <c r="J26" i="18"/>
  <c r="J54" i="18" s="1"/>
  <c r="I26" i="18"/>
  <c r="I68" i="18" s="1"/>
  <c r="H26" i="18"/>
  <c r="H68" i="18" s="1"/>
  <c r="G26" i="18"/>
  <c r="G68" i="18" s="1"/>
  <c r="F26" i="18"/>
  <c r="F68" i="18" s="1"/>
  <c r="E26" i="18"/>
  <c r="E68" i="18" s="1"/>
  <c r="D26" i="18"/>
  <c r="D68" i="18" s="1"/>
  <c r="C26" i="18"/>
  <c r="C68" i="18" s="1"/>
  <c r="B26" i="18"/>
  <c r="B40" i="18" s="1"/>
  <c r="M25" i="18"/>
  <c r="M67" i="18" s="1"/>
  <c r="L25" i="18"/>
  <c r="L67" i="18" s="1"/>
  <c r="K25" i="18"/>
  <c r="K67" i="18" s="1"/>
  <c r="J25" i="18"/>
  <c r="J67" i="18" s="1"/>
  <c r="I25" i="18"/>
  <c r="I67" i="18" s="1"/>
  <c r="H25" i="18"/>
  <c r="H67" i="18" s="1"/>
  <c r="G25" i="18"/>
  <c r="G67" i="18" s="1"/>
  <c r="F25" i="18"/>
  <c r="F39" i="18" s="1"/>
  <c r="E25" i="18"/>
  <c r="E67" i="18" s="1"/>
  <c r="D25" i="18"/>
  <c r="D67" i="18" s="1"/>
  <c r="C25" i="18"/>
  <c r="C67" i="18" s="1"/>
  <c r="B25" i="18"/>
  <c r="B67" i="18" s="1"/>
  <c r="M23" i="18"/>
  <c r="M65" i="18" s="1"/>
  <c r="L23" i="18"/>
  <c r="L65" i="18" s="1"/>
  <c r="K23" i="18"/>
  <c r="K65" i="18" s="1"/>
  <c r="J23" i="18"/>
  <c r="J65" i="18" s="1"/>
  <c r="I23" i="18"/>
  <c r="I65" i="18" s="1"/>
  <c r="H23" i="18"/>
  <c r="H65" i="18" s="1"/>
  <c r="G23" i="18"/>
  <c r="G65" i="18" s="1"/>
  <c r="F23" i="18"/>
  <c r="E23" i="18"/>
  <c r="E65" i="18" s="1"/>
  <c r="D23" i="18"/>
  <c r="D65" i="18" s="1"/>
  <c r="C23" i="18"/>
  <c r="C65" i="18" s="1"/>
  <c r="B23" i="18"/>
  <c r="B65" i="18" s="1"/>
  <c r="M22" i="18"/>
  <c r="M64" i="18" s="1"/>
  <c r="L22" i="18"/>
  <c r="L64" i="18" s="1"/>
  <c r="K22" i="18"/>
  <c r="K64" i="18" s="1"/>
  <c r="J22" i="18"/>
  <c r="I22" i="18"/>
  <c r="I64" i="18" s="1"/>
  <c r="H22" i="18"/>
  <c r="H64" i="18" s="1"/>
  <c r="G22" i="18"/>
  <c r="G64" i="18" s="1"/>
  <c r="F22" i="18"/>
  <c r="F64" i="18" s="1"/>
  <c r="E22" i="18"/>
  <c r="E64" i="18" s="1"/>
  <c r="D22" i="18"/>
  <c r="D64" i="18" s="1"/>
  <c r="C22" i="18"/>
  <c r="C64" i="18" s="1"/>
  <c r="B22" i="18"/>
  <c r="M21" i="18"/>
  <c r="M63" i="18" s="1"/>
  <c r="L21" i="18"/>
  <c r="L63" i="18" s="1"/>
  <c r="K21" i="18"/>
  <c r="K63" i="18" s="1"/>
  <c r="J21" i="18"/>
  <c r="J63" i="18" s="1"/>
  <c r="I21" i="18"/>
  <c r="I63" i="18" s="1"/>
  <c r="H21" i="18"/>
  <c r="H63" i="18" s="1"/>
  <c r="G21" i="18"/>
  <c r="G63" i="18" s="1"/>
  <c r="F21" i="18"/>
  <c r="E21" i="18"/>
  <c r="E63" i="18" s="1"/>
  <c r="D21" i="18"/>
  <c r="D63" i="18" s="1"/>
  <c r="C21" i="18"/>
  <c r="C63" i="18" s="1"/>
  <c r="B21" i="18"/>
  <c r="M20" i="18"/>
  <c r="L20" i="18"/>
  <c r="K20" i="18"/>
  <c r="J20" i="18"/>
  <c r="I20" i="18"/>
  <c r="H20" i="18"/>
  <c r="H34" i="18" s="1"/>
  <c r="G20" i="18"/>
  <c r="G48" i="18" s="1"/>
  <c r="F20" i="18"/>
  <c r="E20" i="18"/>
  <c r="E48" i="18" s="1"/>
  <c r="D20" i="18"/>
  <c r="C20" i="18"/>
  <c r="B20" i="18"/>
  <c r="M19" i="18"/>
  <c r="M61" i="18" s="1"/>
  <c r="L19" i="18"/>
  <c r="L61" i="18" s="1"/>
  <c r="K19" i="18"/>
  <c r="K61" i="18" s="1"/>
  <c r="J19" i="18"/>
  <c r="I19" i="18"/>
  <c r="I61" i="18" s="1"/>
  <c r="H19" i="18"/>
  <c r="H61" i="18" s="1"/>
  <c r="G19" i="18"/>
  <c r="G61" i="18" s="1"/>
  <c r="F19" i="18"/>
  <c r="E19" i="18"/>
  <c r="E61" i="18" s="1"/>
  <c r="D19" i="18"/>
  <c r="D61" i="18" s="1"/>
  <c r="C19" i="18"/>
  <c r="C61" i="18" s="1"/>
  <c r="B19" i="18"/>
  <c r="M18" i="18"/>
  <c r="M60" i="18" s="1"/>
  <c r="L18" i="18"/>
  <c r="L60" i="18" s="1"/>
  <c r="K18" i="18"/>
  <c r="K60" i="18" s="1"/>
  <c r="J18" i="18"/>
  <c r="I18" i="18"/>
  <c r="I60" i="18" s="1"/>
  <c r="H18" i="18"/>
  <c r="H60" i="18" s="1"/>
  <c r="G18" i="18"/>
  <c r="G60" i="18" s="1"/>
  <c r="F18" i="18"/>
  <c r="E18" i="18"/>
  <c r="E60" i="18" s="1"/>
  <c r="D18" i="18"/>
  <c r="D60" i="18" s="1"/>
  <c r="C18" i="18"/>
  <c r="C60" i="18" s="1"/>
  <c r="B18" i="18"/>
  <c r="M17" i="18"/>
  <c r="M59" i="18" s="1"/>
  <c r="L17" i="18"/>
  <c r="L59" i="18" s="1"/>
  <c r="K17" i="18"/>
  <c r="K59" i="18" s="1"/>
  <c r="J17" i="18"/>
  <c r="I17" i="18"/>
  <c r="I59" i="18" s="1"/>
  <c r="H17" i="18"/>
  <c r="H59" i="18" s="1"/>
  <c r="G17" i="18"/>
  <c r="G59" i="18" s="1"/>
  <c r="F17" i="18"/>
  <c r="F59" i="18" s="1"/>
  <c r="E17" i="18"/>
  <c r="E59" i="18" s="1"/>
  <c r="D17" i="18"/>
  <c r="D59" i="18" s="1"/>
  <c r="C17" i="18"/>
  <c r="C59" i="18" s="1"/>
  <c r="B17" i="18"/>
  <c r="M16" i="18"/>
  <c r="M58" i="18" s="1"/>
  <c r="L16" i="18"/>
  <c r="L58" i="18" s="1"/>
  <c r="K16" i="18"/>
  <c r="K58" i="18" s="1"/>
  <c r="J16" i="18"/>
  <c r="J58" i="18" s="1"/>
  <c r="I16" i="18"/>
  <c r="I58" i="18" s="1"/>
  <c r="H16" i="18"/>
  <c r="H58" i="18" s="1"/>
  <c r="G16" i="18"/>
  <c r="G58" i="18" s="1"/>
  <c r="F16" i="18"/>
  <c r="E16" i="18"/>
  <c r="E58" i="18" s="1"/>
  <c r="D16" i="18"/>
  <c r="D58" i="18" s="1"/>
  <c r="C16" i="18"/>
  <c r="C58" i="18" s="1"/>
  <c r="B16" i="18"/>
  <c r="B58" i="18" s="1"/>
  <c r="M27" i="17"/>
  <c r="M69" i="17" s="1"/>
  <c r="L27" i="17"/>
  <c r="L69" i="17" s="1"/>
  <c r="K27" i="17"/>
  <c r="K69" i="17" s="1"/>
  <c r="J27" i="17"/>
  <c r="J69" i="17" s="1"/>
  <c r="I27" i="17"/>
  <c r="I69" i="17" s="1"/>
  <c r="H27" i="17"/>
  <c r="H69" i="17" s="1"/>
  <c r="G27" i="17"/>
  <c r="G69" i="17" s="1"/>
  <c r="F27" i="17"/>
  <c r="F55" i="17" s="1"/>
  <c r="E27" i="17"/>
  <c r="E69" i="17" s="1"/>
  <c r="D27" i="17"/>
  <c r="D69" i="17" s="1"/>
  <c r="C27" i="17"/>
  <c r="C69" i="17" s="1"/>
  <c r="B27" i="17"/>
  <c r="B69" i="17" s="1"/>
  <c r="M26" i="17"/>
  <c r="M68" i="17" s="1"/>
  <c r="L26" i="17"/>
  <c r="L68" i="17" s="1"/>
  <c r="K26" i="17"/>
  <c r="K68" i="17" s="1"/>
  <c r="J26" i="17"/>
  <c r="J40" i="17" s="1"/>
  <c r="I26" i="17"/>
  <c r="I68" i="17" s="1"/>
  <c r="H26" i="17"/>
  <c r="H68" i="17" s="1"/>
  <c r="G26" i="17"/>
  <c r="G68" i="17" s="1"/>
  <c r="F26" i="17"/>
  <c r="F68" i="17" s="1"/>
  <c r="E26" i="17"/>
  <c r="E68" i="17" s="1"/>
  <c r="D26" i="17"/>
  <c r="D68" i="17" s="1"/>
  <c r="C26" i="17"/>
  <c r="C68" i="17" s="1"/>
  <c r="B26" i="17"/>
  <c r="B54" i="17" s="1"/>
  <c r="M25" i="17"/>
  <c r="M67" i="17" s="1"/>
  <c r="L25" i="17"/>
  <c r="L67" i="17" s="1"/>
  <c r="K25" i="17"/>
  <c r="K67" i="17" s="1"/>
  <c r="J25" i="17"/>
  <c r="J67" i="17" s="1"/>
  <c r="I25" i="17"/>
  <c r="I67" i="17" s="1"/>
  <c r="H25" i="17"/>
  <c r="H67" i="17" s="1"/>
  <c r="G25" i="17"/>
  <c r="G67" i="17" s="1"/>
  <c r="F25" i="17"/>
  <c r="F67" i="17" s="1"/>
  <c r="E25" i="17"/>
  <c r="E67" i="17" s="1"/>
  <c r="D25" i="17"/>
  <c r="D67" i="17" s="1"/>
  <c r="C25" i="17"/>
  <c r="C67" i="17" s="1"/>
  <c r="B25" i="17"/>
  <c r="B67" i="17" s="1"/>
  <c r="M23" i="17"/>
  <c r="M65" i="17" s="1"/>
  <c r="L23" i="17"/>
  <c r="L65" i="17" s="1"/>
  <c r="K23" i="17"/>
  <c r="K65" i="17" s="1"/>
  <c r="J23" i="17"/>
  <c r="J65" i="17" s="1"/>
  <c r="I23" i="17"/>
  <c r="I65" i="17" s="1"/>
  <c r="H23" i="17"/>
  <c r="H65" i="17" s="1"/>
  <c r="G23" i="17"/>
  <c r="G65" i="17" s="1"/>
  <c r="F23" i="17"/>
  <c r="F65" i="17" s="1"/>
  <c r="E23" i="17"/>
  <c r="E65" i="17" s="1"/>
  <c r="D23" i="17"/>
  <c r="D65" i="17" s="1"/>
  <c r="C23" i="17"/>
  <c r="C65" i="17" s="1"/>
  <c r="B23" i="17"/>
  <c r="B65" i="17" s="1"/>
  <c r="M22" i="17"/>
  <c r="M64" i="17" s="1"/>
  <c r="L22" i="17"/>
  <c r="L64" i="17" s="1"/>
  <c r="K22" i="17"/>
  <c r="K64" i="17" s="1"/>
  <c r="J22" i="17"/>
  <c r="J64" i="17" s="1"/>
  <c r="I22" i="17"/>
  <c r="I64" i="17" s="1"/>
  <c r="H22" i="17"/>
  <c r="H64" i="17" s="1"/>
  <c r="G22" i="17"/>
  <c r="G64" i="17" s="1"/>
  <c r="F22" i="17"/>
  <c r="F64" i="17" s="1"/>
  <c r="E22" i="17"/>
  <c r="E64" i="17" s="1"/>
  <c r="D22" i="17"/>
  <c r="D64" i="17" s="1"/>
  <c r="C22" i="17"/>
  <c r="C64" i="17" s="1"/>
  <c r="B22" i="17"/>
  <c r="B36" i="17" s="1"/>
  <c r="M21" i="17"/>
  <c r="M63" i="17" s="1"/>
  <c r="L21" i="17"/>
  <c r="L63" i="17" s="1"/>
  <c r="K21" i="17"/>
  <c r="K63" i="17" s="1"/>
  <c r="J21" i="17"/>
  <c r="J63" i="17" s="1"/>
  <c r="I21" i="17"/>
  <c r="I63" i="17" s="1"/>
  <c r="H21" i="17"/>
  <c r="H63" i="17" s="1"/>
  <c r="G21" i="17"/>
  <c r="G63" i="17" s="1"/>
  <c r="F21" i="17"/>
  <c r="F63" i="17" s="1"/>
  <c r="E21" i="17"/>
  <c r="E63" i="17" s="1"/>
  <c r="D21" i="17"/>
  <c r="D63" i="17" s="1"/>
  <c r="C21" i="17"/>
  <c r="C63" i="17" s="1"/>
  <c r="B21" i="17"/>
  <c r="B63" i="17" s="1"/>
  <c r="M20" i="17"/>
  <c r="L20" i="17"/>
  <c r="K20" i="17"/>
  <c r="J20" i="17"/>
  <c r="I20" i="17"/>
  <c r="H20" i="17"/>
  <c r="H62" i="17" s="1"/>
  <c r="G20" i="17"/>
  <c r="G62" i="17" s="1"/>
  <c r="F20" i="17"/>
  <c r="F48" i="17" s="1"/>
  <c r="E20" i="17"/>
  <c r="E48" i="17" s="1"/>
  <c r="D20" i="17"/>
  <c r="C20" i="17"/>
  <c r="B20" i="17"/>
  <c r="M19" i="17"/>
  <c r="M61" i="17" s="1"/>
  <c r="L19" i="17"/>
  <c r="L61" i="17" s="1"/>
  <c r="K19" i="17"/>
  <c r="K61" i="17" s="1"/>
  <c r="J19" i="17"/>
  <c r="J61" i="17" s="1"/>
  <c r="I19" i="17"/>
  <c r="I61" i="17" s="1"/>
  <c r="H19" i="17"/>
  <c r="H61" i="17" s="1"/>
  <c r="G19" i="17"/>
  <c r="G61" i="17" s="1"/>
  <c r="F19" i="17"/>
  <c r="F47" i="17" s="1"/>
  <c r="E19" i="17"/>
  <c r="E61" i="17" s="1"/>
  <c r="D19" i="17"/>
  <c r="D61" i="17" s="1"/>
  <c r="C19" i="17"/>
  <c r="C61" i="17" s="1"/>
  <c r="B19" i="17"/>
  <c r="B61" i="17" s="1"/>
  <c r="M18" i="17"/>
  <c r="M60" i="17" s="1"/>
  <c r="L18" i="17"/>
  <c r="L60" i="17" s="1"/>
  <c r="K18" i="17"/>
  <c r="K60" i="17" s="1"/>
  <c r="J18" i="17"/>
  <c r="J60" i="17" s="1"/>
  <c r="I18" i="17"/>
  <c r="I60" i="17" s="1"/>
  <c r="H18" i="17"/>
  <c r="H60" i="17" s="1"/>
  <c r="G18" i="17"/>
  <c r="G60" i="17" s="1"/>
  <c r="F18" i="17"/>
  <c r="F60" i="17" s="1"/>
  <c r="E18" i="17"/>
  <c r="E60" i="17" s="1"/>
  <c r="D18" i="17"/>
  <c r="D60" i="17" s="1"/>
  <c r="C18" i="17"/>
  <c r="C60" i="17" s="1"/>
  <c r="B18" i="17"/>
  <c r="B60" i="17" s="1"/>
  <c r="M17" i="17"/>
  <c r="M59" i="17" s="1"/>
  <c r="L17" i="17"/>
  <c r="L59" i="17" s="1"/>
  <c r="K17" i="17"/>
  <c r="K59" i="17" s="1"/>
  <c r="J17" i="17"/>
  <c r="J59" i="17" s="1"/>
  <c r="I17" i="17"/>
  <c r="I59" i="17" s="1"/>
  <c r="H17" i="17"/>
  <c r="H59" i="17" s="1"/>
  <c r="G17" i="17"/>
  <c r="G59" i="17" s="1"/>
  <c r="F17" i="17"/>
  <c r="F59" i="17" s="1"/>
  <c r="E17" i="17"/>
  <c r="E59" i="17" s="1"/>
  <c r="D17" i="17"/>
  <c r="D59" i="17" s="1"/>
  <c r="C17" i="17"/>
  <c r="C59" i="17" s="1"/>
  <c r="B17" i="17"/>
  <c r="B59" i="17" s="1"/>
  <c r="M16" i="17"/>
  <c r="M58" i="17" s="1"/>
  <c r="L16" i="17"/>
  <c r="L58" i="17" s="1"/>
  <c r="K16" i="17"/>
  <c r="K58" i="17" s="1"/>
  <c r="J16" i="17"/>
  <c r="J30" i="17" s="1"/>
  <c r="I16" i="17"/>
  <c r="I58" i="17" s="1"/>
  <c r="H16" i="17"/>
  <c r="H58" i="17" s="1"/>
  <c r="G16" i="17"/>
  <c r="G58" i="17" s="1"/>
  <c r="F16" i="17"/>
  <c r="F58" i="17" s="1"/>
  <c r="E16" i="17"/>
  <c r="E58" i="17" s="1"/>
  <c r="D16" i="17"/>
  <c r="D58" i="17" s="1"/>
  <c r="C16" i="17"/>
  <c r="C58" i="17" s="1"/>
  <c r="B16" i="17"/>
  <c r="B58" i="17" s="1"/>
  <c r="M27" i="16"/>
  <c r="M69" i="16" s="1"/>
  <c r="L27" i="16"/>
  <c r="K27" i="16"/>
  <c r="K69" i="16" s="1"/>
  <c r="J27" i="16"/>
  <c r="J69" i="16" s="1"/>
  <c r="I27" i="16"/>
  <c r="I69" i="16" s="1"/>
  <c r="H27" i="16"/>
  <c r="H69" i="16" s="1"/>
  <c r="G27" i="16"/>
  <c r="G69" i="16" s="1"/>
  <c r="F27" i="16"/>
  <c r="F55" i="16" s="1"/>
  <c r="E27" i="16"/>
  <c r="E69" i="16" s="1"/>
  <c r="D27" i="16"/>
  <c r="C27" i="16"/>
  <c r="C69" i="16" s="1"/>
  <c r="B27" i="16"/>
  <c r="B69" i="16" s="1"/>
  <c r="M26" i="16"/>
  <c r="M68" i="16" s="1"/>
  <c r="L26" i="16"/>
  <c r="L68" i="16" s="1"/>
  <c r="K26" i="16"/>
  <c r="K68" i="16" s="1"/>
  <c r="J26" i="16"/>
  <c r="J68" i="16" s="1"/>
  <c r="I26" i="16"/>
  <c r="I68" i="16" s="1"/>
  <c r="H26" i="16"/>
  <c r="G26" i="16"/>
  <c r="G68" i="16" s="1"/>
  <c r="F26" i="16"/>
  <c r="F68" i="16" s="1"/>
  <c r="E26" i="16"/>
  <c r="E68" i="16" s="1"/>
  <c r="D26" i="16"/>
  <c r="D68" i="16" s="1"/>
  <c r="C26" i="16"/>
  <c r="C68" i="16" s="1"/>
  <c r="B26" i="16"/>
  <c r="B54" i="16" s="1"/>
  <c r="M25" i="16"/>
  <c r="M67" i="16" s="1"/>
  <c r="L25" i="16"/>
  <c r="K25" i="16"/>
  <c r="K67" i="16" s="1"/>
  <c r="J25" i="16"/>
  <c r="J67" i="16" s="1"/>
  <c r="I25" i="16"/>
  <c r="I67" i="16" s="1"/>
  <c r="H25" i="16"/>
  <c r="H67" i="16" s="1"/>
  <c r="G25" i="16"/>
  <c r="G67" i="16" s="1"/>
  <c r="F25" i="16"/>
  <c r="F67" i="16" s="1"/>
  <c r="E25" i="16"/>
  <c r="E67" i="16" s="1"/>
  <c r="D25" i="16"/>
  <c r="C25" i="16"/>
  <c r="C67" i="16" s="1"/>
  <c r="B25" i="16"/>
  <c r="B67" i="16" s="1"/>
  <c r="M23" i="16"/>
  <c r="M65" i="16" s="1"/>
  <c r="L23" i="16"/>
  <c r="K23" i="16"/>
  <c r="K65" i="16" s="1"/>
  <c r="J23" i="16"/>
  <c r="J65" i="16" s="1"/>
  <c r="I23" i="16"/>
  <c r="I65" i="16" s="1"/>
  <c r="H23" i="16"/>
  <c r="H65" i="16" s="1"/>
  <c r="G23" i="16"/>
  <c r="G65" i="16" s="1"/>
  <c r="F23" i="16"/>
  <c r="F65" i="16" s="1"/>
  <c r="E23" i="16"/>
  <c r="E65" i="16" s="1"/>
  <c r="D23" i="16"/>
  <c r="C23" i="16"/>
  <c r="C65" i="16" s="1"/>
  <c r="B23" i="16"/>
  <c r="B65" i="16" s="1"/>
  <c r="M22" i="16"/>
  <c r="M64" i="16" s="1"/>
  <c r="L22" i="16"/>
  <c r="L64" i="16" s="1"/>
  <c r="K22" i="16"/>
  <c r="K64" i="16" s="1"/>
  <c r="J22" i="16"/>
  <c r="J64" i="16" s="1"/>
  <c r="I22" i="16"/>
  <c r="I64" i="16" s="1"/>
  <c r="H22" i="16"/>
  <c r="G22" i="16"/>
  <c r="G64" i="16" s="1"/>
  <c r="F22" i="16"/>
  <c r="F64" i="16" s="1"/>
  <c r="E22" i="16"/>
  <c r="E64" i="16" s="1"/>
  <c r="D22" i="16"/>
  <c r="D64" i="16" s="1"/>
  <c r="C22" i="16"/>
  <c r="C64" i="16" s="1"/>
  <c r="B22" i="16"/>
  <c r="B64" i="16" s="1"/>
  <c r="M21" i="16"/>
  <c r="M63" i="16" s="1"/>
  <c r="L21" i="16"/>
  <c r="K21" i="16"/>
  <c r="K63" i="16" s="1"/>
  <c r="J21" i="16"/>
  <c r="J63" i="16" s="1"/>
  <c r="I21" i="16"/>
  <c r="I63" i="16" s="1"/>
  <c r="H21" i="16"/>
  <c r="H63" i="16" s="1"/>
  <c r="G21" i="16"/>
  <c r="G63" i="16" s="1"/>
  <c r="F21" i="16"/>
  <c r="F49" i="16" s="1"/>
  <c r="E21" i="16"/>
  <c r="E63" i="16" s="1"/>
  <c r="D21" i="16"/>
  <c r="C21" i="16"/>
  <c r="C63" i="16" s="1"/>
  <c r="B21" i="16"/>
  <c r="B63" i="16" s="1"/>
  <c r="M20" i="16"/>
  <c r="L20" i="16"/>
  <c r="K20" i="16"/>
  <c r="K48" i="16" s="1"/>
  <c r="J20" i="16"/>
  <c r="I20" i="16"/>
  <c r="H20" i="16"/>
  <c r="G20" i="16"/>
  <c r="F20" i="16"/>
  <c r="F34" i="16" s="1"/>
  <c r="E20" i="16"/>
  <c r="E62" i="16" s="1"/>
  <c r="D20" i="16"/>
  <c r="C20" i="16"/>
  <c r="C62" i="16" s="1"/>
  <c r="B20" i="16"/>
  <c r="M19" i="16"/>
  <c r="M61" i="16" s="1"/>
  <c r="L19" i="16"/>
  <c r="K19" i="16"/>
  <c r="K61" i="16" s="1"/>
  <c r="J19" i="16"/>
  <c r="J61" i="16" s="1"/>
  <c r="I19" i="16"/>
  <c r="I61" i="16" s="1"/>
  <c r="H19" i="16"/>
  <c r="H61" i="16" s="1"/>
  <c r="G19" i="16"/>
  <c r="G61" i="16" s="1"/>
  <c r="F19" i="16"/>
  <c r="E19" i="16"/>
  <c r="E61" i="16" s="1"/>
  <c r="D19" i="16"/>
  <c r="C19" i="16"/>
  <c r="C61" i="16" s="1"/>
  <c r="B19" i="16"/>
  <c r="B61" i="16" s="1"/>
  <c r="M18" i="16"/>
  <c r="M60" i="16" s="1"/>
  <c r="L18" i="16"/>
  <c r="L60" i="16" s="1"/>
  <c r="K18" i="16"/>
  <c r="K60" i="16" s="1"/>
  <c r="J18" i="16"/>
  <c r="I18" i="16"/>
  <c r="I60" i="16" s="1"/>
  <c r="H18" i="16"/>
  <c r="G18" i="16"/>
  <c r="G60" i="16" s="1"/>
  <c r="F18" i="16"/>
  <c r="F60" i="16" s="1"/>
  <c r="E18" i="16"/>
  <c r="E60" i="16" s="1"/>
  <c r="D18" i="16"/>
  <c r="D60" i="16" s="1"/>
  <c r="C18" i="16"/>
  <c r="C60" i="16" s="1"/>
  <c r="B18" i="16"/>
  <c r="M17" i="16"/>
  <c r="M59" i="16" s="1"/>
  <c r="L17" i="16"/>
  <c r="K17" i="16"/>
  <c r="K59" i="16" s="1"/>
  <c r="J17" i="16"/>
  <c r="J59" i="16" s="1"/>
  <c r="I17" i="16"/>
  <c r="I59" i="16" s="1"/>
  <c r="H17" i="16"/>
  <c r="H59" i="16" s="1"/>
  <c r="G17" i="16"/>
  <c r="G59" i="16" s="1"/>
  <c r="F17" i="16"/>
  <c r="E17" i="16"/>
  <c r="E59" i="16" s="1"/>
  <c r="D17" i="16"/>
  <c r="C17" i="16"/>
  <c r="C59" i="16" s="1"/>
  <c r="B17" i="16"/>
  <c r="B59" i="16" s="1"/>
  <c r="M16" i="16"/>
  <c r="M58" i="16" s="1"/>
  <c r="L16" i="16"/>
  <c r="L58" i="16" s="1"/>
  <c r="K16" i="16"/>
  <c r="K58" i="16" s="1"/>
  <c r="J16" i="16"/>
  <c r="I16" i="16"/>
  <c r="I58" i="16" s="1"/>
  <c r="H16" i="16"/>
  <c r="G16" i="16"/>
  <c r="G58" i="16" s="1"/>
  <c r="F16" i="16"/>
  <c r="F58" i="16" s="1"/>
  <c r="E16" i="16"/>
  <c r="E58" i="16" s="1"/>
  <c r="D16" i="16"/>
  <c r="D58" i="16" s="1"/>
  <c r="C16" i="16"/>
  <c r="C58" i="16" s="1"/>
  <c r="B16" i="16"/>
  <c r="M27" i="15"/>
  <c r="M69" i="15" s="1"/>
  <c r="L27" i="15"/>
  <c r="L69" i="15" s="1"/>
  <c r="K27" i="15"/>
  <c r="K69" i="15" s="1"/>
  <c r="J27" i="15"/>
  <c r="J69" i="15" s="1"/>
  <c r="I27" i="15"/>
  <c r="I69" i="15" s="1"/>
  <c r="H27" i="15"/>
  <c r="H69" i="15" s="1"/>
  <c r="G27" i="15"/>
  <c r="G69" i="15" s="1"/>
  <c r="F27" i="15"/>
  <c r="F55" i="15" s="1"/>
  <c r="E27" i="15"/>
  <c r="E69" i="15" s="1"/>
  <c r="D27" i="15"/>
  <c r="D69" i="15" s="1"/>
  <c r="C27" i="15"/>
  <c r="C69" i="15" s="1"/>
  <c r="B27" i="15"/>
  <c r="B69" i="15" s="1"/>
  <c r="M26" i="15"/>
  <c r="M68" i="15" s="1"/>
  <c r="L26" i="15"/>
  <c r="L68" i="15" s="1"/>
  <c r="K26" i="15"/>
  <c r="K68" i="15" s="1"/>
  <c r="J26" i="15"/>
  <c r="J68" i="15" s="1"/>
  <c r="I26" i="15"/>
  <c r="I68" i="15" s="1"/>
  <c r="H26" i="15"/>
  <c r="H68" i="15" s="1"/>
  <c r="G26" i="15"/>
  <c r="G68" i="15" s="1"/>
  <c r="F26" i="15"/>
  <c r="F68" i="15" s="1"/>
  <c r="E26" i="15"/>
  <c r="E68" i="15" s="1"/>
  <c r="D26" i="15"/>
  <c r="D68" i="15" s="1"/>
  <c r="C26" i="15"/>
  <c r="C68" i="15" s="1"/>
  <c r="B26" i="15"/>
  <c r="B68" i="15" s="1"/>
  <c r="M25" i="15"/>
  <c r="M67" i="15" s="1"/>
  <c r="L25" i="15"/>
  <c r="L67" i="15" s="1"/>
  <c r="K25" i="15"/>
  <c r="K67" i="15" s="1"/>
  <c r="J25" i="15"/>
  <c r="J67" i="15" s="1"/>
  <c r="I25" i="15"/>
  <c r="I67" i="15" s="1"/>
  <c r="H25" i="15"/>
  <c r="H67" i="15" s="1"/>
  <c r="G25" i="15"/>
  <c r="G67" i="15" s="1"/>
  <c r="F25" i="15"/>
  <c r="F67" i="15" s="1"/>
  <c r="E25" i="15"/>
  <c r="E67" i="15" s="1"/>
  <c r="D25" i="15"/>
  <c r="D67" i="15" s="1"/>
  <c r="C25" i="15"/>
  <c r="C67" i="15" s="1"/>
  <c r="B25" i="15"/>
  <c r="B67" i="15" s="1"/>
  <c r="M66" i="15"/>
  <c r="L66" i="15"/>
  <c r="M23" i="15"/>
  <c r="M65" i="15" s="1"/>
  <c r="L23" i="15"/>
  <c r="L65" i="15" s="1"/>
  <c r="K23" i="15"/>
  <c r="K65" i="15" s="1"/>
  <c r="J23" i="15"/>
  <c r="J65" i="15" s="1"/>
  <c r="I23" i="15"/>
  <c r="I65" i="15" s="1"/>
  <c r="H23" i="15"/>
  <c r="H65" i="15" s="1"/>
  <c r="G23" i="15"/>
  <c r="G65" i="15" s="1"/>
  <c r="F23" i="15"/>
  <c r="F65" i="15" s="1"/>
  <c r="E23" i="15"/>
  <c r="E65" i="15" s="1"/>
  <c r="D23" i="15"/>
  <c r="D65" i="15" s="1"/>
  <c r="C23" i="15"/>
  <c r="C65" i="15" s="1"/>
  <c r="B23" i="15"/>
  <c r="B65" i="15" s="1"/>
  <c r="M22" i="15"/>
  <c r="M64" i="15" s="1"/>
  <c r="L22" i="15"/>
  <c r="L64" i="15" s="1"/>
  <c r="K22" i="15"/>
  <c r="K64" i="15" s="1"/>
  <c r="J22" i="15"/>
  <c r="J36" i="15" s="1"/>
  <c r="I22" i="15"/>
  <c r="I64" i="15" s="1"/>
  <c r="H22" i="15"/>
  <c r="H64" i="15" s="1"/>
  <c r="G22" i="15"/>
  <c r="G64" i="15" s="1"/>
  <c r="F22" i="15"/>
  <c r="F64" i="15" s="1"/>
  <c r="E22" i="15"/>
  <c r="E64" i="15" s="1"/>
  <c r="D22" i="15"/>
  <c r="D64" i="15" s="1"/>
  <c r="C22" i="15"/>
  <c r="C64" i="15" s="1"/>
  <c r="B22" i="15"/>
  <c r="B64" i="15" s="1"/>
  <c r="M21" i="15"/>
  <c r="M63" i="15" s="1"/>
  <c r="L21" i="15"/>
  <c r="L63" i="15" s="1"/>
  <c r="K21" i="15"/>
  <c r="K63" i="15" s="1"/>
  <c r="J21" i="15"/>
  <c r="J63" i="15" s="1"/>
  <c r="I21" i="15"/>
  <c r="I63" i="15" s="1"/>
  <c r="H21" i="15"/>
  <c r="H63" i="15" s="1"/>
  <c r="G21" i="15"/>
  <c r="G63" i="15" s="1"/>
  <c r="F21" i="15"/>
  <c r="F35" i="15" s="1"/>
  <c r="E21" i="15"/>
  <c r="E63" i="15" s="1"/>
  <c r="D21" i="15"/>
  <c r="D63" i="15" s="1"/>
  <c r="C21" i="15"/>
  <c r="C63" i="15" s="1"/>
  <c r="B21" i="15"/>
  <c r="B63" i="15" s="1"/>
  <c r="M20" i="15"/>
  <c r="L20" i="15"/>
  <c r="K20" i="15"/>
  <c r="J20" i="15"/>
  <c r="I20" i="15"/>
  <c r="H20" i="15"/>
  <c r="G20" i="15"/>
  <c r="G34" i="15" s="1"/>
  <c r="F20" i="15"/>
  <c r="F62" i="15" s="1"/>
  <c r="E20" i="15"/>
  <c r="E48" i="15" s="1"/>
  <c r="D20" i="15"/>
  <c r="C20" i="15"/>
  <c r="C62" i="15" s="1"/>
  <c r="B20" i="15"/>
  <c r="M19" i="15"/>
  <c r="M61" i="15" s="1"/>
  <c r="L19" i="15"/>
  <c r="L61" i="15" s="1"/>
  <c r="K19" i="15"/>
  <c r="K61" i="15" s="1"/>
  <c r="J19" i="15"/>
  <c r="J61" i="15" s="1"/>
  <c r="I19" i="15"/>
  <c r="I61" i="15" s="1"/>
  <c r="H19" i="15"/>
  <c r="H61" i="15" s="1"/>
  <c r="G19" i="15"/>
  <c r="G61" i="15" s="1"/>
  <c r="F19" i="15"/>
  <c r="F61" i="15" s="1"/>
  <c r="E19" i="15"/>
  <c r="E61" i="15" s="1"/>
  <c r="D19" i="15"/>
  <c r="D61" i="15" s="1"/>
  <c r="C19" i="15"/>
  <c r="C61" i="15" s="1"/>
  <c r="B19" i="15"/>
  <c r="B61" i="15" s="1"/>
  <c r="M18" i="15"/>
  <c r="M60" i="15" s="1"/>
  <c r="L18" i="15"/>
  <c r="L60" i="15" s="1"/>
  <c r="K18" i="15"/>
  <c r="K60" i="15" s="1"/>
  <c r="J18" i="15"/>
  <c r="J46" i="15" s="1"/>
  <c r="I18" i="15"/>
  <c r="I60" i="15" s="1"/>
  <c r="H18" i="15"/>
  <c r="H60" i="15" s="1"/>
  <c r="G18" i="15"/>
  <c r="G60" i="15" s="1"/>
  <c r="F18" i="15"/>
  <c r="F60" i="15" s="1"/>
  <c r="E18" i="15"/>
  <c r="E60" i="15" s="1"/>
  <c r="D18" i="15"/>
  <c r="D60" i="15" s="1"/>
  <c r="C18" i="15"/>
  <c r="C60" i="15" s="1"/>
  <c r="B18" i="15"/>
  <c r="B60" i="15" s="1"/>
  <c r="M17" i="15"/>
  <c r="M59" i="15" s="1"/>
  <c r="L17" i="15"/>
  <c r="L59" i="15" s="1"/>
  <c r="K17" i="15"/>
  <c r="K59" i="15" s="1"/>
  <c r="J17" i="15"/>
  <c r="J59" i="15" s="1"/>
  <c r="I17" i="15"/>
  <c r="I59" i="15" s="1"/>
  <c r="H17" i="15"/>
  <c r="H59" i="15" s="1"/>
  <c r="G17" i="15"/>
  <c r="G59" i="15" s="1"/>
  <c r="F17" i="15"/>
  <c r="F45" i="15" s="1"/>
  <c r="E17" i="15"/>
  <c r="E59" i="15" s="1"/>
  <c r="D17" i="15"/>
  <c r="D59" i="15" s="1"/>
  <c r="C17" i="15"/>
  <c r="C59" i="15" s="1"/>
  <c r="B17" i="15"/>
  <c r="B59" i="15" s="1"/>
  <c r="M16" i="15"/>
  <c r="M58" i="15" s="1"/>
  <c r="L16" i="15"/>
  <c r="L58" i="15" s="1"/>
  <c r="K16" i="15"/>
  <c r="K58" i="15" s="1"/>
  <c r="J16" i="15"/>
  <c r="J58" i="15" s="1"/>
  <c r="I16" i="15"/>
  <c r="I58" i="15" s="1"/>
  <c r="H16" i="15"/>
  <c r="H58" i="15" s="1"/>
  <c r="G16" i="15"/>
  <c r="G58" i="15" s="1"/>
  <c r="F16" i="15"/>
  <c r="F58" i="15" s="1"/>
  <c r="E16" i="15"/>
  <c r="E58" i="15" s="1"/>
  <c r="D16" i="15"/>
  <c r="D58" i="15" s="1"/>
  <c r="C16" i="15"/>
  <c r="C58" i="15" s="1"/>
  <c r="B16" i="15"/>
  <c r="B44" i="15" s="1"/>
  <c r="M27" i="14"/>
  <c r="M69" i="14" s="1"/>
  <c r="L27" i="14"/>
  <c r="L69" i="14" s="1"/>
  <c r="K27" i="14"/>
  <c r="K69" i="14" s="1"/>
  <c r="J27" i="14"/>
  <c r="J69" i="14" s="1"/>
  <c r="I27" i="14"/>
  <c r="I69" i="14" s="1"/>
  <c r="H27" i="14"/>
  <c r="H69" i="14" s="1"/>
  <c r="G27" i="14"/>
  <c r="G69" i="14" s="1"/>
  <c r="F27" i="14"/>
  <c r="F41" i="14" s="1"/>
  <c r="E27" i="14"/>
  <c r="E69" i="14" s="1"/>
  <c r="D27" i="14"/>
  <c r="D69" i="14" s="1"/>
  <c r="C27" i="14"/>
  <c r="C69" i="14" s="1"/>
  <c r="B27" i="14"/>
  <c r="B69" i="14" s="1"/>
  <c r="M26" i="14"/>
  <c r="M68" i="14" s="1"/>
  <c r="L26" i="14"/>
  <c r="L68" i="14" s="1"/>
  <c r="K26" i="14"/>
  <c r="K68" i="14" s="1"/>
  <c r="J26" i="14"/>
  <c r="J40" i="14" s="1"/>
  <c r="I26" i="14"/>
  <c r="I68" i="14" s="1"/>
  <c r="H26" i="14"/>
  <c r="H68" i="14" s="1"/>
  <c r="G26" i="14"/>
  <c r="G68" i="14" s="1"/>
  <c r="F26" i="14"/>
  <c r="F68" i="14" s="1"/>
  <c r="E26" i="14"/>
  <c r="E68" i="14" s="1"/>
  <c r="D26" i="14"/>
  <c r="D68" i="14" s="1"/>
  <c r="C26" i="14"/>
  <c r="C68" i="14" s="1"/>
  <c r="B26" i="14"/>
  <c r="B54" i="14" s="1"/>
  <c r="M25" i="14"/>
  <c r="M67" i="14" s="1"/>
  <c r="L25" i="14"/>
  <c r="L67" i="14" s="1"/>
  <c r="K25" i="14"/>
  <c r="K67" i="14" s="1"/>
  <c r="J25" i="14"/>
  <c r="J67" i="14" s="1"/>
  <c r="I25" i="14"/>
  <c r="I67" i="14" s="1"/>
  <c r="H25" i="14"/>
  <c r="H67" i="14" s="1"/>
  <c r="G25" i="14"/>
  <c r="G67" i="14" s="1"/>
  <c r="F25" i="14"/>
  <c r="F67" i="14" s="1"/>
  <c r="E25" i="14"/>
  <c r="E67" i="14" s="1"/>
  <c r="D25" i="14"/>
  <c r="D67" i="14" s="1"/>
  <c r="C25" i="14"/>
  <c r="C67" i="14" s="1"/>
  <c r="B25" i="14"/>
  <c r="B67" i="14" s="1"/>
  <c r="M66" i="14"/>
  <c r="M23" i="14"/>
  <c r="M65" i="14" s="1"/>
  <c r="L23" i="14"/>
  <c r="L65" i="14" s="1"/>
  <c r="K23" i="14"/>
  <c r="K65" i="14" s="1"/>
  <c r="J23" i="14"/>
  <c r="J65" i="14" s="1"/>
  <c r="I23" i="14"/>
  <c r="I65" i="14" s="1"/>
  <c r="H23" i="14"/>
  <c r="H65" i="14" s="1"/>
  <c r="G23" i="14"/>
  <c r="G65" i="14" s="1"/>
  <c r="F23" i="14"/>
  <c r="E23" i="14"/>
  <c r="E65" i="14" s="1"/>
  <c r="D23" i="14"/>
  <c r="D65" i="14" s="1"/>
  <c r="C23" i="14"/>
  <c r="C65" i="14" s="1"/>
  <c r="B23" i="14"/>
  <c r="B65" i="14" s="1"/>
  <c r="M22" i="14"/>
  <c r="M64" i="14" s="1"/>
  <c r="L22" i="14"/>
  <c r="L64" i="14" s="1"/>
  <c r="K22" i="14"/>
  <c r="K64" i="14" s="1"/>
  <c r="J22" i="14"/>
  <c r="J64" i="14" s="1"/>
  <c r="I22" i="14"/>
  <c r="I64" i="14" s="1"/>
  <c r="H22" i="14"/>
  <c r="H64" i="14" s="1"/>
  <c r="G22" i="14"/>
  <c r="G64" i="14" s="1"/>
  <c r="F22" i="14"/>
  <c r="F64" i="14" s="1"/>
  <c r="E22" i="14"/>
  <c r="E64" i="14" s="1"/>
  <c r="D22" i="14"/>
  <c r="D64" i="14" s="1"/>
  <c r="C22" i="14"/>
  <c r="C64" i="14" s="1"/>
  <c r="B22" i="14"/>
  <c r="B36" i="14" s="1"/>
  <c r="M21" i="14"/>
  <c r="M63" i="14" s="1"/>
  <c r="L21" i="14"/>
  <c r="L63" i="14" s="1"/>
  <c r="K21" i="14"/>
  <c r="K63" i="14" s="1"/>
  <c r="J21" i="14"/>
  <c r="J63" i="14" s="1"/>
  <c r="I21" i="14"/>
  <c r="I63" i="14" s="1"/>
  <c r="H21" i="14"/>
  <c r="H63" i="14" s="1"/>
  <c r="G21" i="14"/>
  <c r="G63" i="14" s="1"/>
  <c r="F21" i="14"/>
  <c r="F63" i="14" s="1"/>
  <c r="E21" i="14"/>
  <c r="E63" i="14" s="1"/>
  <c r="D21" i="14"/>
  <c r="D63" i="14" s="1"/>
  <c r="C21" i="14"/>
  <c r="C63" i="14" s="1"/>
  <c r="B21" i="14"/>
  <c r="B63" i="14" s="1"/>
  <c r="M20" i="14"/>
  <c r="L20" i="14"/>
  <c r="K20" i="14"/>
  <c r="J20" i="14"/>
  <c r="I20" i="14"/>
  <c r="H20" i="14"/>
  <c r="G20" i="14"/>
  <c r="F20" i="14"/>
  <c r="F34" i="14" s="1"/>
  <c r="E20" i="14"/>
  <c r="E34" i="14" s="1"/>
  <c r="D20" i="14"/>
  <c r="C20" i="14"/>
  <c r="C48" i="14" s="1"/>
  <c r="B20" i="14"/>
  <c r="M19" i="14"/>
  <c r="M61" i="14" s="1"/>
  <c r="L19" i="14"/>
  <c r="L61" i="14" s="1"/>
  <c r="K19" i="14"/>
  <c r="K61" i="14" s="1"/>
  <c r="J19" i="14"/>
  <c r="J61" i="14" s="1"/>
  <c r="I19" i="14"/>
  <c r="I61" i="14" s="1"/>
  <c r="H19" i="14"/>
  <c r="H61" i="14" s="1"/>
  <c r="G19" i="14"/>
  <c r="G61" i="14" s="1"/>
  <c r="F19" i="14"/>
  <c r="F47" i="14" s="1"/>
  <c r="E19" i="14"/>
  <c r="E61" i="14" s="1"/>
  <c r="D19" i="14"/>
  <c r="D61" i="14" s="1"/>
  <c r="C19" i="14"/>
  <c r="C61" i="14" s="1"/>
  <c r="B19" i="14"/>
  <c r="B61" i="14" s="1"/>
  <c r="M18" i="14"/>
  <c r="M60" i="14" s="1"/>
  <c r="L18" i="14"/>
  <c r="L60" i="14" s="1"/>
  <c r="K18" i="14"/>
  <c r="K60" i="14" s="1"/>
  <c r="J18" i="14"/>
  <c r="J60" i="14" s="1"/>
  <c r="I18" i="14"/>
  <c r="I60" i="14" s="1"/>
  <c r="H18" i="14"/>
  <c r="H60" i="14" s="1"/>
  <c r="G18" i="14"/>
  <c r="G60" i="14" s="1"/>
  <c r="F18" i="14"/>
  <c r="F60" i="14" s="1"/>
  <c r="E18" i="14"/>
  <c r="E60" i="14" s="1"/>
  <c r="D18" i="14"/>
  <c r="D60" i="14" s="1"/>
  <c r="C18" i="14"/>
  <c r="C60" i="14" s="1"/>
  <c r="B18" i="14"/>
  <c r="B46" i="14" s="1"/>
  <c r="M17" i="14"/>
  <c r="M59" i="14" s="1"/>
  <c r="L17" i="14"/>
  <c r="L59" i="14" s="1"/>
  <c r="K17" i="14"/>
  <c r="K59" i="14" s="1"/>
  <c r="J17" i="14"/>
  <c r="J59" i="14" s="1"/>
  <c r="I17" i="14"/>
  <c r="I59" i="14" s="1"/>
  <c r="H17" i="14"/>
  <c r="H59" i="14" s="1"/>
  <c r="G17" i="14"/>
  <c r="G59" i="14" s="1"/>
  <c r="F17" i="14"/>
  <c r="F59" i="14" s="1"/>
  <c r="E17" i="14"/>
  <c r="E59" i="14" s="1"/>
  <c r="D17" i="14"/>
  <c r="D59" i="14" s="1"/>
  <c r="C17" i="14"/>
  <c r="C59" i="14" s="1"/>
  <c r="B17" i="14"/>
  <c r="B59" i="14" s="1"/>
  <c r="M16" i="14"/>
  <c r="M58" i="14" s="1"/>
  <c r="L16" i="14"/>
  <c r="L58" i="14" s="1"/>
  <c r="K16" i="14"/>
  <c r="K58" i="14" s="1"/>
  <c r="J16" i="14"/>
  <c r="J44" i="14" s="1"/>
  <c r="I16" i="14"/>
  <c r="I58" i="14" s="1"/>
  <c r="H16" i="14"/>
  <c r="H58" i="14" s="1"/>
  <c r="G16" i="14"/>
  <c r="G58" i="14" s="1"/>
  <c r="F16" i="14"/>
  <c r="F58" i="14" s="1"/>
  <c r="E16" i="14"/>
  <c r="E58" i="14" s="1"/>
  <c r="D16" i="14"/>
  <c r="D58" i="14" s="1"/>
  <c r="C16" i="14"/>
  <c r="C58" i="14" s="1"/>
  <c r="B16" i="14"/>
  <c r="B58" i="14" s="1"/>
  <c r="M27" i="13"/>
  <c r="M69" i="13" s="1"/>
  <c r="L27" i="13"/>
  <c r="L69" i="13" s="1"/>
  <c r="K27" i="13"/>
  <c r="K69" i="13" s="1"/>
  <c r="J27" i="13"/>
  <c r="J69" i="13" s="1"/>
  <c r="I27" i="13"/>
  <c r="I69" i="13" s="1"/>
  <c r="H27" i="13"/>
  <c r="H69" i="13" s="1"/>
  <c r="G27" i="13"/>
  <c r="G69" i="13" s="1"/>
  <c r="F27" i="13"/>
  <c r="F41" i="13" s="1"/>
  <c r="E27" i="13"/>
  <c r="E69" i="13" s="1"/>
  <c r="D27" i="13"/>
  <c r="D69" i="13" s="1"/>
  <c r="C27" i="13"/>
  <c r="C69" i="13" s="1"/>
  <c r="B27" i="13"/>
  <c r="B69" i="13" s="1"/>
  <c r="M26" i="13"/>
  <c r="M68" i="13" s="1"/>
  <c r="L26" i="13"/>
  <c r="L68" i="13" s="1"/>
  <c r="K26" i="13"/>
  <c r="K68" i="13" s="1"/>
  <c r="J26" i="13"/>
  <c r="J54" i="13" s="1"/>
  <c r="I26" i="13"/>
  <c r="I68" i="13" s="1"/>
  <c r="H26" i="13"/>
  <c r="H68" i="13" s="1"/>
  <c r="G26" i="13"/>
  <c r="G68" i="13" s="1"/>
  <c r="F26" i="13"/>
  <c r="F68" i="13" s="1"/>
  <c r="E26" i="13"/>
  <c r="E68" i="13" s="1"/>
  <c r="D26" i="13"/>
  <c r="D68" i="13" s="1"/>
  <c r="C26" i="13"/>
  <c r="C68" i="13" s="1"/>
  <c r="B26" i="13"/>
  <c r="B54" i="13" s="1"/>
  <c r="M25" i="13"/>
  <c r="M67" i="13" s="1"/>
  <c r="L25" i="13"/>
  <c r="L67" i="13" s="1"/>
  <c r="K25" i="13"/>
  <c r="K67" i="13" s="1"/>
  <c r="J25" i="13"/>
  <c r="J67" i="13" s="1"/>
  <c r="I25" i="13"/>
  <c r="I67" i="13" s="1"/>
  <c r="H25" i="13"/>
  <c r="H67" i="13" s="1"/>
  <c r="G25" i="13"/>
  <c r="G67" i="13" s="1"/>
  <c r="F25" i="13"/>
  <c r="F39" i="13" s="1"/>
  <c r="E25" i="13"/>
  <c r="E67" i="13" s="1"/>
  <c r="D25" i="13"/>
  <c r="D67" i="13" s="1"/>
  <c r="C25" i="13"/>
  <c r="C67" i="13" s="1"/>
  <c r="B25" i="13"/>
  <c r="B67" i="13" s="1"/>
  <c r="M23" i="13"/>
  <c r="M65" i="13" s="1"/>
  <c r="L23" i="13"/>
  <c r="L65" i="13" s="1"/>
  <c r="K23" i="13"/>
  <c r="K65" i="13" s="1"/>
  <c r="J23" i="13"/>
  <c r="J65" i="13" s="1"/>
  <c r="I23" i="13"/>
  <c r="I65" i="13" s="1"/>
  <c r="H23" i="13"/>
  <c r="H65" i="13" s="1"/>
  <c r="G23" i="13"/>
  <c r="G65" i="13" s="1"/>
  <c r="F23" i="13"/>
  <c r="F65" i="13" s="1"/>
  <c r="E23" i="13"/>
  <c r="E65" i="13" s="1"/>
  <c r="D23" i="13"/>
  <c r="D65" i="13" s="1"/>
  <c r="C23" i="13"/>
  <c r="C65" i="13" s="1"/>
  <c r="B23" i="13"/>
  <c r="B65" i="13" s="1"/>
  <c r="M22" i="13"/>
  <c r="M64" i="13" s="1"/>
  <c r="L22" i="13"/>
  <c r="L64" i="13" s="1"/>
  <c r="K22" i="13"/>
  <c r="K64" i="13" s="1"/>
  <c r="J22" i="13"/>
  <c r="J36" i="13" s="1"/>
  <c r="I22" i="13"/>
  <c r="I64" i="13" s="1"/>
  <c r="H22" i="13"/>
  <c r="H64" i="13" s="1"/>
  <c r="G22" i="13"/>
  <c r="G64" i="13" s="1"/>
  <c r="F22" i="13"/>
  <c r="F64" i="13" s="1"/>
  <c r="E22" i="13"/>
  <c r="E64" i="13" s="1"/>
  <c r="D22" i="13"/>
  <c r="D64" i="13" s="1"/>
  <c r="C22" i="13"/>
  <c r="C64" i="13" s="1"/>
  <c r="B22" i="13"/>
  <c r="B36" i="13" s="1"/>
  <c r="M21" i="13"/>
  <c r="M63" i="13" s="1"/>
  <c r="L21" i="13"/>
  <c r="L63" i="13" s="1"/>
  <c r="K21" i="13"/>
  <c r="K63" i="13" s="1"/>
  <c r="J21" i="13"/>
  <c r="J63" i="13" s="1"/>
  <c r="I21" i="13"/>
  <c r="I63" i="13" s="1"/>
  <c r="H21" i="13"/>
  <c r="H63" i="13" s="1"/>
  <c r="G21" i="13"/>
  <c r="G63" i="13" s="1"/>
  <c r="F21" i="13"/>
  <c r="F49" i="13" s="1"/>
  <c r="E21" i="13"/>
  <c r="E63" i="13" s="1"/>
  <c r="D21" i="13"/>
  <c r="D63" i="13" s="1"/>
  <c r="C21" i="13"/>
  <c r="C63" i="13" s="1"/>
  <c r="B21" i="13"/>
  <c r="B63" i="13" s="1"/>
  <c r="M20" i="13"/>
  <c r="L20" i="13"/>
  <c r="K20" i="13"/>
  <c r="K62" i="13" s="1"/>
  <c r="J20" i="13"/>
  <c r="I20" i="13"/>
  <c r="H20" i="13"/>
  <c r="G20" i="13"/>
  <c r="F20" i="13"/>
  <c r="F34" i="13" s="1"/>
  <c r="E20" i="13"/>
  <c r="E62" i="13" s="1"/>
  <c r="D20" i="13"/>
  <c r="D62" i="13" s="1"/>
  <c r="C20" i="13"/>
  <c r="C48" i="13" s="1"/>
  <c r="B20" i="13"/>
  <c r="B48" i="13" s="1"/>
  <c r="M19" i="13"/>
  <c r="M61" i="13" s="1"/>
  <c r="L19" i="13"/>
  <c r="L61" i="13" s="1"/>
  <c r="K19" i="13"/>
  <c r="K61" i="13" s="1"/>
  <c r="J19" i="13"/>
  <c r="J61" i="13" s="1"/>
  <c r="I19" i="13"/>
  <c r="I61" i="13" s="1"/>
  <c r="H19" i="13"/>
  <c r="H61" i="13" s="1"/>
  <c r="G19" i="13"/>
  <c r="G61" i="13" s="1"/>
  <c r="F19" i="13"/>
  <c r="F33" i="13" s="1"/>
  <c r="E19" i="13"/>
  <c r="E61" i="13" s="1"/>
  <c r="D19" i="13"/>
  <c r="D61" i="13" s="1"/>
  <c r="C19" i="13"/>
  <c r="C61" i="13" s="1"/>
  <c r="B19" i="13"/>
  <c r="B61" i="13" s="1"/>
  <c r="M18" i="13"/>
  <c r="M60" i="13" s="1"/>
  <c r="L18" i="13"/>
  <c r="L60" i="13" s="1"/>
  <c r="K18" i="13"/>
  <c r="K60" i="13" s="1"/>
  <c r="J18" i="13"/>
  <c r="J32" i="13" s="1"/>
  <c r="I18" i="13"/>
  <c r="I60" i="13" s="1"/>
  <c r="H18" i="13"/>
  <c r="H60" i="13" s="1"/>
  <c r="G18" i="13"/>
  <c r="G60" i="13" s="1"/>
  <c r="F18" i="13"/>
  <c r="F60" i="13" s="1"/>
  <c r="E18" i="13"/>
  <c r="E60" i="13" s="1"/>
  <c r="D18" i="13"/>
  <c r="D60" i="13" s="1"/>
  <c r="C18" i="13"/>
  <c r="C60" i="13" s="1"/>
  <c r="B18" i="13"/>
  <c r="B46" i="13" s="1"/>
  <c r="M17" i="13"/>
  <c r="M59" i="13" s="1"/>
  <c r="L17" i="13"/>
  <c r="L59" i="13" s="1"/>
  <c r="K17" i="13"/>
  <c r="K59" i="13" s="1"/>
  <c r="J17" i="13"/>
  <c r="J59" i="13" s="1"/>
  <c r="I17" i="13"/>
  <c r="I59" i="13" s="1"/>
  <c r="H17" i="13"/>
  <c r="H59" i="13" s="1"/>
  <c r="G17" i="13"/>
  <c r="G59" i="13" s="1"/>
  <c r="F17" i="13"/>
  <c r="F59" i="13" s="1"/>
  <c r="E17" i="13"/>
  <c r="E59" i="13" s="1"/>
  <c r="D17" i="13"/>
  <c r="D59" i="13" s="1"/>
  <c r="C17" i="13"/>
  <c r="C59" i="13" s="1"/>
  <c r="B17" i="13"/>
  <c r="B59" i="13" s="1"/>
  <c r="M16" i="13"/>
  <c r="M58" i="13" s="1"/>
  <c r="L16" i="13"/>
  <c r="L58" i="13" s="1"/>
  <c r="K16" i="13"/>
  <c r="K58" i="13" s="1"/>
  <c r="J16" i="13"/>
  <c r="J30" i="13" s="1"/>
  <c r="I16" i="13"/>
  <c r="I58" i="13" s="1"/>
  <c r="H16" i="13"/>
  <c r="H58" i="13" s="1"/>
  <c r="G16" i="13"/>
  <c r="G58" i="13" s="1"/>
  <c r="F16" i="13"/>
  <c r="F58" i="13" s="1"/>
  <c r="E16" i="13"/>
  <c r="E58" i="13" s="1"/>
  <c r="D16" i="13"/>
  <c r="D58" i="13" s="1"/>
  <c r="C16" i="13"/>
  <c r="C58" i="13" s="1"/>
  <c r="B16" i="13"/>
  <c r="B58" i="13" s="1"/>
  <c r="M27" i="12"/>
  <c r="M69" i="12" s="1"/>
  <c r="L27" i="12"/>
  <c r="L69" i="12" s="1"/>
  <c r="K27" i="12"/>
  <c r="K69" i="12" s="1"/>
  <c r="J27" i="12"/>
  <c r="J69" i="12" s="1"/>
  <c r="I27" i="12"/>
  <c r="I69" i="12" s="1"/>
  <c r="H27" i="12"/>
  <c r="H69" i="12" s="1"/>
  <c r="G27" i="12"/>
  <c r="G69" i="12" s="1"/>
  <c r="F27" i="12"/>
  <c r="E27" i="12"/>
  <c r="E69" i="12" s="1"/>
  <c r="D27" i="12"/>
  <c r="D69" i="12" s="1"/>
  <c r="C27" i="12"/>
  <c r="C69" i="12" s="1"/>
  <c r="B27" i="12"/>
  <c r="B69" i="12" s="1"/>
  <c r="M26" i="12"/>
  <c r="M68" i="12" s="1"/>
  <c r="L26" i="12"/>
  <c r="L68" i="12" s="1"/>
  <c r="K26" i="12"/>
  <c r="K68" i="12" s="1"/>
  <c r="J26" i="12"/>
  <c r="J54" i="12" s="1"/>
  <c r="I26" i="12"/>
  <c r="I68" i="12" s="1"/>
  <c r="H26" i="12"/>
  <c r="H68" i="12" s="1"/>
  <c r="G26" i="12"/>
  <c r="G68" i="12" s="1"/>
  <c r="F26" i="12"/>
  <c r="F68" i="12" s="1"/>
  <c r="E26" i="12"/>
  <c r="E68" i="12" s="1"/>
  <c r="D26" i="12"/>
  <c r="D68" i="12" s="1"/>
  <c r="C26" i="12"/>
  <c r="C68" i="12" s="1"/>
  <c r="B26" i="12"/>
  <c r="B54" i="12" s="1"/>
  <c r="M25" i="12"/>
  <c r="M67" i="12" s="1"/>
  <c r="L25" i="12"/>
  <c r="L67" i="12" s="1"/>
  <c r="K25" i="12"/>
  <c r="K67" i="12" s="1"/>
  <c r="J25" i="12"/>
  <c r="J67" i="12" s="1"/>
  <c r="I25" i="12"/>
  <c r="I67" i="12" s="1"/>
  <c r="H25" i="12"/>
  <c r="H67" i="12" s="1"/>
  <c r="G25" i="12"/>
  <c r="G67" i="12" s="1"/>
  <c r="F25" i="12"/>
  <c r="E25" i="12"/>
  <c r="E67" i="12" s="1"/>
  <c r="D25" i="12"/>
  <c r="D67" i="12" s="1"/>
  <c r="C25" i="12"/>
  <c r="C67" i="12" s="1"/>
  <c r="B25" i="12"/>
  <c r="B67" i="12" s="1"/>
  <c r="M66" i="12"/>
  <c r="M23" i="12"/>
  <c r="M65" i="12" s="1"/>
  <c r="L23" i="12"/>
  <c r="L65" i="12" s="1"/>
  <c r="K23" i="12"/>
  <c r="K65" i="12" s="1"/>
  <c r="J23" i="12"/>
  <c r="J65" i="12" s="1"/>
  <c r="I23" i="12"/>
  <c r="I65" i="12" s="1"/>
  <c r="H23" i="12"/>
  <c r="H65" i="12" s="1"/>
  <c r="G23" i="12"/>
  <c r="G65" i="12" s="1"/>
  <c r="F23" i="12"/>
  <c r="E23" i="12"/>
  <c r="E65" i="12" s="1"/>
  <c r="D23" i="12"/>
  <c r="D65" i="12" s="1"/>
  <c r="C23" i="12"/>
  <c r="C65" i="12" s="1"/>
  <c r="B23" i="12"/>
  <c r="B65" i="12" s="1"/>
  <c r="M22" i="12"/>
  <c r="M64" i="12" s="1"/>
  <c r="L22" i="12"/>
  <c r="L64" i="12" s="1"/>
  <c r="K22" i="12"/>
  <c r="K64" i="12" s="1"/>
  <c r="J22" i="12"/>
  <c r="I22" i="12"/>
  <c r="I64" i="12" s="1"/>
  <c r="H22" i="12"/>
  <c r="H64" i="12" s="1"/>
  <c r="G22" i="12"/>
  <c r="G64" i="12" s="1"/>
  <c r="F22" i="12"/>
  <c r="F64" i="12" s="1"/>
  <c r="E22" i="12"/>
  <c r="E64" i="12" s="1"/>
  <c r="D22" i="12"/>
  <c r="D64" i="12" s="1"/>
  <c r="C22" i="12"/>
  <c r="C64" i="12" s="1"/>
  <c r="B22" i="12"/>
  <c r="M21" i="12"/>
  <c r="M63" i="12" s="1"/>
  <c r="L21" i="12"/>
  <c r="L63" i="12" s="1"/>
  <c r="K21" i="12"/>
  <c r="K63" i="12" s="1"/>
  <c r="J21" i="12"/>
  <c r="J63" i="12" s="1"/>
  <c r="I21" i="12"/>
  <c r="I63" i="12" s="1"/>
  <c r="H21" i="12"/>
  <c r="H63" i="12" s="1"/>
  <c r="G21" i="12"/>
  <c r="G63" i="12" s="1"/>
  <c r="F21" i="12"/>
  <c r="E21" i="12"/>
  <c r="E63" i="12" s="1"/>
  <c r="D21" i="12"/>
  <c r="D63" i="12" s="1"/>
  <c r="C21" i="12"/>
  <c r="C63" i="12" s="1"/>
  <c r="B21" i="12"/>
  <c r="B63" i="12" s="1"/>
  <c r="M20" i="12"/>
  <c r="L20" i="12"/>
  <c r="K20" i="12"/>
  <c r="J20" i="12"/>
  <c r="J48" i="12" s="1"/>
  <c r="I20" i="12"/>
  <c r="I34" i="12" s="1"/>
  <c r="H20" i="12"/>
  <c r="H34" i="12" s="1"/>
  <c r="G20" i="12"/>
  <c r="G48" i="12" s="1"/>
  <c r="F20" i="12"/>
  <c r="F34" i="12" s="1"/>
  <c r="E20" i="12"/>
  <c r="E62" i="12" s="1"/>
  <c r="D20" i="12"/>
  <c r="C20" i="12"/>
  <c r="B20" i="12"/>
  <c r="M19" i="12"/>
  <c r="M61" i="12" s="1"/>
  <c r="L19" i="12"/>
  <c r="L61" i="12" s="1"/>
  <c r="K19" i="12"/>
  <c r="K61" i="12" s="1"/>
  <c r="J19" i="12"/>
  <c r="J61" i="12" s="1"/>
  <c r="I19" i="12"/>
  <c r="I61" i="12" s="1"/>
  <c r="H19" i="12"/>
  <c r="H61" i="12" s="1"/>
  <c r="G19" i="12"/>
  <c r="G61" i="12" s="1"/>
  <c r="F19" i="12"/>
  <c r="E19" i="12"/>
  <c r="E61" i="12" s="1"/>
  <c r="D19" i="12"/>
  <c r="D61" i="12" s="1"/>
  <c r="C19" i="12"/>
  <c r="C61" i="12" s="1"/>
  <c r="B19" i="12"/>
  <c r="B61" i="12" s="1"/>
  <c r="M18" i="12"/>
  <c r="M60" i="12" s="1"/>
  <c r="L18" i="12"/>
  <c r="L60" i="12" s="1"/>
  <c r="K18" i="12"/>
  <c r="K60" i="12" s="1"/>
  <c r="J18" i="12"/>
  <c r="I18" i="12"/>
  <c r="I60" i="12" s="1"/>
  <c r="H18" i="12"/>
  <c r="H60" i="12" s="1"/>
  <c r="G18" i="12"/>
  <c r="G60" i="12" s="1"/>
  <c r="F18" i="12"/>
  <c r="F60" i="12" s="1"/>
  <c r="E18" i="12"/>
  <c r="E60" i="12" s="1"/>
  <c r="D18" i="12"/>
  <c r="D60" i="12" s="1"/>
  <c r="C18" i="12"/>
  <c r="C60" i="12" s="1"/>
  <c r="B18" i="12"/>
  <c r="M17" i="12"/>
  <c r="M59" i="12" s="1"/>
  <c r="L17" i="12"/>
  <c r="L59" i="12" s="1"/>
  <c r="K17" i="12"/>
  <c r="K59" i="12" s="1"/>
  <c r="J17" i="12"/>
  <c r="J59" i="12" s="1"/>
  <c r="I17" i="12"/>
  <c r="I59" i="12" s="1"/>
  <c r="H17" i="12"/>
  <c r="H59" i="12" s="1"/>
  <c r="G17" i="12"/>
  <c r="G59" i="12" s="1"/>
  <c r="F17" i="12"/>
  <c r="E17" i="12"/>
  <c r="E59" i="12" s="1"/>
  <c r="D17" i="12"/>
  <c r="D59" i="12" s="1"/>
  <c r="C17" i="12"/>
  <c r="C59" i="12" s="1"/>
  <c r="B17" i="12"/>
  <c r="B59" i="12" s="1"/>
  <c r="M16" i="12"/>
  <c r="M58" i="12" s="1"/>
  <c r="L16" i="12"/>
  <c r="L58" i="12" s="1"/>
  <c r="K16" i="12"/>
  <c r="K58" i="12" s="1"/>
  <c r="J16" i="12"/>
  <c r="I16" i="12"/>
  <c r="I58" i="12" s="1"/>
  <c r="H16" i="12"/>
  <c r="H58" i="12" s="1"/>
  <c r="G16" i="12"/>
  <c r="G58" i="12" s="1"/>
  <c r="F16" i="12"/>
  <c r="F58" i="12" s="1"/>
  <c r="E16" i="12"/>
  <c r="E58" i="12" s="1"/>
  <c r="D16" i="12"/>
  <c r="D58" i="12" s="1"/>
  <c r="C16" i="12"/>
  <c r="C58" i="12" s="1"/>
  <c r="B16" i="12"/>
  <c r="M27" i="11"/>
  <c r="M69" i="11" s="1"/>
  <c r="L27" i="11"/>
  <c r="L69" i="11" s="1"/>
  <c r="K27" i="11"/>
  <c r="K69" i="11" s="1"/>
  <c r="J27" i="11"/>
  <c r="J69" i="11" s="1"/>
  <c r="I27" i="11"/>
  <c r="I69" i="11" s="1"/>
  <c r="H27" i="11"/>
  <c r="H69" i="11" s="1"/>
  <c r="G27" i="11"/>
  <c r="G69" i="11" s="1"/>
  <c r="F27" i="11"/>
  <c r="E27" i="11"/>
  <c r="E69" i="11" s="1"/>
  <c r="D27" i="11"/>
  <c r="D69" i="11" s="1"/>
  <c r="C27" i="11"/>
  <c r="C69" i="11" s="1"/>
  <c r="B27" i="11"/>
  <c r="B69" i="11" s="1"/>
  <c r="M26" i="11"/>
  <c r="M68" i="11" s="1"/>
  <c r="L26" i="11"/>
  <c r="L68" i="11" s="1"/>
  <c r="K26" i="11"/>
  <c r="K68" i="11" s="1"/>
  <c r="J26" i="11"/>
  <c r="J68" i="11" s="1"/>
  <c r="I26" i="11"/>
  <c r="I68" i="11" s="1"/>
  <c r="H26" i="11"/>
  <c r="H68" i="11" s="1"/>
  <c r="G26" i="11"/>
  <c r="G68" i="11" s="1"/>
  <c r="F26" i="11"/>
  <c r="F68" i="11" s="1"/>
  <c r="E26" i="11"/>
  <c r="E68" i="11" s="1"/>
  <c r="D26" i="11"/>
  <c r="D68" i="11" s="1"/>
  <c r="C26" i="11"/>
  <c r="C68" i="11" s="1"/>
  <c r="B26" i="11"/>
  <c r="B40" i="11" s="1"/>
  <c r="M25" i="11"/>
  <c r="M67" i="11" s="1"/>
  <c r="L25" i="11"/>
  <c r="L67" i="11" s="1"/>
  <c r="K25" i="11"/>
  <c r="K67" i="11" s="1"/>
  <c r="J25" i="11"/>
  <c r="J67" i="11" s="1"/>
  <c r="I25" i="11"/>
  <c r="I67" i="11" s="1"/>
  <c r="H25" i="11"/>
  <c r="H67" i="11" s="1"/>
  <c r="G25" i="11"/>
  <c r="G67" i="11" s="1"/>
  <c r="F25" i="11"/>
  <c r="F53" i="11" s="1"/>
  <c r="E25" i="11"/>
  <c r="E67" i="11" s="1"/>
  <c r="D25" i="11"/>
  <c r="D67" i="11" s="1"/>
  <c r="C25" i="11"/>
  <c r="C67" i="11" s="1"/>
  <c r="B25" i="11"/>
  <c r="B67" i="11" s="1"/>
  <c r="M23" i="11"/>
  <c r="M65" i="11" s="1"/>
  <c r="L23" i="11"/>
  <c r="L65" i="11" s="1"/>
  <c r="K23" i="11"/>
  <c r="K65" i="11" s="1"/>
  <c r="J23" i="11"/>
  <c r="J65" i="11" s="1"/>
  <c r="I23" i="11"/>
  <c r="I65" i="11" s="1"/>
  <c r="H23" i="11"/>
  <c r="H65" i="11" s="1"/>
  <c r="G23" i="11"/>
  <c r="G65" i="11" s="1"/>
  <c r="F23" i="11"/>
  <c r="F51" i="11" s="1"/>
  <c r="E23" i="11"/>
  <c r="E65" i="11" s="1"/>
  <c r="D23" i="11"/>
  <c r="D65" i="11" s="1"/>
  <c r="C23" i="11"/>
  <c r="C65" i="11" s="1"/>
  <c r="B23" i="11"/>
  <c r="B65" i="11" s="1"/>
  <c r="M22" i="11"/>
  <c r="M64" i="11" s="1"/>
  <c r="L22" i="11"/>
  <c r="L64" i="11" s="1"/>
  <c r="K22" i="11"/>
  <c r="K64" i="11" s="1"/>
  <c r="J22" i="11"/>
  <c r="I22" i="11"/>
  <c r="I64" i="11" s="1"/>
  <c r="H22" i="11"/>
  <c r="H64" i="11" s="1"/>
  <c r="G22" i="11"/>
  <c r="G64" i="11" s="1"/>
  <c r="F22" i="11"/>
  <c r="F64" i="11" s="1"/>
  <c r="E22" i="11"/>
  <c r="E64" i="11" s="1"/>
  <c r="D22" i="11"/>
  <c r="D64" i="11" s="1"/>
  <c r="C22" i="11"/>
  <c r="C64" i="11" s="1"/>
  <c r="B22" i="11"/>
  <c r="M21" i="11"/>
  <c r="M63" i="11" s="1"/>
  <c r="L21" i="11"/>
  <c r="L63" i="11" s="1"/>
  <c r="K21" i="11"/>
  <c r="K63" i="11" s="1"/>
  <c r="J21" i="11"/>
  <c r="J63" i="11" s="1"/>
  <c r="I21" i="11"/>
  <c r="I63" i="11" s="1"/>
  <c r="H21" i="11"/>
  <c r="H63" i="11" s="1"/>
  <c r="G21" i="11"/>
  <c r="G63" i="11" s="1"/>
  <c r="F21" i="11"/>
  <c r="E21" i="11"/>
  <c r="E63" i="11" s="1"/>
  <c r="D21" i="11"/>
  <c r="D63" i="11" s="1"/>
  <c r="C21" i="11"/>
  <c r="C63" i="11" s="1"/>
  <c r="B21" i="11"/>
  <c r="B63" i="11" s="1"/>
  <c r="M20" i="11"/>
  <c r="M48" i="11" s="1"/>
  <c r="L20" i="11"/>
  <c r="L48" i="11" s="1"/>
  <c r="K20" i="11"/>
  <c r="J20" i="11"/>
  <c r="I20" i="11"/>
  <c r="H20" i="11"/>
  <c r="G20" i="11"/>
  <c r="F20" i="11"/>
  <c r="F48" i="11" s="1"/>
  <c r="E20" i="11"/>
  <c r="E34" i="11" s="1"/>
  <c r="D20" i="11"/>
  <c r="C20" i="11"/>
  <c r="B20" i="11"/>
  <c r="B62" i="11" s="1"/>
  <c r="M19" i="11"/>
  <c r="M61" i="11" s="1"/>
  <c r="L19" i="11"/>
  <c r="L61" i="11" s="1"/>
  <c r="K19" i="11"/>
  <c r="K61" i="11" s="1"/>
  <c r="J19" i="11"/>
  <c r="J61" i="11" s="1"/>
  <c r="I19" i="11"/>
  <c r="I61" i="11" s="1"/>
  <c r="H19" i="11"/>
  <c r="H61" i="11" s="1"/>
  <c r="G19" i="11"/>
  <c r="G61" i="11" s="1"/>
  <c r="F19" i="11"/>
  <c r="F33" i="11" s="1"/>
  <c r="E19" i="11"/>
  <c r="E61" i="11" s="1"/>
  <c r="D19" i="11"/>
  <c r="D61" i="11" s="1"/>
  <c r="C19" i="11"/>
  <c r="C61" i="11" s="1"/>
  <c r="B19" i="11"/>
  <c r="B61" i="11" s="1"/>
  <c r="M18" i="11"/>
  <c r="M60" i="11" s="1"/>
  <c r="L18" i="11"/>
  <c r="L60" i="11" s="1"/>
  <c r="K18" i="11"/>
  <c r="K60" i="11" s="1"/>
  <c r="J18" i="11"/>
  <c r="I18" i="11"/>
  <c r="I60" i="11" s="1"/>
  <c r="H18" i="11"/>
  <c r="H60" i="11" s="1"/>
  <c r="G18" i="11"/>
  <c r="G60" i="11" s="1"/>
  <c r="F18" i="11"/>
  <c r="F60" i="11" s="1"/>
  <c r="E18" i="11"/>
  <c r="E60" i="11" s="1"/>
  <c r="D18" i="11"/>
  <c r="D60" i="11" s="1"/>
  <c r="C18" i="11"/>
  <c r="C60" i="11" s="1"/>
  <c r="B18" i="11"/>
  <c r="M17" i="11"/>
  <c r="M59" i="11" s="1"/>
  <c r="L17" i="11"/>
  <c r="L59" i="11" s="1"/>
  <c r="K17" i="11"/>
  <c r="K59" i="11" s="1"/>
  <c r="J17" i="11"/>
  <c r="J59" i="11" s="1"/>
  <c r="I17" i="11"/>
  <c r="I59" i="11" s="1"/>
  <c r="H17" i="11"/>
  <c r="H59" i="11" s="1"/>
  <c r="G17" i="11"/>
  <c r="G59" i="11" s="1"/>
  <c r="F17" i="11"/>
  <c r="E17" i="11"/>
  <c r="E59" i="11" s="1"/>
  <c r="D17" i="11"/>
  <c r="D59" i="11" s="1"/>
  <c r="C17" i="11"/>
  <c r="C59" i="11" s="1"/>
  <c r="B17" i="11"/>
  <c r="B59" i="11" s="1"/>
  <c r="M16" i="11"/>
  <c r="M58" i="11" s="1"/>
  <c r="L16" i="11"/>
  <c r="L58" i="11" s="1"/>
  <c r="K16" i="11"/>
  <c r="K58" i="11" s="1"/>
  <c r="J16" i="11"/>
  <c r="I16" i="11"/>
  <c r="I58" i="11" s="1"/>
  <c r="H16" i="11"/>
  <c r="H58" i="11" s="1"/>
  <c r="G16" i="11"/>
  <c r="G58" i="11" s="1"/>
  <c r="F16" i="11"/>
  <c r="F58" i="11" s="1"/>
  <c r="E16" i="11"/>
  <c r="E58" i="11" s="1"/>
  <c r="D16" i="11"/>
  <c r="D58" i="11" s="1"/>
  <c r="C16" i="11"/>
  <c r="C58" i="11" s="1"/>
  <c r="B16" i="11"/>
  <c r="M27" i="10"/>
  <c r="M69" i="10" s="1"/>
  <c r="L27" i="10"/>
  <c r="L69" i="10" s="1"/>
  <c r="K27" i="10"/>
  <c r="K69" i="10" s="1"/>
  <c r="J27" i="10"/>
  <c r="J69" i="10" s="1"/>
  <c r="I27" i="10"/>
  <c r="I69" i="10" s="1"/>
  <c r="H27" i="10"/>
  <c r="H69" i="10" s="1"/>
  <c r="G27" i="10"/>
  <c r="G69" i="10" s="1"/>
  <c r="F27" i="10"/>
  <c r="F55" i="10" s="1"/>
  <c r="E27" i="10"/>
  <c r="E69" i="10" s="1"/>
  <c r="D27" i="10"/>
  <c r="D69" i="10" s="1"/>
  <c r="C27" i="10"/>
  <c r="C69" i="10" s="1"/>
  <c r="B27" i="10"/>
  <c r="B69" i="10" s="1"/>
  <c r="M26" i="10"/>
  <c r="M68" i="10" s="1"/>
  <c r="L26" i="10"/>
  <c r="L68" i="10" s="1"/>
  <c r="K26" i="10"/>
  <c r="K68" i="10" s="1"/>
  <c r="J26" i="10"/>
  <c r="J54" i="10" s="1"/>
  <c r="I26" i="10"/>
  <c r="I68" i="10" s="1"/>
  <c r="H26" i="10"/>
  <c r="H68" i="10" s="1"/>
  <c r="G26" i="10"/>
  <c r="G68" i="10" s="1"/>
  <c r="F26" i="10"/>
  <c r="F68" i="10" s="1"/>
  <c r="E26" i="10"/>
  <c r="E68" i="10" s="1"/>
  <c r="D26" i="10"/>
  <c r="D68" i="10" s="1"/>
  <c r="C26" i="10"/>
  <c r="C68" i="10" s="1"/>
  <c r="B26" i="10"/>
  <c r="B68" i="10" s="1"/>
  <c r="M25" i="10"/>
  <c r="M67" i="10" s="1"/>
  <c r="L25" i="10"/>
  <c r="L67" i="10" s="1"/>
  <c r="K25" i="10"/>
  <c r="K67" i="10" s="1"/>
  <c r="J25" i="10"/>
  <c r="J67" i="10" s="1"/>
  <c r="I25" i="10"/>
  <c r="I67" i="10" s="1"/>
  <c r="H25" i="10"/>
  <c r="H67" i="10" s="1"/>
  <c r="G25" i="10"/>
  <c r="G67" i="10" s="1"/>
  <c r="F25" i="10"/>
  <c r="F53" i="10" s="1"/>
  <c r="E25" i="10"/>
  <c r="E67" i="10" s="1"/>
  <c r="D25" i="10"/>
  <c r="D67" i="10" s="1"/>
  <c r="C25" i="10"/>
  <c r="C67" i="10" s="1"/>
  <c r="B25" i="10"/>
  <c r="B67" i="10" s="1"/>
  <c r="M23" i="10"/>
  <c r="M65" i="10" s="1"/>
  <c r="L23" i="10"/>
  <c r="L65" i="10" s="1"/>
  <c r="K23" i="10"/>
  <c r="K65" i="10" s="1"/>
  <c r="J23" i="10"/>
  <c r="J65" i="10" s="1"/>
  <c r="I23" i="10"/>
  <c r="I65" i="10" s="1"/>
  <c r="H23" i="10"/>
  <c r="H65" i="10" s="1"/>
  <c r="G23" i="10"/>
  <c r="G65" i="10" s="1"/>
  <c r="F23" i="10"/>
  <c r="F37" i="10" s="1"/>
  <c r="E23" i="10"/>
  <c r="E65" i="10" s="1"/>
  <c r="D23" i="10"/>
  <c r="D65" i="10" s="1"/>
  <c r="C23" i="10"/>
  <c r="C65" i="10" s="1"/>
  <c r="B23" i="10"/>
  <c r="B65" i="10" s="1"/>
  <c r="M22" i="10"/>
  <c r="M64" i="10" s="1"/>
  <c r="L22" i="10"/>
  <c r="L64" i="10" s="1"/>
  <c r="K22" i="10"/>
  <c r="K64" i="10" s="1"/>
  <c r="J22" i="10"/>
  <c r="J64" i="10" s="1"/>
  <c r="I22" i="10"/>
  <c r="I64" i="10" s="1"/>
  <c r="H22" i="10"/>
  <c r="H64" i="10" s="1"/>
  <c r="G22" i="10"/>
  <c r="G64" i="10" s="1"/>
  <c r="F22" i="10"/>
  <c r="F64" i="10" s="1"/>
  <c r="E22" i="10"/>
  <c r="E64" i="10" s="1"/>
  <c r="D22" i="10"/>
  <c r="D64" i="10" s="1"/>
  <c r="C22" i="10"/>
  <c r="C64" i="10" s="1"/>
  <c r="B22" i="10"/>
  <c r="B36" i="10" s="1"/>
  <c r="M21" i="10"/>
  <c r="M63" i="10" s="1"/>
  <c r="L21" i="10"/>
  <c r="L63" i="10" s="1"/>
  <c r="K21" i="10"/>
  <c r="K63" i="10" s="1"/>
  <c r="J21" i="10"/>
  <c r="J63" i="10" s="1"/>
  <c r="I21" i="10"/>
  <c r="I63" i="10" s="1"/>
  <c r="H21" i="10"/>
  <c r="H63" i="10" s="1"/>
  <c r="G21" i="10"/>
  <c r="G63" i="10" s="1"/>
  <c r="F21" i="10"/>
  <c r="F63" i="10" s="1"/>
  <c r="E21" i="10"/>
  <c r="E63" i="10" s="1"/>
  <c r="D21" i="10"/>
  <c r="D63" i="10" s="1"/>
  <c r="C21" i="10"/>
  <c r="C63" i="10" s="1"/>
  <c r="B21" i="10"/>
  <c r="B63" i="10" s="1"/>
  <c r="M20" i="10"/>
  <c r="M62" i="10" s="1"/>
  <c r="L20" i="10"/>
  <c r="L34" i="10" s="1"/>
  <c r="K20" i="10"/>
  <c r="K34" i="10" s="1"/>
  <c r="J20" i="10"/>
  <c r="J62" i="10" s="1"/>
  <c r="I20" i="10"/>
  <c r="H20" i="10"/>
  <c r="G20" i="10"/>
  <c r="G48" i="10" s="1"/>
  <c r="F20" i="10"/>
  <c r="F62" i="10" s="1"/>
  <c r="E20" i="10"/>
  <c r="E62" i="10" s="1"/>
  <c r="D20" i="10"/>
  <c r="C20" i="10"/>
  <c r="B20" i="10"/>
  <c r="M19" i="10"/>
  <c r="M61" i="10" s="1"/>
  <c r="L19" i="10"/>
  <c r="L61" i="10" s="1"/>
  <c r="K19" i="10"/>
  <c r="K61" i="10" s="1"/>
  <c r="J19" i="10"/>
  <c r="J61" i="10" s="1"/>
  <c r="I19" i="10"/>
  <c r="I61" i="10" s="1"/>
  <c r="H19" i="10"/>
  <c r="H61" i="10" s="1"/>
  <c r="G19" i="10"/>
  <c r="G61" i="10" s="1"/>
  <c r="F19" i="10"/>
  <c r="F61" i="10" s="1"/>
  <c r="E19" i="10"/>
  <c r="E61" i="10" s="1"/>
  <c r="D19" i="10"/>
  <c r="D61" i="10" s="1"/>
  <c r="C19" i="10"/>
  <c r="C61" i="10" s="1"/>
  <c r="B19" i="10"/>
  <c r="B61" i="10" s="1"/>
  <c r="M18" i="10"/>
  <c r="M60" i="10" s="1"/>
  <c r="L18" i="10"/>
  <c r="L60" i="10" s="1"/>
  <c r="K18" i="10"/>
  <c r="K60" i="10" s="1"/>
  <c r="J18" i="10"/>
  <c r="J46" i="10" s="1"/>
  <c r="I18" i="10"/>
  <c r="I60" i="10" s="1"/>
  <c r="H18" i="10"/>
  <c r="H60" i="10" s="1"/>
  <c r="G18" i="10"/>
  <c r="G60" i="10" s="1"/>
  <c r="F18" i="10"/>
  <c r="F60" i="10" s="1"/>
  <c r="E18" i="10"/>
  <c r="E60" i="10" s="1"/>
  <c r="D18" i="10"/>
  <c r="D60" i="10" s="1"/>
  <c r="C18" i="10"/>
  <c r="C60" i="10" s="1"/>
  <c r="B18" i="10"/>
  <c r="B60" i="10" s="1"/>
  <c r="M17" i="10"/>
  <c r="M59" i="10" s="1"/>
  <c r="L17" i="10"/>
  <c r="L59" i="10" s="1"/>
  <c r="K17" i="10"/>
  <c r="K59" i="10" s="1"/>
  <c r="J17" i="10"/>
  <c r="J59" i="10" s="1"/>
  <c r="I17" i="10"/>
  <c r="I59" i="10" s="1"/>
  <c r="H17" i="10"/>
  <c r="H59" i="10" s="1"/>
  <c r="G17" i="10"/>
  <c r="G59" i="10" s="1"/>
  <c r="F17" i="10"/>
  <c r="F45" i="10" s="1"/>
  <c r="E17" i="10"/>
  <c r="E59" i="10" s="1"/>
  <c r="D17" i="10"/>
  <c r="D59" i="10" s="1"/>
  <c r="C17" i="10"/>
  <c r="C59" i="10" s="1"/>
  <c r="B17" i="10"/>
  <c r="B59" i="10" s="1"/>
  <c r="M16" i="10"/>
  <c r="M58" i="10" s="1"/>
  <c r="L16" i="10"/>
  <c r="L58" i="10" s="1"/>
  <c r="K16" i="10"/>
  <c r="K58" i="10" s="1"/>
  <c r="J16" i="10"/>
  <c r="J58" i="10" s="1"/>
  <c r="I16" i="10"/>
  <c r="I58" i="10" s="1"/>
  <c r="H16" i="10"/>
  <c r="H58" i="10" s="1"/>
  <c r="G16" i="10"/>
  <c r="G58" i="10" s="1"/>
  <c r="F16" i="10"/>
  <c r="F58" i="10" s="1"/>
  <c r="E16" i="10"/>
  <c r="E58" i="10" s="1"/>
  <c r="D16" i="10"/>
  <c r="D58" i="10" s="1"/>
  <c r="C16" i="10"/>
  <c r="C58" i="10" s="1"/>
  <c r="B16" i="10"/>
  <c r="B44" i="10" s="1"/>
  <c r="M27" i="9"/>
  <c r="M69" i="9" s="1"/>
  <c r="L27" i="9"/>
  <c r="L69" i="9" s="1"/>
  <c r="K27" i="9"/>
  <c r="K69" i="9" s="1"/>
  <c r="J27" i="9"/>
  <c r="J69" i="9" s="1"/>
  <c r="I27" i="9"/>
  <c r="I69" i="9" s="1"/>
  <c r="H27" i="9"/>
  <c r="H69" i="9" s="1"/>
  <c r="G27" i="9"/>
  <c r="G69" i="9" s="1"/>
  <c r="F27" i="9"/>
  <c r="E27" i="9"/>
  <c r="E69" i="9" s="1"/>
  <c r="D27" i="9"/>
  <c r="D69" i="9" s="1"/>
  <c r="C27" i="9"/>
  <c r="C69" i="9" s="1"/>
  <c r="B27" i="9"/>
  <c r="B69" i="9" s="1"/>
  <c r="M26" i="9"/>
  <c r="M68" i="9" s="1"/>
  <c r="L26" i="9"/>
  <c r="L68" i="9" s="1"/>
  <c r="K26" i="9"/>
  <c r="K68" i="9" s="1"/>
  <c r="J26" i="9"/>
  <c r="J54" i="9" s="1"/>
  <c r="I26" i="9"/>
  <c r="I68" i="9" s="1"/>
  <c r="H26" i="9"/>
  <c r="H68" i="9" s="1"/>
  <c r="G26" i="9"/>
  <c r="G68" i="9" s="1"/>
  <c r="F26" i="9"/>
  <c r="F68" i="9" s="1"/>
  <c r="E26" i="9"/>
  <c r="E68" i="9" s="1"/>
  <c r="D26" i="9"/>
  <c r="D68" i="9" s="1"/>
  <c r="C26" i="9"/>
  <c r="C68" i="9" s="1"/>
  <c r="B26" i="9"/>
  <c r="B54" i="9" s="1"/>
  <c r="M25" i="9"/>
  <c r="M67" i="9" s="1"/>
  <c r="L25" i="9"/>
  <c r="L67" i="9" s="1"/>
  <c r="K25" i="9"/>
  <c r="K67" i="9" s="1"/>
  <c r="J25" i="9"/>
  <c r="J67" i="9" s="1"/>
  <c r="I25" i="9"/>
  <c r="I67" i="9" s="1"/>
  <c r="H25" i="9"/>
  <c r="H67" i="9" s="1"/>
  <c r="G25" i="9"/>
  <c r="G67" i="9" s="1"/>
  <c r="F25" i="9"/>
  <c r="F53" i="9" s="1"/>
  <c r="E25" i="9"/>
  <c r="E67" i="9" s="1"/>
  <c r="D25" i="9"/>
  <c r="D67" i="9" s="1"/>
  <c r="C25" i="9"/>
  <c r="C67" i="9" s="1"/>
  <c r="B25" i="9"/>
  <c r="B67" i="9" s="1"/>
  <c r="M23" i="9"/>
  <c r="M65" i="9" s="1"/>
  <c r="L23" i="9"/>
  <c r="L65" i="9" s="1"/>
  <c r="K23" i="9"/>
  <c r="K65" i="9" s="1"/>
  <c r="J23" i="9"/>
  <c r="J65" i="9" s="1"/>
  <c r="I23" i="9"/>
  <c r="I65" i="9" s="1"/>
  <c r="H23" i="9"/>
  <c r="H65" i="9" s="1"/>
  <c r="G23" i="9"/>
  <c r="G65" i="9" s="1"/>
  <c r="F23" i="9"/>
  <c r="F51" i="9" s="1"/>
  <c r="E23" i="9"/>
  <c r="E65" i="9" s="1"/>
  <c r="D23" i="9"/>
  <c r="D65" i="9" s="1"/>
  <c r="C23" i="9"/>
  <c r="C65" i="9" s="1"/>
  <c r="B23" i="9"/>
  <c r="B65" i="9" s="1"/>
  <c r="M22" i="9"/>
  <c r="M64" i="9" s="1"/>
  <c r="L22" i="9"/>
  <c r="L64" i="9" s="1"/>
  <c r="K22" i="9"/>
  <c r="K64" i="9" s="1"/>
  <c r="J22" i="9"/>
  <c r="I22" i="9"/>
  <c r="I64" i="9" s="1"/>
  <c r="H22" i="9"/>
  <c r="H64" i="9" s="1"/>
  <c r="G22" i="9"/>
  <c r="G64" i="9" s="1"/>
  <c r="F22" i="9"/>
  <c r="F64" i="9" s="1"/>
  <c r="E22" i="9"/>
  <c r="E64" i="9" s="1"/>
  <c r="D22" i="9"/>
  <c r="D64" i="9" s="1"/>
  <c r="C22" i="9"/>
  <c r="C64" i="9" s="1"/>
  <c r="B22" i="9"/>
  <c r="M21" i="9"/>
  <c r="M63" i="9" s="1"/>
  <c r="L21" i="9"/>
  <c r="L63" i="9" s="1"/>
  <c r="K21" i="9"/>
  <c r="K63" i="9" s="1"/>
  <c r="J21" i="9"/>
  <c r="J63" i="9" s="1"/>
  <c r="I21" i="9"/>
  <c r="I63" i="9" s="1"/>
  <c r="H21" i="9"/>
  <c r="H63" i="9" s="1"/>
  <c r="G21" i="9"/>
  <c r="G63" i="9" s="1"/>
  <c r="F21" i="9"/>
  <c r="E21" i="9"/>
  <c r="E63" i="9" s="1"/>
  <c r="D21" i="9"/>
  <c r="D63" i="9" s="1"/>
  <c r="C21" i="9"/>
  <c r="C63" i="9" s="1"/>
  <c r="B21" i="9"/>
  <c r="B63" i="9" s="1"/>
  <c r="M20" i="9"/>
  <c r="M48" i="9" s="1"/>
  <c r="L20" i="9"/>
  <c r="K20" i="9"/>
  <c r="K48" i="9" s="1"/>
  <c r="J20" i="9"/>
  <c r="I20" i="9"/>
  <c r="H20" i="9"/>
  <c r="G20" i="9"/>
  <c r="G48" i="9" s="1"/>
  <c r="F20" i="9"/>
  <c r="F48" i="9" s="1"/>
  <c r="E20" i="9"/>
  <c r="E48" i="9" s="1"/>
  <c r="D20" i="9"/>
  <c r="C20" i="9"/>
  <c r="B20" i="9"/>
  <c r="B48" i="9" s="1"/>
  <c r="M19" i="9"/>
  <c r="M61" i="9" s="1"/>
  <c r="L19" i="9"/>
  <c r="L61" i="9" s="1"/>
  <c r="K19" i="9"/>
  <c r="K61" i="9" s="1"/>
  <c r="J19" i="9"/>
  <c r="J61" i="9" s="1"/>
  <c r="I19" i="9"/>
  <c r="I61" i="9" s="1"/>
  <c r="H19" i="9"/>
  <c r="H61" i="9" s="1"/>
  <c r="G19" i="9"/>
  <c r="G61" i="9" s="1"/>
  <c r="F19" i="9"/>
  <c r="E19" i="9"/>
  <c r="E61" i="9" s="1"/>
  <c r="D19" i="9"/>
  <c r="D61" i="9" s="1"/>
  <c r="C19" i="9"/>
  <c r="C61" i="9" s="1"/>
  <c r="B19" i="9"/>
  <c r="B61" i="9" s="1"/>
  <c r="M18" i="9"/>
  <c r="M60" i="9" s="1"/>
  <c r="L18" i="9"/>
  <c r="L60" i="9" s="1"/>
  <c r="K18" i="9"/>
  <c r="K60" i="9" s="1"/>
  <c r="J18" i="9"/>
  <c r="I18" i="9"/>
  <c r="I60" i="9" s="1"/>
  <c r="H18" i="9"/>
  <c r="H60" i="9" s="1"/>
  <c r="G18" i="9"/>
  <c r="G60" i="9" s="1"/>
  <c r="F18" i="9"/>
  <c r="F60" i="9" s="1"/>
  <c r="E18" i="9"/>
  <c r="E60" i="9" s="1"/>
  <c r="D18" i="9"/>
  <c r="D60" i="9" s="1"/>
  <c r="C18" i="9"/>
  <c r="C60" i="9" s="1"/>
  <c r="B18" i="9"/>
  <c r="M17" i="9"/>
  <c r="M59" i="9" s="1"/>
  <c r="L17" i="9"/>
  <c r="L59" i="9" s="1"/>
  <c r="K17" i="9"/>
  <c r="K59" i="9" s="1"/>
  <c r="J17" i="9"/>
  <c r="J59" i="9" s="1"/>
  <c r="I17" i="9"/>
  <c r="I59" i="9" s="1"/>
  <c r="H17" i="9"/>
  <c r="H59" i="9" s="1"/>
  <c r="G17" i="9"/>
  <c r="G59" i="9" s="1"/>
  <c r="F17" i="9"/>
  <c r="E17" i="9"/>
  <c r="E59" i="9" s="1"/>
  <c r="D17" i="9"/>
  <c r="D59" i="9" s="1"/>
  <c r="C17" i="9"/>
  <c r="C59" i="9" s="1"/>
  <c r="B17" i="9"/>
  <c r="B59" i="9" s="1"/>
  <c r="M16" i="9"/>
  <c r="M58" i="9" s="1"/>
  <c r="L16" i="9"/>
  <c r="L58" i="9" s="1"/>
  <c r="K16" i="9"/>
  <c r="K58" i="9" s="1"/>
  <c r="J16" i="9"/>
  <c r="I16" i="9"/>
  <c r="I58" i="9" s="1"/>
  <c r="H16" i="9"/>
  <c r="H58" i="9" s="1"/>
  <c r="G16" i="9"/>
  <c r="G58" i="9" s="1"/>
  <c r="F16" i="9"/>
  <c r="F58" i="9" s="1"/>
  <c r="E16" i="9"/>
  <c r="E58" i="9" s="1"/>
  <c r="D16" i="9"/>
  <c r="D58" i="9" s="1"/>
  <c r="C16" i="9"/>
  <c r="C58" i="9" s="1"/>
  <c r="B16" i="9"/>
  <c r="M27" i="8"/>
  <c r="M69" i="8" s="1"/>
  <c r="L27" i="8"/>
  <c r="L69" i="8" s="1"/>
  <c r="K27" i="8"/>
  <c r="K69" i="8" s="1"/>
  <c r="J27" i="8"/>
  <c r="J69" i="8" s="1"/>
  <c r="I27" i="8"/>
  <c r="I69" i="8" s="1"/>
  <c r="H27" i="8"/>
  <c r="H69" i="8" s="1"/>
  <c r="G27" i="8"/>
  <c r="G69" i="8" s="1"/>
  <c r="F27" i="8"/>
  <c r="F55" i="8" s="1"/>
  <c r="E27" i="8"/>
  <c r="E69" i="8" s="1"/>
  <c r="D27" i="8"/>
  <c r="D69" i="8" s="1"/>
  <c r="C27" i="8"/>
  <c r="C69" i="8" s="1"/>
  <c r="B27" i="8"/>
  <c r="B69" i="8" s="1"/>
  <c r="M26" i="8"/>
  <c r="M68" i="8" s="1"/>
  <c r="L26" i="8"/>
  <c r="L68" i="8" s="1"/>
  <c r="K26" i="8"/>
  <c r="K68" i="8" s="1"/>
  <c r="J26" i="8"/>
  <c r="J54" i="8" s="1"/>
  <c r="I26" i="8"/>
  <c r="I68" i="8" s="1"/>
  <c r="H26" i="8"/>
  <c r="H68" i="8" s="1"/>
  <c r="G26" i="8"/>
  <c r="G68" i="8" s="1"/>
  <c r="F26" i="8"/>
  <c r="F68" i="8" s="1"/>
  <c r="E26" i="8"/>
  <c r="E68" i="8" s="1"/>
  <c r="D26" i="8"/>
  <c r="D68" i="8" s="1"/>
  <c r="C26" i="8"/>
  <c r="C68" i="8" s="1"/>
  <c r="B26" i="8"/>
  <c r="B68" i="8" s="1"/>
  <c r="M25" i="8"/>
  <c r="M67" i="8" s="1"/>
  <c r="L25" i="8"/>
  <c r="L67" i="8" s="1"/>
  <c r="K25" i="8"/>
  <c r="K67" i="8" s="1"/>
  <c r="J25" i="8"/>
  <c r="J67" i="8" s="1"/>
  <c r="I25" i="8"/>
  <c r="I67" i="8" s="1"/>
  <c r="H25" i="8"/>
  <c r="H67" i="8" s="1"/>
  <c r="G25" i="8"/>
  <c r="G67" i="8" s="1"/>
  <c r="F25" i="8"/>
  <c r="F39" i="8" s="1"/>
  <c r="E25" i="8"/>
  <c r="E67" i="8" s="1"/>
  <c r="D25" i="8"/>
  <c r="D67" i="8" s="1"/>
  <c r="C25" i="8"/>
  <c r="C67" i="8" s="1"/>
  <c r="B25" i="8"/>
  <c r="B67" i="8" s="1"/>
  <c r="M23" i="8"/>
  <c r="M65" i="8" s="1"/>
  <c r="L23" i="8"/>
  <c r="L65" i="8" s="1"/>
  <c r="K23" i="8"/>
  <c r="K65" i="8" s="1"/>
  <c r="J23" i="8"/>
  <c r="J65" i="8" s="1"/>
  <c r="I23" i="8"/>
  <c r="I65" i="8" s="1"/>
  <c r="H23" i="8"/>
  <c r="H65" i="8" s="1"/>
  <c r="G23" i="8"/>
  <c r="G65" i="8" s="1"/>
  <c r="F23" i="8"/>
  <c r="F65" i="8" s="1"/>
  <c r="E23" i="8"/>
  <c r="E65" i="8" s="1"/>
  <c r="D23" i="8"/>
  <c r="D65" i="8" s="1"/>
  <c r="C23" i="8"/>
  <c r="C65" i="8" s="1"/>
  <c r="B23" i="8"/>
  <c r="B65" i="8" s="1"/>
  <c r="M22" i="8"/>
  <c r="M64" i="8" s="1"/>
  <c r="L22" i="8"/>
  <c r="L64" i="8" s="1"/>
  <c r="K22" i="8"/>
  <c r="K64" i="8" s="1"/>
  <c r="J22" i="8"/>
  <c r="J36" i="8" s="1"/>
  <c r="I22" i="8"/>
  <c r="I64" i="8" s="1"/>
  <c r="H22" i="8"/>
  <c r="H64" i="8" s="1"/>
  <c r="G22" i="8"/>
  <c r="G64" i="8" s="1"/>
  <c r="F22" i="8"/>
  <c r="F64" i="8" s="1"/>
  <c r="E22" i="8"/>
  <c r="E64" i="8" s="1"/>
  <c r="D22" i="8"/>
  <c r="D64" i="8" s="1"/>
  <c r="C22" i="8"/>
  <c r="C64" i="8" s="1"/>
  <c r="B22" i="8"/>
  <c r="B64" i="8" s="1"/>
  <c r="M21" i="8"/>
  <c r="M63" i="8" s="1"/>
  <c r="L21" i="8"/>
  <c r="L63" i="8" s="1"/>
  <c r="K21" i="8"/>
  <c r="K63" i="8" s="1"/>
  <c r="J21" i="8"/>
  <c r="J63" i="8" s="1"/>
  <c r="I21" i="8"/>
  <c r="I63" i="8" s="1"/>
  <c r="H21" i="8"/>
  <c r="H63" i="8" s="1"/>
  <c r="G21" i="8"/>
  <c r="G63" i="8" s="1"/>
  <c r="F21" i="8"/>
  <c r="F35" i="8" s="1"/>
  <c r="E21" i="8"/>
  <c r="E63" i="8" s="1"/>
  <c r="D21" i="8"/>
  <c r="D63" i="8" s="1"/>
  <c r="C21" i="8"/>
  <c r="C63" i="8" s="1"/>
  <c r="B21" i="8"/>
  <c r="B63" i="8" s="1"/>
  <c r="M20" i="8"/>
  <c r="L20" i="8"/>
  <c r="K20" i="8"/>
  <c r="K48" i="8" s="1"/>
  <c r="J20" i="8"/>
  <c r="J62" i="8" s="1"/>
  <c r="I20" i="8"/>
  <c r="I62" i="8" s="1"/>
  <c r="H20" i="8"/>
  <c r="H34" i="8" s="1"/>
  <c r="G20" i="8"/>
  <c r="G62" i="8" s="1"/>
  <c r="F20" i="8"/>
  <c r="F62" i="8" s="1"/>
  <c r="E20" i="8"/>
  <c r="E48" i="8" s="1"/>
  <c r="D20" i="8"/>
  <c r="C20" i="8"/>
  <c r="B20" i="8"/>
  <c r="M19" i="8"/>
  <c r="M61" i="8" s="1"/>
  <c r="L19" i="8"/>
  <c r="L61" i="8" s="1"/>
  <c r="K19" i="8"/>
  <c r="K61" i="8" s="1"/>
  <c r="J19" i="8"/>
  <c r="J61" i="8" s="1"/>
  <c r="I19" i="8"/>
  <c r="I61" i="8" s="1"/>
  <c r="H19" i="8"/>
  <c r="H61" i="8" s="1"/>
  <c r="G19" i="8"/>
  <c r="G61" i="8" s="1"/>
  <c r="F19" i="8"/>
  <c r="F61" i="8" s="1"/>
  <c r="E19" i="8"/>
  <c r="E61" i="8" s="1"/>
  <c r="D19" i="8"/>
  <c r="D61" i="8" s="1"/>
  <c r="C19" i="8"/>
  <c r="C61" i="8" s="1"/>
  <c r="B19" i="8"/>
  <c r="B61" i="8" s="1"/>
  <c r="M18" i="8"/>
  <c r="M60" i="8" s="1"/>
  <c r="L18" i="8"/>
  <c r="L60" i="8" s="1"/>
  <c r="K18" i="8"/>
  <c r="K60" i="8" s="1"/>
  <c r="J18" i="8"/>
  <c r="J46" i="8" s="1"/>
  <c r="I18" i="8"/>
  <c r="I60" i="8" s="1"/>
  <c r="H18" i="8"/>
  <c r="H60" i="8" s="1"/>
  <c r="G18" i="8"/>
  <c r="G60" i="8" s="1"/>
  <c r="F18" i="8"/>
  <c r="F60" i="8" s="1"/>
  <c r="E18" i="8"/>
  <c r="E60" i="8" s="1"/>
  <c r="D18" i="8"/>
  <c r="D60" i="8" s="1"/>
  <c r="C18" i="8"/>
  <c r="C60" i="8" s="1"/>
  <c r="B18" i="8"/>
  <c r="B60" i="8" s="1"/>
  <c r="M17" i="8"/>
  <c r="M59" i="8" s="1"/>
  <c r="L17" i="8"/>
  <c r="L59" i="8" s="1"/>
  <c r="K17" i="8"/>
  <c r="K59" i="8" s="1"/>
  <c r="J17" i="8"/>
  <c r="J59" i="8" s="1"/>
  <c r="I17" i="8"/>
  <c r="I59" i="8" s="1"/>
  <c r="H17" i="8"/>
  <c r="H59" i="8" s="1"/>
  <c r="G17" i="8"/>
  <c r="G59" i="8" s="1"/>
  <c r="F17" i="8"/>
  <c r="F45" i="8" s="1"/>
  <c r="E17" i="8"/>
  <c r="E59" i="8" s="1"/>
  <c r="D17" i="8"/>
  <c r="D59" i="8" s="1"/>
  <c r="C17" i="8"/>
  <c r="C59" i="8" s="1"/>
  <c r="B17" i="8"/>
  <c r="B59" i="8" s="1"/>
  <c r="M16" i="8"/>
  <c r="M58" i="8" s="1"/>
  <c r="L16" i="8"/>
  <c r="L58" i="8" s="1"/>
  <c r="K16" i="8"/>
  <c r="K58" i="8" s="1"/>
  <c r="J16" i="8"/>
  <c r="J58" i="8" s="1"/>
  <c r="I16" i="8"/>
  <c r="I58" i="8" s="1"/>
  <c r="H16" i="8"/>
  <c r="H58" i="8" s="1"/>
  <c r="G16" i="8"/>
  <c r="G58" i="8" s="1"/>
  <c r="F16" i="8"/>
  <c r="F58" i="8" s="1"/>
  <c r="E16" i="8"/>
  <c r="E58" i="8" s="1"/>
  <c r="D16" i="8"/>
  <c r="D58" i="8" s="1"/>
  <c r="C16" i="8"/>
  <c r="C58" i="8" s="1"/>
  <c r="B16" i="8"/>
  <c r="B44" i="8" s="1"/>
  <c r="M27" i="7"/>
  <c r="M69" i="7" s="1"/>
  <c r="L27" i="7"/>
  <c r="L69" i="7" s="1"/>
  <c r="K27" i="7"/>
  <c r="K69" i="7" s="1"/>
  <c r="J27" i="7"/>
  <c r="J69" i="7" s="1"/>
  <c r="I27" i="7"/>
  <c r="I69" i="7" s="1"/>
  <c r="H27" i="7"/>
  <c r="H69" i="7" s="1"/>
  <c r="G27" i="7"/>
  <c r="G69" i="7" s="1"/>
  <c r="F27" i="7"/>
  <c r="F41" i="7" s="1"/>
  <c r="E27" i="7"/>
  <c r="E69" i="7" s="1"/>
  <c r="D27" i="7"/>
  <c r="D69" i="7" s="1"/>
  <c r="C27" i="7"/>
  <c r="C69" i="7" s="1"/>
  <c r="B27" i="7"/>
  <c r="B69" i="7" s="1"/>
  <c r="M26" i="7"/>
  <c r="M68" i="7" s="1"/>
  <c r="L26" i="7"/>
  <c r="L68" i="7" s="1"/>
  <c r="K26" i="7"/>
  <c r="K68" i="7" s="1"/>
  <c r="J26" i="7"/>
  <c r="J54" i="7" s="1"/>
  <c r="I26" i="7"/>
  <c r="I68" i="7" s="1"/>
  <c r="H26" i="7"/>
  <c r="H68" i="7" s="1"/>
  <c r="G26" i="7"/>
  <c r="G68" i="7" s="1"/>
  <c r="F26" i="7"/>
  <c r="F68" i="7" s="1"/>
  <c r="E26" i="7"/>
  <c r="E68" i="7" s="1"/>
  <c r="D26" i="7"/>
  <c r="D68" i="7" s="1"/>
  <c r="C26" i="7"/>
  <c r="C68" i="7" s="1"/>
  <c r="B26" i="7"/>
  <c r="B54" i="7" s="1"/>
  <c r="M25" i="7"/>
  <c r="M67" i="7" s="1"/>
  <c r="L25" i="7"/>
  <c r="L67" i="7" s="1"/>
  <c r="K25" i="7"/>
  <c r="K67" i="7" s="1"/>
  <c r="J25" i="7"/>
  <c r="J67" i="7" s="1"/>
  <c r="I25" i="7"/>
  <c r="I67" i="7" s="1"/>
  <c r="H25" i="7"/>
  <c r="H67" i="7" s="1"/>
  <c r="G25" i="7"/>
  <c r="G67" i="7" s="1"/>
  <c r="F25" i="7"/>
  <c r="F53" i="7" s="1"/>
  <c r="E25" i="7"/>
  <c r="E67" i="7" s="1"/>
  <c r="D25" i="7"/>
  <c r="D67" i="7" s="1"/>
  <c r="C25" i="7"/>
  <c r="C67" i="7" s="1"/>
  <c r="B25" i="7"/>
  <c r="B67" i="7" s="1"/>
  <c r="M23" i="7"/>
  <c r="M65" i="7" s="1"/>
  <c r="L23" i="7"/>
  <c r="L65" i="7" s="1"/>
  <c r="K23" i="7"/>
  <c r="K65" i="7" s="1"/>
  <c r="J23" i="7"/>
  <c r="J65" i="7" s="1"/>
  <c r="I23" i="7"/>
  <c r="I65" i="7" s="1"/>
  <c r="H23" i="7"/>
  <c r="H65" i="7" s="1"/>
  <c r="G23" i="7"/>
  <c r="G65" i="7" s="1"/>
  <c r="F23" i="7"/>
  <c r="E23" i="7"/>
  <c r="E65" i="7" s="1"/>
  <c r="D23" i="7"/>
  <c r="D65" i="7" s="1"/>
  <c r="C23" i="7"/>
  <c r="C65" i="7" s="1"/>
  <c r="B23" i="7"/>
  <c r="B65" i="7" s="1"/>
  <c r="M22" i="7"/>
  <c r="M64" i="7" s="1"/>
  <c r="L22" i="7"/>
  <c r="L64" i="7" s="1"/>
  <c r="K22" i="7"/>
  <c r="K64" i="7" s="1"/>
  <c r="J22" i="7"/>
  <c r="I22" i="7"/>
  <c r="I64" i="7" s="1"/>
  <c r="H22" i="7"/>
  <c r="H64" i="7" s="1"/>
  <c r="G22" i="7"/>
  <c r="G64" i="7" s="1"/>
  <c r="F22" i="7"/>
  <c r="F64" i="7" s="1"/>
  <c r="E22" i="7"/>
  <c r="E64" i="7" s="1"/>
  <c r="D22" i="7"/>
  <c r="D64" i="7" s="1"/>
  <c r="C22" i="7"/>
  <c r="C64" i="7" s="1"/>
  <c r="B22" i="7"/>
  <c r="M21" i="7"/>
  <c r="M63" i="7" s="1"/>
  <c r="L21" i="7"/>
  <c r="L63" i="7" s="1"/>
  <c r="K21" i="7"/>
  <c r="K63" i="7" s="1"/>
  <c r="J21" i="7"/>
  <c r="J63" i="7" s="1"/>
  <c r="I21" i="7"/>
  <c r="I63" i="7" s="1"/>
  <c r="H21" i="7"/>
  <c r="H63" i="7" s="1"/>
  <c r="G21" i="7"/>
  <c r="G63" i="7" s="1"/>
  <c r="F21" i="7"/>
  <c r="E21" i="7"/>
  <c r="E63" i="7" s="1"/>
  <c r="D21" i="7"/>
  <c r="D63" i="7" s="1"/>
  <c r="C21" i="7"/>
  <c r="C63" i="7" s="1"/>
  <c r="B21" i="7"/>
  <c r="B63" i="7" s="1"/>
  <c r="M20" i="7"/>
  <c r="M48" i="7" s="1"/>
  <c r="L20" i="7"/>
  <c r="K20" i="7"/>
  <c r="K34" i="7" s="1"/>
  <c r="J20" i="7"/>
  <c r="J34" i="7" s="1"/>
  <c r="I20" i="7"/>
  <c r="I48" i="7" s="1"/>
  <c r="H20" i="7"/>
  <c r="G20" i="7"/>
  <c r="G62" i="7" s="1"/>
  <c r="F20" i="7"/>
  <c r="E20" i="7"/>
  <c r="D20" i="7"/>
  <c r="C20" i="7"/>
  <c r="B20" i="7"/>
  <c r="M19" i="7"/>
  <c r="M61" i="7" s="1"/>
  <c r="L19" i="7"/>
  <c r="L61" i="7" s="1"/>
  <c r="K19" i="7"/>
  <c r="K61" i="7" s="1"/>
  <c r="J19" i="7"/>
  <c r="J61" i="7" s="1"/>
  <c r="I19" i="7"/>
  <c r="I61" i="7" s="1"/>
  <c r="H19" i="7"/>
  <c r="H61" i="7" s="1"/>
  <c r="G19" i="7"/>
  <c r="G61" i="7" s="1"/>
  <c r="F19" i="7"/>
  <c r="E19" i="7"/>
  <c r="E61" i="7" s="1"/>
  <c r="D19" i="7"/>
  <c r="D61" i="7" s="1"/>
  <c r="C19" i="7"/>
  <c r="C61" i="7" s="1"/>
  <c r="B19" i="7"/>
  <c r="B61" i="7" s="1"/>
  <c r="M18" i="7"/>
  <c r="M60" i="7" s="1"/>
  <c r="L18" i="7"/>
  <c r="L60" i="7" s="1"/>
  <c r="K18" i="7"/>
  <c r="K60" i="7" s="1"/>
  <c r="J18" i="7"/>
  <c r="I18" i="7"/>
  <c r="I60" i="7" s="1"/>
  <c r="H18" i="7"/>
  <c r="H60" i="7" s="1"/>
  <c r="G18" i="7"/>
  <c r="G60" i="7" s="1"/>
  <c r="F18" i="7"/>
  <c r="F60" i="7" s="1"/>
  <c r="E18" i="7"/>
  <c r="E60" i="7" s="1"/>
  <c r="D18" i="7"/>
  <c r="D60" i="7" s="1"/>
  <c r="C18" i="7"/>
  <c r="C60" i="7" s="1"/>
  <c r="B18" i="7"/>
  <c r="M17" i="7"/>
  <c r="M59" i="7" s="1"/>
  <c r="L17" i="7"/>
  <c r="L59" i="7" s="1"/>
  <c r="K17" i="7"/>
  <c r="K59" i="7" s="1"/>
  <c r="J17" i="7"/>
  <c r="J59" i="7" s="1"/>
  <c r="I17" i="7"/>
  <c r="I59" i="7" s="1"/>
  <c r="H17" i="7"/>
  <c r="H59" i="7" s="1"/>
  <c r="G17" i="7"/>
  <c r="G59" i="7" s="1"/>
  <c r="F17" i="7"/>
  <c r="E17" i="7"/>
  <c r="E59" i="7" s="1"/>
  <c r="D17" i="7"/>
  <c r="D59" i="7" s="1"/>
  <c r="C17" i="7"/>
  <c r="C59" i="7" s="1"/>
  <c r="B17" i="7"/>
  <c r="B59" i="7" s="1"/>
  <c r="M16" i="7"/>
  <c r="M58" i="7" s="1"/>
  <c r="L16" i="7"/>
  <c r="L58" i="7" s="1"/>
  <c r="K16" i="7"/>
  <c r="K58" i="7" s="1"/>
  <c r="J16" i="7"/>
  <c r="J58" i="7" s="1"/>
  <c r="I16" i="7"/>
  <c r="I58" i="7" s="1"/>
  <c r="H16" i="7"/>
  <c r="H58" i="7" s="1"/>
  <c r="G16" i="7"/>
  <c r="G58" i="7" s="1"/>
  <c r="F16" i="7"/>
  <c r="F58" i="7" s="1"/>
  <c r="E16" i="7"/>
  <c r="E58" i="7" s="1"/>
  <c r="D16" i="7"/>
  <c r="D58" i="7" s="1"/>
  <c r="C16" i="7"/>
  <c r="C58" i="7" s="1"/>
  <c r="B16" i="7"/>
  <c r="B58" i="7" s="1"/>
  <c r="M27" i="6"/>
  <c r="M69" i="6" s="1"/>
  <c r="L27" i="6"/>
  <c r="L69" i="6" s="1"/>
  <c r="K27" i="6"/>
  <c r="K69" i="6" s="1"/>
  <c r="J27" i="6"/>
  <c r="J69" i="6" s="1"/>
  <c r="I27" i="6"/>
  <c r="I69" i="6" s="1"/>
  <c r="H27" i="6"/>
  <c r="H69" i="6" s="1"/>
  <c r="G27" i="6"/>
  <c r="G69" i="6" s="1"/>
  <c r="F27" i="6"/>
  <c r="F41" i="6" s="1"/>
  <c r="E27" i="6"/>
  <c r="E69" i="6" s="1"/>
  <c r="D27" i="6"/>
  <c r="D69" i="6" s="1"/>
  <c r="C27" i="6"/>
  <c r="C69" i="6" s="1"/>
  <c r="B27" i="6"/>
  <c r="B69" i="6" s="1"/>
  <c r="M26" i="6"/>
  <c r="M68" i="6" s="1"/>
  <c r="L26" i="6"/>
  <c r="L68" i="6" s="1"/>
  <c r="K26" i="6"/>
  <c r="K68" i="6" s="1"/>
  <c r="J26" i="6"/>
  <c r="I26" i="6"/>
  <c r="I68" i="6" s="1"/>
  <c r="H26" i="6"/>
  <c r="H68" i="6" s="1"/>
  <c r="G26" i="6"/>
  <c r="G68" i="6" s="1"/>
  <c r="F26" i="6"/>
  <c r="F68" i="6" s="1"/>
  <c r="E26" i="6"/>
  <c r="E68" i="6" s="1"/>
  <c r="D26" i="6"/>
  <c r="D68" i="6" s="1"/>
  <c r="C26" i="6"/>
  <c r="C68" i="6" s="1"/>
  <c r="B26" i="6"/>
  <c r="B54" i="6" s="1"/>
  <c r="M25" i="6"/>
  <c r="M67" i="6" s="1"/>
  <c r="L25" i="6"/>
  <c r="L67" i="6" s="1"/>
  <c r="K25" i="6"/>
  <c r="K67" i="6" s="1"/>
  <c r="J25" i="6"/>
  <c r="J67" i="6" s="1"/>
  <c r="I25" i="6"/>
  <c r="I67" i="6" s="1"/>
  <c r="H25" i="6"/>
  <c r="H67" i="6" s="1"/>
  <c r="G25" i="6"/>
  <c r="G67" i="6" s="1"/>
  <c r="F25" i="6"/>
  <c r="F53" i="6" s="1"/>
  <c r="E25" i="6"/>
  <c r="E67" i="6" s="1"/>
  <c r="D25" i="6"/>
  <c r="D67" i="6" s="1"/>
  <c r="C25" i="6"/>
  <c r="C67" i="6" s="1"/>
  <c r="B25" i="6"/>
  <c r="B67" i="6" s="1"/>
  <c r="M23" i="6"/>
  <c r="M65" i="6" s="1"/>
  <c r="L23" i="6"/>
  <c r="L65" i="6" s="1"/>
  <c r="K23" i="6"/>
  <c r="K65" i="6" s="1"/>
  <c r="J23" i="6"/>
  <c r="J65" i="6" s="1"/>
  <c r="I23" i="6"/>
  <c r="I65" i="6" s="1"/>
  <c r="H23" i="6"/>
  <c r="H65" i="6" s="1"/>
  <c r="G23" i="6"/>
  <c r="G65" i="6" s="1"/>
  <c r="F23" i="6"/>
  <c r="E23" i="6"/>
  <c r="E65" i="6" s="1"/>
  <c r="D23" i="6"/>
  <c r="D65" i="6" s="1"/>
  <c r="C23" i="6"/>
  <c r="C65" i="6" s="1"/>
  <c r="B23" i="6"/>
  <c r="B65" i="6" s="1"/>
  <c r="M22" i="6"/>
  <c r="M64" i="6" s="1"/>
  <c r="L22" i="6"/>
  <c r="L64" i="6" s="1"/>
  <c r="K22" i="6"/>
  <c r="K64" i="6" s="1"/>
  <c r="J22" i="6"/>
  <c r="I22" i="6"/>
  <c r="I64" i="6" s="1"/>
  <c r="H22" i="6"/>
  <c r="H64" i="6" s="1"/>
  <c r="G22" i="6"/>
  <c r="G64" i="6" s="1"/>
  <c r="F22" i="6"/>
  <c r="F64" i="6" s="1"/>
  <c r="E22" i="6"/>
  <c r="E64" i="6" s="1"/>
  <c r="D22" i="6"/>
  <c r="D64" i="6" s="1"/>
  <c r="C22" i="6"/>
  <c r="C64" i="6" s="1"/>
  <c r="B22" i="6"/>
  <c r="B36" i="6" s="1"/>
  <c r="M21" i="6"/>
  <c r="M63" i="6" s="1"/>
  <c r="L21" i="6"/>
  <c r="L63" i="6" s="1"/>
  <c r="K21" i="6"/>
  <c r="K63" i="6" s="1"/>
  <c r="J21" i="6"/>
  <c r="J63" i="6" s="1"/>
  <c r="I21" i="6"/>
  <c r="I63" i="6" s="1"/>
  <c r="H21" i="6"/>
  <c r="H63" i="6" s="1"/>
  <c r="G21" i="6"/>
  <c r="G63" i="6" s="1"/>
  <c r="F21" i="6"/>
  <c r="E21" i="6"/>
  <c r="E63" i="6" s="1"/>
  <c r="D21" i="6"/>
  <c r="D63" i="6" s="1"/>
  <c r="C21" i="6"/>
  <c r="C63" i="6" s="1"/>
  <c r="B21" i="6"/>
  <c r="B63" i="6" s="1"/>
  <c r="M20" i="6"/>
  <c r="L20" i="6"/>
  <c r="K20" i="6"/>
  <c r="K48" i="6" s="1"/>
  <c r="J20" i="6"/>
  <c r="I20" i="6"/>
  <c r="H20" i="6"/>
  <c r="H48" i="6" s="1"/>
  <c r="G20" i="6"/>
  <c r="F20" i="6"/>
  <c r="F62" i="6" s="1"/>
  <c r="E20" i="6"/>
  <c r="E48" i="6" s="1"/>
  <c r="D20" i="6"/>
  <c r="C20" i="6"/>
  <c r="B20" i="6"/>
  <c r="M19" i="6"/>
  <c r="M61" i="6" s="1"/>
  <c r="L19" i="6"/>
  <c r="L61" i="6" s="1"/>
  <c r="K19" i="6"/>
  <c r="K61" i="6" s="1"/>
  <c r="J19" i="6"/>
  <c r="J61" i="6" s="1"/>
  <c r="I19" i="6"/>
  <c r="I61" i="6" s="1"/>
  <c r="H19" i="6"/>
  <c r="H61" i="6" s="1"/>
  <c r="G19" i="6"/>
  <c r="G61" i="6" s="1"/>
  <c r="F19" i="6"/>
  <c r="E19" i="6"/>
  <c r="E61" i="6" s="1"/>
  <c r="D19" i="6"/>
  <c r="D61" i="6" s="1"/>
  <c r="C19" i="6"/>
  <c r="C61" i="6" s="1"/>
  <c r="B19" i="6"/>
  <c r="B61" i="6" s="1"/>
  <c r="M18" i="6"/>
  <c r="M60" i="6" s="1"/>
  <c r="L18" i="6"/>
  <c r="L60" i="6" s="1"/>
  <c r="K18" i="6"/>
  <c r="K60" i="6" s="1"/>
  <c r="J18" i="6"/>
  <c r="I18" i="6"/>
  <c r="I60" i="6" s="1"/>
  <c r="H18" i="6"/>
  <c r="H60" i="6" s="1"/>
  <c r="G18" i="6"/>
  <c r="G60" i="6" s="1"/>
  <c r="F18" i="6"/>
  <c r="F60" i="6" s="1"/>
  <c r="E18" i="6"/>
  <c r="E60" i="6" s="1"/>
  <c r="D18" i="6"/>
  <c r="D60" i="6" s="1"/>
  <c r="C18" i="6"/>
  <c r="C60" i="6" s="1"/>
  <c r="B18" i="6"/>
  <c r="M17" i="6"/>
  <c r="M59" i="6" s="1"/>
  <c r="L17" i="6"/>
  <c r="L59" i="6" s="1"/>
  <c r="K17" i="6"/>
  <c r="K59" i="6" s="1"/>
  <c r="J17" i="6"/>
  <c r="J59" i="6" s="1"/>
  <c r="I17" i="6"/>
  <c r="I59" i="6" s="1"/>
  <c r="H17" i="6"/>
  <c r="H59" i="6" s="1"/>
  <c r="G17" i="6"/>
  <c r="G59" i="6" s="1"/>
  <c r="F17" i="6"/>
  <c r="E17" i="6"/>
  <c r="E59" i="6" s="1"/>
  <c r="D17" i="6"/>
  <c r="D59" i="6" s="1"/>
  <c r="C17" i="6"/>
  <c r="C59" i="6" s="1"/>
  <c r="B17" i="6"/>
  <c r="B59" i="6" s="1"/>
  <c r="M16" i="6"/>
  <c r="M58" i="6" s="1"/>
  <c r="L16" i="6"/>
  <c r="L58" i="6" s="1"/>
  <c r="K16" i="6"/>
  <c r="K58" i="6" s="1"/>
  <c r="J16" i="6"/>
  <c r="J30" i="6" s="1"/>
  <c r="I16" i="6"/>
  <c r="I58" i="6" s="1"/>
  <c r="H16" i="6"/>
  <c r="H58" i="6" s="1"/>
  <c r="G16" i="6"/>
  <c r="G58" i="6" s="1"/>
  <c r="F16" i="6"/>
  <c r="F58" i="6" s="1"/>
  <c r="E16" i="6"/>
  <c r="E58" i="6" s="1"/>
  <c r="D16" i="6"/>
  <c r="D58" i="6" s="1"/>
  <c r="C16" i="6"/>
  <c r="C58" i="6" s="1"/>
  <c r="B16" i="6"/>
  <c r="M27" i="5"/>
  <c r="M69" i="5" s="1"/>
  <c r="L27" i="5"/>
  <c r="L69" i="5" s="1"/>
  <c r="K27" i="5"/>
  <c r="K69" i="5" s="1"/>
  <c r="J27" i="5"/>
  <c r="J69" i="5" s="1"/>
  <c r="I27" i="5"/>
  <c r="I69" i="5" s="1"/>
  <c r="H27" i="5"/>
  <c r="H69" i="5" s="1"/>
  <c r="G27" i="5"/>
  <c r="G69" i="5" s="1"/>
  <c r="F27" i="5"/>
  <c r="F55" i="5" s="1"/>
  <c r="E27" i="5"/>
  <c r="E69" i="5" s="1"/>
  <c r="D27" i="5"/>
  <c r="D69" i="5" s="1"/>
  <c r="C27" i="5"/>
  <c r="C69" i="5" s="1"/>
  <c r="B27" i="5"/>
  <c r="B69" i="5" s="1"/>
  <c r="M26" i="5"/>
  <c r="M68" i="5" s="1"/>
  <c r="L26" i="5"/>
  <c r="L68" i="5" s="1"/>
  <c r="K26" i="5"/>
  <c r="K68" i="5" s="1"/>
  <c r="J26" i="5"/>
  <c r="J54" i="5" s="1"/>
  <c r="I26" i="5"/>
  <c r="I68" i="5" s="1"/>
  <c r="H26" i="5"/>
  <c r="H68" i="5" s="1"/>
  <c r="G26" i="5"/>
  <c r="G68" i="5" s="1"/>
  <c r="F26" i="5"/>
  <c r="F68" i="5" s="1"/>
  <c r="E26" i="5"/>
  <c r="E68" i="5" s="1"/>
  <c r="D26" i="5"/>
  <c r="D68" i="5" s="1"/>
  <c r="C26" i="5"/>
  <c r="C68" i="5" s="1"/>
  <c r="B26" i="5"/>
  <c r="B68" i="5" s="1"/>
  <c r="M25" i="5"/>
  <c r="M67" i="5" s="1"/>
  <c r="L25" i="5"/>
  <c r="L67" i="5" s="1"/>
  <c r="K25" i="5"/>
  <c r="K67" i="5" s="1"/>
  <c r="J25" i="5"/>
  <c r="J67" i="5" s="1"/>
  <c r="I25" i="5"/>
  <c r="I67" i="5" s="1"/>
  <c r="H25" i="5"/>
  <c r="H67" i="5" s="1"/>
  <c r="G25" i="5"/>
  <c r="G67" i="5" s="1"/>
  <c r="F25" i="5"/>
  <c r="F67" i="5" s="1"/>
  <c r="E25" i="5"/>
  <c r="E67" i="5" s="1"/>
  <c r="D25" i="5"/>
  <c r="D67" i="5" s="1"/>
  <c r="C25" i="5"/>
  <c r="C67" i="5" s="1"/>
  <c r="B25" i="5"/>
  <c r="B67" i="5" s="1"/>
  <c r="M23" i="5"/>
  <c r="M65" i="5" s="1"/>
  <c r="L23" i="5"/>
  <c r="L65" i="5" s="1"/>
  <c r="K23" i="5"/>
  <c r="K65" i="5" s="1"/>
  <c r="J23" i="5"/>
  <c r="J65" i="5" s="1"/>
  <c r="I23" i="5"/>
  <c r="I65" i="5" s="1"/>
  <c r="H23" i="5"/>
  <c r="H65" i="5" s="1"/>
  <c r="G23" i="5"/>
  <c r="G65" i="5" s="1"/>
  <c r="F23" i="5"/>
  <c r="F65" i="5" s="1"/>
  <c r="E23" i="5"/>
  <c r="E65" i="5" s="1"/>
  <c r="D23" i="5"/>
  <c r="D65" i="5" s="1"/>
  <c r="C23" i="5"/>
  <c r="C65" i="5" s="1"/>
  <c r="B23" i="5"/>
  <c r="B65" i="5" s="1"/>
  <c r="M22" i="5"/>
  <c r="M64" i="5" s="1"/>
  <c r="L22" i="5"/>
  <c r="L64" i="5" s="1"/>
  <c r="K22" i="5"/>
  <c r="K64" i="5" s="1"/>
  <c r="J22" i="5"/>
  <c r="J50" i="5" s="1"/>
  <c r="I22" i="5"/>
  <c r="I64" i="5" s="1"/>
  <c r="H22" i="5"/>
  <c r="H64" i="5" s="1"/>
  <c r="G22" i="5"/>
  <c r="G64" i="5" s="1"/>
  <c r="F22" i="5"/>
  <c r="F64" i="5" s="1"/>
  <c r="E22" i="5"/>
  <c r="E64" i="5" s="1"/>
  <c r="D22" i="5"/>
  <c r="D64" i="5" s="1"/>
  <c r="C22" i="5"/>
  <c r="C64" i="5" s="1"/>
  <c r="B22" i="5"/>
  <c r="B64" i="5" s="1"/>
  <c r="M21" i="5"/>
  <c r="M63" i="5" s="1"/>
  <c r="L21" i="5"/>
  <c r="L63" i="5" s="1"/>
  <c r="K21" i="5"/>
  <c r="K63" i="5" s="1"/>
  <c r="J21" i="5"/>
  <c r="J63" i="5" s="1"/>
  <c r="I21" i="5"/>
  <c r="I63" i="5" s="1"/>
  <c r="H21" i="5"/>
  <c r="H63" i="5" s="1"/>
  <c r="G21" i="5"/>
  <c r="G63" i="5" s="1"/>
  <c r="F21" i="5"/>
  <c r="F49" i="5" s="1"/>
  <c r="E21" i="5"/>
  <c r="E63" i="5" s="1"/>
  <c r="D21" i="5"/>
  <c r="D63" i="5" s="1"/>
  <c r="C21" i="5"/>
  <c r="C63" i="5" s="1"/>
  <c r="B21" i="5"/>
  <c r="B63" i="5" s="1"/>
  <c r="M20" i="5"/>
  <c r="L20" i="5"/>
  <c r="K20" i="5"/>
  <c r="J20" i="5"/>
  <c r="I20" i="5"/>
  <c r="H20" i="5"/>
  <c r="H62" i="5" s="1"/>
  <c r="G20" i="5"/>
  <c r="G48" i="5" s="1"/>
  <c r="F20" i="5"/>
  <c r="F48" i="5" s="1"/>
  <c r="E20" i="5"/>
  <c r="E48" i="5" s="1"/>
  <c r="D20" i="5"/>
  <c r="D62" i="5" s="1"/>
  <c r="C20" i="5"/>
  <c r="B20" i="5"/>
  <c r="B48" i="5" s="1"/>
  <c r="M19" i="5"/>
  <c r="M61" i="5" s="1"/>
  <c r="L19" i="5"/>
  <c r="L61" i="5" s="1"/>
  <c r="K19" i="5"/>
  <c r="K61" i="5" s="1"/>
  <c r="J19" i="5"/>
  <c r="J61" i="5" s="1"/>
  <c r="I19" i="5"/>
  <c r="I61" i="5" s="1"/>
  <c r="H19" i="5"/>
  <c r="H61" i="5" s="1"/>
  <c r="G19" i="5"/>
  <c r="G61" i="5" s="1"/>
  <c r="F19" i="5"/>
  <c r="F61" i="5" s="1"/>
  <c r="E19" i="5"/>
  <c r="E61" i="5" s="1"/>
  <c r="D19" i="5"/>
  <c r="D61" i="5" s="1"/>
  <c r="C19" i="5"/>
  <c r="C61" i="5" s="1"/>
  <c r="B19" i="5"/>
  <c r="B61" i="5" s="1"/>
  <c r="M18" i="5"/>
  <c r="M60" i="5" s="1"/>
  <c r="L18" i="5"/>
  <c r="L60" i="5" s="1"/>
  <c r="K18" i="5"/>
  <c r="K60" i="5" s="1"/>
  <c r="J18" i="5"/>
  <c r="J46" i="5" s="1"/>
  <c r="I18" i="5"/>
  <c r="I60" i="5" s="1"/>
  <c r="H18" i="5"/>
  <c r="H60" i="5" s="1"/>
  <c r="G18" i="5"/>
  <c r="G60" i="5" s="1"/>
  <c r="F18" i="5"/>
  <c r="F60" i="5" s="1"/>
  <c r="E18" i="5"/>
  <c r="E60" i="5" s="1"/>
  <c r="D18" i="5"/>
  <c r="D60" i="5" s="1"/>
  <c r="C18" i="5"/>
  <c r="C60" i="5" s="1"/>
  <c r="B18" i="5"/>
  <c r="B60" i="5" s="1"/>
  <c r="M17" i="5"/>
  <c r="M59" i="5" s="1"/>
  <c r="L17" i="5"/>
  <c r="L59" i="5" s="1"/>
  <c r="K17" i="5"/>
  <c r="K59" i="5" s="1"/>
  <c r="J17" i="5"/>
  <c r="J59" i="5" s="1"/>
  <c r="I17" i="5"/>
  <c r="I59" i="5" s="1"/>
  <c r="H17" i="5"/>
  <c r="H59" i="5" s="1"/>
  <c r="G17" i="5"/>
  <c r="G59" i="5" s="1"/>
  <c r="F17" i="5"/>
  <c r="F45" i="5" s="1"/>
  <c r="E17" i="5"/>
  <c r="E59" i="5" s="1"/>
  <c r="D17" i="5"/>
  <c r="D59" i="5" s="1"/>
  <c r="C17" i="5"/>
  <c r="C59" i="5" s="1"/>
  <c r="B17" i="5"/>
  <c r="B59" i="5" s="1"/>
  <c r="M16" i="5"/>
  <c r="M58" i="5" s="1"/>
  <c r="L16" i="5"/>
  <c r="L58" i="5" s="1"/>
  <c r="K16" i="5"/>
  <c r="K58" i="5" s="1"/>
  <c r="J16" i="5"/>
  <c r="J58" i="5" s="1"/>
  <c r="I16" i="5"/>
  <c r="I58" i="5" s="1"/>
  <c r="H16" i="5"/>
  <c r="H58" i="5" s="1"/>
  <c r="G16" i="5"/>
  <c r="G58" i="5" s="1"/>
  <c r="F16" i="5"/>
  <c r="F58" i="5" s="1"/>
  <c r="E16" i="5"/>
  <c r="E58" i="5" s="1"/>
  <c r="D16" i="5"/>
  <c r="D58" i="5" s="1"/>
  <c r="C16" i="5"/>
  <c r="C58" i="5" s="1"/>
  <c r="B16" i="5"/>
  <c r="B44" i="5" s="1"/>
  <c r="M27" i="4"/>
  <c r="M69" i="4" s="1"/>
  <c r="L27" i="4"/>
  <c r="L69" i="4" s="1"/>
  <c r="K27" i="4"/>
  <c r="K69" i="4" s="1"/>
  <c r="J27" i="4"/>
  <c r="J69" i="4" s="1"/>
  <c r="I27" i="4"/>
  <c r="I69" i="4" s="1"/>
  <c r="H27" i="4"/>
  <c r="H69" i="4" s="1"/>
  <c r="G27" i="4"/>
  <c r="G69" i="4" s="1"/>
  <c r="F27" i="4"/>
  <c r="F41" i="4" s="1"/>
  <c r="E27" i="4"/>
  <c r="E69" i="4" s="1"/>
  <c r="D27" i="4"/>
  <c r="D69" i="4" s="1"/>
  <c r="C27" i="4"/>
  <c r="C69" i="4" s="1"/>
  <c r="B27" i="4"/>
  <c r="B69" i="4" s="1"/>
  <c r="M26" i="4"/>
  <c r="M68" i="4" s="1"/>
  <c r="L26" i="4"/>
  <c r="L68" i="4" s="1"/>
  <c r="K26" i="4"/>
  <c r="K68" i="4" s="1"/>
  <c r="J26" i="4"/>
  <c r="I26" i="4"/>
  <c r="I68" i="4" s="1"/>
  <c r="H26" i="4"/>
  <c r="H68" i="4" s="1"/>
  <c r="G26" i="4"/>
  <c r="G68" i="4" s="1"/>
  <c r="F26" i="4"/>
  <c r="F68" i="4" s="1"/>
  <c r="E26" i="4"/>
  <c r="E68" i="4" s="1"/>
  <c r="D26" i="4"/>
  <c r="D68" i="4" s="1"/>
  <c r="C26" i="4"/>
  <c r="C68" i="4" s="1"/>
  <c r="B26" i="4"/>
  <c r="B40" i="4" s="1"/>
  <c r="M25" i="4"/>
  <c r="M67" i="4" s="1"/>
  <c r="L25" i="4"/>
  <c r="L67" i="4" s="1"/>
  <c r="K25" i="4"/>
  <c r="K67" i="4" s="1"/>
  <c r="J25" i="4"/>
  <c r="J67" i="4" s="1"/>
  <c r="I25" i="4"/>
  <c r="I67" i="4" s="1"/>
  <c r="H25" i="4"/>
  <c r="H67" i="4" s="1"/>
  <c r="G25" i="4"/>
  <c r="G67" i="4" s="1"/>
  <c r="F25" i="4"/>
  <c r="F39" i="4" s="1"/>
  <c r="E25" i="4"/>
  <c r="E67" i="4" s="1"/>
  <c r="D25" i="4"/>
  <c r="D67" i="4" s="1"/>
  <c r="C25" i="4"/>
  <c r="C67" i="4" s="1"/>
  <c r="B25" i="4"/>
  <c r="B67" i="4" s="1"/>
  <c r="M23" i="4"/>
  <c r="M65" i="4" s="1"/>
  <c r="L23" i="4"/>
  <c r="L65" i="4" s="1"/>
  <c r="K23" i="4"/>
  <c r="K65" i="4" s="1"/>
  <c r="J23" i="4"/>
  <c r="J65" i="4" s="1"/>
  <c r="I23" i="4"/>
  <c r="I65" i="4" s="1"/>
  <c r="H23" i="4"/>
  <c r="H65" i="4" s="1"/>
  <c r="G23" i="4"/>
  <c r="G65" i="4" s="1"/>
  <c r="F23" i="4"/>
  <c r="F37" i="4" s="1"/>
  <c r="E23" i="4"/>
  <c r="E65" i="4" s="1"/>
  <c r="D23" i="4"/>
  <c r="D65" i="4" s="1"/>
  <c r="C23" i="4"/>
  <c r="C65" i="4" s="1"/>
  <c r="B23" i="4"/>
  <c r="B65" i="4" s="1"/>
  <c r="M22" i="4"/>
  <c r="M64" i="4" s="1"/>
  <c r="L22" i="4"/>
  <c r="L64" i="4" s="1"/>
  <c r="K22" i="4"/>
  <c r="K64" i="4" s="1"/>
  <c r="J22" i="4"/>
  <c r="I22" i="4"/>
  <c r="I64" i="4" s="1"/>
  <c r="H22" i="4"/>
  <c r="H64" i="4" s="1"/>
  <c r="G22" i="4"/>
  <c r="G64" i="4" s="1"/>
  <c r="F22" i="4"/>
  <c r="F64" i="4" s="1"/>
  <c r="E22" i="4"/>
  <c r="E64" i="4" s="1"/>
  <c r="D22" i="4"/>
  <c r="D64" i="4" s="1"/>
  <c r="C22" i="4"/>
  <c r="C64" i="4" s="1"/>
  <c r="B22" i="4"/>
  <c r="B36" i="4" s="1"/>
  <c r="M21" i="4"/>
  <c r="M63" i="4" s="1"/>
  <c r="L21" i="4"/>
  <c r="L63" i="4" s="1"/>
  <c r="K21" i="4"/>
  <c r="K63" i="4" s="1"/>
  <c r="J21" i="4"/>
  <c r="J63" i="4" s="1"/>
  <c r="I21" i="4"/>
  <c r="I63" i="4" s="1"/>
  <c r="H21" i="4"/>
  <c r="H63" i="4" s="1"/>
  <c r="G21" i="4"/>
  <c r="G63" i="4" s="1"/>
  <c r="F21" i="4"/>
  <c r="E21" i="4"/>
  <c r="E63" i="4" s="1"/>
  <c r="D21" i="4"/>
  <c r="D63" i="4" s="1"/>
  <c r="C21" i="4"/>
  <c r="C63" i="4" s="1"/>
  <c r="B21" i="4"/>
  <c r="B63" i="4" s="1"/>
  <c r="M20" i="4"/>
  <c r="L20" i="4"/>
  <c r="K20" i="4"/>
  <c r="J20" i="4"/>
  <c r="I20" i="4"/>
  <c r="H20" i="4"/>
  <c r="G20" i="4"/>
  <c r="F20" i="4"/>
  <c r="F62" i="4" s="1"/>
  <c r="E20" i="4"/>
  <c r="E62" i="4" s="1"/>
  <c r="D20" i="4"/>
  <c r="D48" i="4" s="1"/>
  <c r="C20" i="4"/>
  <c r="C34" i="4" s="1"/>
  <c r="B20" i="4"/>
  <c r="B48" i="4" s="1"/>
  <c r="M19" i="4"/>
  <c r="M61" i="4" s="1"/>
  <c r="L19" i="4"/>
  <c r="L61" i="4" s="1"/>
  <c r="K19" i="4"/>
  <c r="K61" i="4" s="1"/>
  <c r="J19" i="4"/>
  <c r="J61" i="4" s="1"/>
  <c r="I19" i="4"/>
  <c r="I61" i="4" s="1"/>
  <c r="H19" i="4"/>
  <c r="H61" i="4" s="1"/>
  <c r="G19" i="4"/>
  <c r="G61" i="4" s="1"/>
  <c r="F19" i="4"/>
  <c r="E19" i="4"/>
  <c r="E61" i="4" s="1"/>
  <c r="D19" i="4"/>
  <c r="D61" i="4" s="1"/>
  <c r="C19" i="4"/>
  <c r="C61" i="4" s="1"/>
  <c r="B19" i="4"/>
  <c r="B61" i="4" s="1"/>
  <c r="M18" i="4"/>
  <c r="M60" i="4" s="1"/>
  <c r="L18" i="4"/>
  <c r="L60" i="4" s="1"/>
  <c r="K18" i="4"/>
  <c r="K60" i="4" s="1"/>
  <c r="J18" i="4"/>
  <c r="J60" i="4" s="1"/>
  <c r="I18" i="4"/>
  <c r="H18" i="4"/>
  <c r="H60" i="4" s="1"/>
  <c r="G18" i="4"/>
  <c r="G60" i="4" s="1"/>
  <c r="F18" i="4"/>
  <c r="F60" i="4" s="1"/>
  <c r="E18" i="4"/>
  <c r="E60" i="4" s="1"/>
  <c r="D18" i="4"/>
  <c r="D60" i="4" s="1"/>
  <c r="C18" i="4"/>
  <c r="C60" i="4" s="1"/>
  <c r="B18" i="4"/>
  <c r="B60" i="4" s="1"/>
  <c r="M17" i="4"/>
  <c r="L17" i="4"/>
  <c r="L59" i="4" s="1"/>
  <c r="K17" i="4"/>
  <c r="K59" i="4" s="1"/>
  <c r="J17" i="4"/>
  <c r="J59" i="4" s="1"/>
  <c r="I17" i="4"/>
  <c r="I59" i="4" s="1"/>
  <c r="H17" i="4"/>
  <c r="H59" i="4" s="1"/>
  <c r="G17" i="4"/>
  <c r="G59" i="4" s="1"/>
  <c r="F17" i="4"/>
  <c r="F59" i="4" s="1"/>
  <c r="E17" i="4"/>
  <c r="D17" i="4"/>
  <c r="D59" i="4" s="1"/>
  <c r="C17" i="4"/>
  <c r="C59" i="4" s="1"/>
  <c r="B17" i="4"/>
  <c r="B59" i="4" s="1"/>
  <c r="M16" i="4"/>
  <c r="M58" i="4" s="1"/>
  <c r="L16" i="4"/>
  <c r="L58" i="4" s="1"/>
  <c r="K16" i="4"/>
  <c r="K58" i="4" s="1"/>
  <c r="J16" i="4"/>
  <c r="I16" i="4"/>
  <c r="H16" i="4"/>
  <c r="H58" i="4" s="1"/>
  <c r="G16" i="4"/>
  <c r="G58" i="4" s="1"/>
  <c r="F16" i="4"/>
  <c r="F58" i="4" s="1"/>
  <c r="E16" i="4"/>
  <c r="E58" i="4" s="1"/>
  <c r="D16" i="4"/>
  <c r="D58" i="4" s="1"/>
  <c r="C16" i="4"/>
  <c r="C58" i="4" s="1"/>
  <c r="B16" i="4"/>
  <c r="B58" i="4" s="1"/>
  <c r="M27" i="3"/>
  <c r="M69" i="3" s="1"/>
  <c r="L27" i="3"/>
  <c r="L69" i="3" s="1"/>
  <c r="K27" i="3"/>
  <c r="K69" i="3" s="1"/>
  <c r="J27" i="3"/>
  <c r="J69" i="3" s="1"/>
  <c r="I27" i="3"/>
  <c r="I69" i="3" s="1"/>
  <c r="H27" i="3"/>
  <c r="H69" i="3" s="1"/>
  <c r="G27" i="3"/>
  <c r="G69" i="3" s="1"/>
  <c r="F27" i="3"/>
  <c r="F41" i="3" s="1"/>
  <c r="E27" i="3"/>
  <c r="E69" i="3" s="1"/>
  <c r="D27" i="3"/>
  <c r="D69" i="3" s="1"/>
  <c r="C27" i="3"/>
  <c r="C69" i="3" s="1"/>
  <c r="B27" i="3"/>
  <c r="B69" i="3" s="1"/>
  <c r="M26" i="3"/>
  <c r="M68" i="3" s="1"/>
  <c r="L26" i="3"/>
  <c r="L68" i="3" s="1"/>
  <c r="K26" i="3"/>
  <c r="K68" i="3" s="1"/>
  <c r="J26" i="3"/>
  <c r="J54" i="3" s="1"/>
  <c r="I26" i="3"/>
  <c r="I68" i="3" s="1"/>
  <c r="H26" i="3"/>
  <c r="H68" i="3" s="1"/>
  <c r="G26" i="3"/>
  <c r="G68" i="3" s="1"/>
  <c r="F26" i="3"/>
  <c r="F68" i="3" s="1"/>
  <c r="E26" i="3"/>
  <c r="E68" i="3" s="1"/>
  <c r="D26" i="3"/>
  <c r="D68" i="3" s="1"/>
  <c r="C26" i="3"/>
  <c r="C68" i="3" s="1"/>
  <c r="B26" i="3"/>
  <c r="B68" i="3" s="1"/>
  <c r="M25" i="3"/>
  <c r="M67" i="3" s="1"/>
  <c r="L25" i="3"/>
  <c r="L67" i="3" s="1"/>
  <c r="K25" i="3"/>
  <c r="K67" i="3" s="1"/>
  <c r="J25" i="3"/>
  <c r="J67" i="3" s="1"/>
  <c r="I25" i="3"/>
  <c r="I67" i="3" s="1"/>
  <c r="H25" i="3"/>
  <c r="H67" i="3" s="1"/>
  <c r="G25" i="3"/>
  <c r="G67" i="3" s="1"/>
  <c r="F25" i="3"/>
  <c r="F53" i="3" s="1"/>
  <c r="E25" i="3"/>
  <c r="E67" i="3" s="1"/>
  <c r="D25" i="3"/>
  <c r="D67" i="3" s="1"/>
  <c r="C25" i="3"/>
  <c r="C67" i="3" s="1"/>
  <c r="B25" i="3"/>
  <c r="B67" i="3" s="1"/>
  <c r="M23" i="3"/>
  <c r="M65" i="3" s="1"/>
  <c r="L23" i="3"/>
  <c r="L65" i="3" s="1"/>
  <c r="K23" i="3"/>
  <c r="K65" i="3" s="1"/>
  <c r="J23" i="3"/>
  <c r="J65" i="3" s="1"/>
  <c r="I23" i="3"/>
  <c r="I65" i="3" s="1"/>
  <c r="H23" i="3"/>
  <c r="H65" i="3" s="1"/>
  <c r="G23" i="3"/>
  <c r="G65" i="3" s="1"/>
  <c r="F23" i="3"/>
  <c r="F51" i="3" s="1"/>
  <c r="E23" i="3"/>
  <c r="E65" i="3" s="1"/>
  <c r="D23" i="3"/>
  <c r="D65" i="3" s="1"/>
  <c r="C23" i="3"/>
  <c r="C65" i="3" s="1"/>
  <c r="B23" i="3"/>
  <c r="B65" i="3" s="1"/>
  <c r="M22" i="3"/>
  <c r="M64" i="3" s="1"/>
  <c r="L22" i="3"/>
  <c r="L64" i="3" s="1"/>
  <c r="K22" i="3"/>
  <c r="K64" i="3" s="1"/>
  <c r="J22" i="3"/>
  <c r="J64" i="3" s="1"/>
  <c r="I22" i="3"/>
  <c r="I64" i="3" s="1"/>
  <c r="H22" i="3"/>
  <c r="H64" i="3" s="1"/>
  <c r="G22" i="3"/>
  <c r="G64" i="3" s="1"/>
  <c r="F22" i="3"/>
  <c r="F64" i="3" s="1"/>
  <c r="E22" i="3"/>
  <c r="E64" i="3" s="1"/>
  <c r="D22" i="3"/>
  <c r="D64" i="3" s="1"/>
  <c r="C22" i="3"/>
  <c r="C64" i="3" s="1"/>
  <c r="B22" i="3"/>
  <c r="B64" i="3" s="1"/>
  <c r="M21" i="3"/>
  <c r="M63" i="3" s="1"/>
  <c r="L21" i="3"/>
  <c r="L63" i="3" s="1"/>
  <c r="K21" i="3"/>
  <c r="K63" i="3" s="1"/>
  <c r="J21" i="3"/>
  <c r="J63" i="3" s="1"/>
  <c r="I21" i="3"/>
  <c r="I63" i="3" s="1"/>
  <c r="H21" i="3"/>
  <c r="H63" i="3" s="1"/>
  <c r="G21" i="3"/>
  <c r="G63" i="3" s="1"/>
  <c r="F21" i="3"/>
  <c r="F63" i="3" s="1"/>
  <c r="E21" i="3"/>
  <c r="E63" i="3" s="1"/>
  <c r="D21" i="3"/>
  <c r="D63" i="3" s="1"/>
  <c r="C21" i="3"/>
  <c r="C63" i="3" s="1"/>
  <c r="B21" i="3"/>
  <c r="B63" i="3" s="1"/>
  <c r="M20" i="3"/>
  <c r="M34" i="3" s="1"/>
  <c r="L20" i="3"/>
  <c r="L62" i="3" s="1"/>
  <c r="K20" i="3"/>
  <c r="K34" i="3" s="1"/>
  <c r="J20" i="3"/>
  <c r="I20" i="3"/>
  <c r="H20" i="3"/>
  <c r="G20" i="3"/>
  <c r="F20" i="3"/>
  <c r="F34" i="3" s="1"/>
  <c r="E20" i="3"/>
  <c r="E62" i="3" s="1"/>
  <c r="D20" i="3"/>
  <c r="D62" i="3" s="1"/>
  <c r="C20" i="3"/>
  <c r="C62" i="3" s="1"/>
  <c r="B20" i="3"/>
  <c r="B34" i="3" s="1"/>
  <c r="M19" i="3"/>
  <c r="M61" i="3" s="1"/>
  <c r="L19" i="3"/>
  <c r="L61" i="3" s="1"/>
  <c r="K19" i="3"/>
  <c r="K61" i="3" s="1"/>
  <c r="J19" i="3"/>
  <c r="J61" i="3" s="1"/>
  <c r="I19" i="3"/>
  <c r="I61" i="3" s="1"/>
  <c r="H19" i="3"/>
  <c r="H61" i="3" s="1"/>
  <c r="G19" i="3"/>
  <c r="G61" i="3" s="1"/>
  <c r="F19" i="3"/>
  <c r="F61" i="3" s="1"/>
  <c r="E19" i="3"/>
  <c r="E61" i="3" s="1"/>
  <c r="D19" i="3"/>
  <c r="D61" i="3" s="1"/>
  <c r="C19" i="3"/>
  <c r="C61" i="3" s="1"/>
  <c r="B19" i="3"/>
  <c r="B61" i="3" s="1"/>
  <c r="M18" i="3"/>
  <c r="M60" i="3" s="1"/>
  <c r="L18" i="3"/>
  <c r="L60" i="3" s="1"/>
  <c r="K18" i="3"/>
  <c r="K60" i="3" s="1"/>
  <c r="J18" i="3"/>
  <c r="J60" i="3" s="1"/>
  <c r="I18" i="3"/>
  <c r="I60" i="3" s="1"/>
  <c r="H18" i="3"/>
  <c r="H60" i="3" s="1"/>
  <c r="G18" i="3"/>
  <c r="G60" i="3" s="1"/>
  <c r="F18" i="3"/>
  <c r="F60" i="3" s="1"/>
  <c r="E18" i="3"/>
  <c r="E60" i="3" s="1"/>
  <c r="D18" i="3"/>
  <c r="D60" i="3" s="1"/>
  <c r="C18" i="3"/>
  <c r="C60" i="3" s="1"/>
  <c r="B18" i="3"/>
  <c r="B60" i="3" s="1"/>
  <c r="M17" i="3"/>
  <c r="M59" i="3" s="1"/>
  <c r="L17" i="3"/>
  <c r="L59" i="3" s="1"/>
  <c r="K17" i="3"/>
  <c r="K59" i="3" s="1"/>
  <c r="J17" i="3"/>
  <c r="J59" i="3" s="1"/>
  <c r="I17" i="3"/>
  <c r="I59" i="3" s="1"/>
  <c r="H17" i="3"/>
  <c r="H59" i="3" s="1"/>
  <c r="G17" i="3"/>
  <c r="G59" i="3" s="1"/>
  <c r="F17" i="3"/>
  <c r="F59" i="3" s="1"/>
  <c r="E17" i="3"/>
  <c r="E59" i="3" s="1"/>
  <c r="D17" i="3"/>
  <c r="D59" i="3" s="1"/>
  <c r="C17" i="3"/>
  <c r="C59" i="3" s="1"/>
  <c r="B17" i="3"/>
  <c r="B59" i="3" s="1"/>
  <c r="M16" i="3"/>
  <c r="M58" i="3" s="1"/>
  <c r="L16" i="3"/>
  <c r="L58" i="3" s="1"/>
  <c r="K16" i="3"/>
  <c r="K58" i="3" s="1"/>
  <c r="J16" i="3"/>
  <c r="J58" i="3" s="1"/>
  <c r="I16" i="3"/>
  <c r="I58" i="3" s="1"/>
  <c r="H16" i="3"/>
  <c r="H58" i="3" s="1"/>
  <c r="G16" i="3"/>
  <c r="G58" i="3" s="1"/>
  <c r="F16" i="3"/>
  <c r="F58" i="3" s="1"/>
  <c r="E16" i="3"/>
  <c r="E58" i="3" s="1"/>
  <c r="D16" i="3"/>
  <c r="D58" i="3" s="1"/>
  <c r="C16" i="3"/>
  <c r="C58" i="3" s="1"/>
  <c r="B16" i="3"/>
  <c r="B58" i="3" s="1"/>
  <c r="M27" i="2"/>
  <c r="M69" i="2" s="1"/>
  <c r="L27" i="2"/>
  <c r="L69" i="2" s="1"/>
  <c r="K27" i="2"/>
  <c r="K69" i="2" s="1"/>
  <c r="J27" i="2"/>
  <c r="J69" i="2" s="1"/>
  <c r="I27" i="2"/>
  <c r="I69" i="2" s="1"/>
  <c r="H27" i="2"/>
  <c r="H55" i="2" s="1"/>
  <c r="G27" i="2"/>
  <c r="G69" i="2" s="1"/>
  <c r="F27" i="2"/>
  <c r="F41" i="2" s="1"/>
  <c r="E27" i="2"/>
  <c r="E69" i="2" s="1"/>
  <c r="D27" i="2"/>
  <c r="D69" i="2" s="1"/>
  <c r="C27" i="2"/>
  <c r="C69" i="2" s="1"/>
  <c r="B27" i="2"/>
  <c r="B69" i="2" s="1"/>
  <c r="M26" i="2"/>
  <c r="M68" i="2" s="1"/>
  <c r="L26" i="2"/>
  <c r="L54" i="2" s="1"/>
  <c r="K26" i="2"/>
  <c r="K68" i="2" s="1"/>
  <c r="J26" i="2"/>
  <c r="I26" i="2"/>
  <c r="I68" i="2" s="1"/>
  <c r="H26" i="2"/>
  <c r="H68" i="2" s="1"/>
  <c r="G26" i="2"/>
  <c r="G68" i="2" s="1"/>
  <c r="F26" i="2"/>
  <c r="F68" i="2" s="1"/>
  <c r="E26" i="2"/>
  <c r="E68" i="2" s="1"/>
  <c r="D26" i="2"/>
  <c r="D54" i="2" s="1"/>
  <c r="C26" i="2"/>
  <c r="C68" i="2" s="1"/>
  <c r="B26" i="2"/>
  <c r="B40" i="2" s="1"/>
  <c r="M25" i="2"/>
  <c r="M67" i="2" s="1"/>
  <c r="L25" i="2"/>
  <c r="L67" i="2" s="1"/>
  <c r="K25" i="2"/>
  <c r="K67" i="2" s="1"/>
  <c r="J25" i="2"/>
  <c r="J67" i="2" s="1"/>
  <c r="I25" i="2"/>
  <c r="I67" i="2" s="1"/>
  <c r="H25" i="2"/>
  <c r="H67" i="2" s="1"/>
  <c r="G25" i="2"/>
  <c r="G67" i="2" s="1"/>
  <c r="F25" i="2"/>
  <c r="F39" i="2" s="1"/>
  <c r="E25" i="2"/>
  <c r="E67" i="2" s="1"/>
  <c r="D25" i="2"/>
  <c r="D67" i="2" s="1"/>
  <c r="C25" i="2"/>
  <c r="C67" i="2" s="1"/>
  <c r="B25" i="2"/>
  <c r="B67" i="2" s="1"/>
  <c r="M23" i="2"/>
  <c r="M65" i="2" s="1"/>
  <c r="L23" i="2"/>
  <c r="L65" i="2" s="1"/>
  <c r="K23" i="2"/>
  <c r="K65" i="2" s="1"/>
  <c r="J23" i="2"/>
  <c r="J65" i="2" s="1"/>
  <c r="I23" i="2"/>
  <c r="I65" i="2" s="1"/>
  <c r="H23" i="2"/>
  <c r="G23" i="2"/>
  <c r="G65" i="2" s="1"/>
  <c r="F23" i="2"/>
  <c r="E23" i="2"/>
  <c r="E65" i="2" s="1"/>
  <c r="D23" i="2"/>
  <c r="D65" i="2" s="1"/>
  <c r="C23" i="2"/>
  <c r="C65" i="2" s="1"/>
  <c r="B23" i="2"/>
  <c r="B65" i="2" s="1"/>
  <c r="M22" i="2"/>
  <c r="M64" i="2" s="1"/>
  <c r="L22" i="2"/>
  <c r="K22" i="2"/>
  <c r="K64" i="2" s="1"/>
  <c r="J22" i="2"/>
  <c r="I22" i="2"/>
  <c r="I64" i="2" s="1"/>
  <c r="H22" i="2"/>
  <c r="H64" i="2" s="1"/>
  <c r="G22" i="2"/>
  <c r="G64" i="2" s="1"/>
  <c r="F22" i="2"/>
  <c r="F64" i="2" s="1"/>
  <c r="E22" i="2"/>
  <c r="E64" i="2" s="1"/>
  <c r="D22" i="2"/>
  <c r="C22" i="2"/>
  <c r="C64" i="2" s="1"/>
  <c r="B22" i="2"/>
  <c r="M21" i="2"/>
  <c r="M63" i="2" s="1"/>
  <c r="L21" i="2"/>
  <c r="L63" i="2" s="1"/>
  <c r="K21" i="2"/>
  <c r="K63" i="2" s="1"/>
  <c r="J21" i="2"/>
  <c r="J63" i="2" s="1"/>
  <c r="I21" i="2"/>
  <c r="I63" i="2" s="1"/>
  <c r="H21" i="2"/>
  <c r="G21" i="2"/>
  <c r="G63" i="2" s="1"/>
  <c r="F21" i="2"/>
  <c r="E21" i="2"/>
  <c r="E63" i="2" s="1"/>
  <c r="D21" i="2"/>
  <c r="D63" i="2" s="1"/>
  <c r="C21" i="2"/>
  <c r="C63" i="2" s="1"/>
  <c r="B21" i="2"/>
  <c r="B63" i="2" s="1"/>
  <c r="M20" i="2"/>
  <c r="M48" i="2" s="1"/>
  <c r="L20" i="2"/>
  <c r="K20" i="2"/>
  <c r="K34" i="2" s="1"/>
  <c r="J20" i="2"/>
  <c r="J34" i="2" s="1"/>
  <c r="I20" i="2"/>
  <c r="H20" i="2"/>
  <c r="G20" i="2"/>
  <c r="F20" i="2"/>
  <c r="E20" i="2"/>
  <c r="D20" i="2"/>
  <c r="D62" i="2" s="1"/>
  <c r="C20" i="2"/>
  <c r="C34" i="2" s="1"/>
  <c r="B20" i="2"/>
  <c r="B62" i="2" s="1"/>
  <c r="M19" i="2"/>
  <c r="M61" i="2" s="1"/>
  <c r="L19" i="2"/>
  <c r="L61" i="2" s="1"/>
  <c r="K19" i="2"/>
  <c r="K61" i="2" s="1"/>
  <c r="J19" i="2"/>
  <c r="J61" i="2" s="1"/>
  <c r="I19" i="2"/>
  <c r="I61" i="2" s="1"/>
  <c r="H19" i="2"/>
  <c r="G19" i="2"/>
  <c r="G61" i="2" s="1"/>
  <c r="F19" i="2"/>
  <c r="E19" i="2"/>
  <c r="E61" i="2" s="1"/>
  <c r="D19" i="2"/>
  <c r="D61" i="2" s="1"/>
  <c r="C19" i="2"/>
  <c r="C61" i="2" s="1"/>
  <c r="B19" i="2"/>
  <c r="B61" i="2" s="1"/>
  <c r="M18" i="2"/>
  <c r="M60" i="2" s="1"/>
  <c r="L18" i="2"/>
  <c r="K18" i="2"/>
  <c r="K60" i="2" s="1"/>
  <c r="J18" i="2"/>
  <c r="J60" i="2" s="1"/>
  <c r="I18" i="2"/>
  <c r="I60" i="2" s="1"/>
  <c r="H18" i="2"/>
  <c r="H60" i="2" s="1"/>
  <c r="G18" i="2"/>
  <c r="G60" i="2" s="1"/>
  <c r="F18" i="2"/>
  <c r="F60" i="2" s="1"/>
  <c r="E18" i="2"/>
  <c r="E60" i="2" s="1"/>
  <c r="D18" i="2"/>
  <c r="C18" i="2"/>
  <c r="C60" i="2" s="1"/>
  <c r="B18" i="2"/>
  <c r="B60" i="2" s="1"/>
  <c r="M17" i="2"/>
  <c r="M59" i="2" s="1"/>
  <c r="L17" i="2"/>
  <c r="L59" i="2" s="1"/>
  <c r="K17" i="2"/>
  <c r="K59" i="2" s="1"/>
  <c r="J17" i="2"/>
  <c r="J59" i="2" s="1"/>
  <c r="I17" i="2"/>
  <c r="I59" i="2" s="1"/>
  <c r="H17" i="2"/>
  <c r="G17" i="2"/>
  <c r="G59" i="2" s="1"/>
  <c r="F17" i="2"/>
  <c r="F59" i="2" s="1"/>
  <c r="E17" i="2"/>
  <c r="E59" i="2" s="1"/>
  <c r="D17" i="2"/>
  <c r="D59" i="2" s="1"/>
  <c r="C17" i="2"/>
  <c r="C59" i="2" s="1"/>
  <c r="B17" i="2"/>
  <c r="B59" i="2" s="1"/>
  <c r="M16" i="2"/>
  <c r="M58" i="2" s="1"/>
  <c r="L16" i="2"/>
  <c r="K16" i="2"/>
  <c r="K58" i="2" s="1"/>
  <c r="J16" i="2"/>
  <c r="J58" i="2" s="1"/>
  <c r="I16" i="2"/>
  <c r="I58" i="2" s="1"/>
  <c r="H16" i="2"/>
  <c r="H58" i="2" s="1"/>
  <c r="G16" i="2"/>
  <c r="G58" i="2" s="1"/>
  <c r="F16" i="2"/>
  <c r="F58" i="2" s="1"/>
  <c r="E16" i="2"/>
  <c r="E58" i="2" s="1"/>
  <c r="D16" i="2"/>
  <c r="C16" i="2"/>
  <c r="C58" i="2" s="1"/>
  <c r="B16" i="2"/>
  <c r="B58" i="2" s="1"/>
  <c r="B17" i="1"/>
  <c r="B45" i="1" s="1"/>
  <c r="C17" i="1"/>
  <c r="C31" i="1" s="1"/>
  <c r="D17" i="1"/>
  <c r="D59" i="1" s="1"/>
  <c r="E17" i="1"/>
  <c r="E59" i="1" s="1"/>
  <c r="F17" i="1"/>
  <c r="F45" i="1" s="1"/>
  <c r="G17" i="1"/>
  <c r="G59" i="1" s="1"/>
  <c r="H17" i="1"/>
  <c r="H45" i="1" s="1"/>
  <c r="I17" i="1"/>
  <c r="I59" i="1" s="1"/>
  <c r="J17" i="1"/>
  <c r="K17" i="1"/>
  <c r="K45" i="1" s="1"/>
  <c r="L17" i="1"/>
  <c r="M17" i="1"/>
  <c r="M31" i="1" s="1"/>
  <c r="B18" i="1"/>
  <c r="B46" i="1" s="1"/>
  <c r="C18" i="1"/>
  <c r="C32" i="1" s="1"/>
  <c r="D18" i="1"/>
  <c r="D32" i="1" s="1"/>
  <c r="E18" i="1"/>
  <c r="E32" i="1" s="1"/>
  <c r="F18" i="1"/>
  <c r="F46" i="1" s="1"/>
  <c r="G18" i="1"/>
  <c r="G60" i="1" s="1"/>
  <c r="H18" i="1"/>
  <c r="H60" i="1" s="1"/>
  <c r="I18" i="1"/>
  <c r="I46" i="1" s="1"/>
  <c r="J18" i="1"/>
  <c r="J60" i="1" s="1"/>
  <c r="K18" i="1"/>
  <c r="K46" i="1" s="1"/>
  <c r="L18" i="1"/>
  <c r="L60" i="1" s="1"/>
  <c r="M18" i="1"/>
  <c r="M60" i="1" s="1"/>
  <c r="B19" i="1"/>
  <c r="B47" i="1" s="1"/>
  <c r="C19" i="1"/>
  <c r="C47" i="1" s="1"/>
  <c r="D19" i="1"/>
  <c r="D33" i="1" s="1"/>
  <c r="E19" i="1"/>
  <c r="E33" i="1" s="1"/>
  <c r="F19" i="1"/>
  <c r="F47" i="1" s="1"/>
  <c r="G19" i="1"/>
  <c r="G33" i="1" s="1"/>
  <c r="H19" i="1"/>
  <c r="H33" i="1" s="1"/>
  <c r="I19" i="1"/>
  <c r="I47" i="1" s="1"/>
  <c r="J19" i="1"/>
  <c r="J47" i="1" s="1"/>
  <c r="K19" i="1"/>
  <c r="K61" i="1" s="1"/>
  <c r="L19" i="1"/>
  <c r="L47" i="1" s="1"/>
  <c r="M19" i="1"/>
  <c r="M47" i="1" s="1"/>
  <c r="B20" i="1"/>
  <c r="B62" i="1" s="1"/>
  <c r="C20" i="1"/>
  <c r="D20" i="1"/>
  <c r="E20" i="1"/>
  <c r="E62" i="1" s="1"/>
  <c r="F20" i="1"/>
  <c r="G20" i="1"/>
  <c r="H20" i="1"/>
  <c r="I20" i="1"/>
  <c r="J20" i="1"/>
  <c r="J34" i="1" s="1"/>
  <c r="K20" i="1"/>
  <c r="K48" i="1" s="1"/>
  <c r="L20" i="1"/>
  <c r="M20" i="1"/>
  <c r="M48" i="1" s="1"/>
  <c r="B21" i="1"/>
  <c r="B63" i="1" s="1"/>
  <c r="C21" i="1"/>
  <c r="C63" i="1" s="1"/>
  <c r="D21" i="1"/>
  <c r="D63" i="1" s="1"/>
  <c r="E21" i="1"/>
  <c r="E63" i="1" s="1"/>
  <c r="F21" i="1"/>
  <c r="F49" i="1" s="1"/>
  <c r="G21" i="1"/>
  <c r="G63" i="1" s="1"/>
  <c r="H21" i="1"/>
  <c r="H35" i="1" s="1"/>
  <c r="I21" i="1"/>
  <c r="I49" i="1" s="1"/>
  <c r="J21" i="1"/>
  <c r="J35" i="1" s="1"/>
  <c r="K21" i="1"/>
  <c r="K35" i="1" s="1"/>
  <c r="L21" i="1"/>
  <c r="L49" i="1" s="1"/>
  <c r="M21" i="1"/>
  <c r="M35" i="1" s="1"/>
  <c r="B22" i="1"/>
  <c r="B50" i="1" s="1"/>
  <c r="C22" i="1"/>
  <c r="C50" i="1" s="1"/>
  <c r="D22" i="1"/>
  <c r="D50" i="1" s="1"/>
  <c r="E22" i="1"/>
  <c r="E64" i="1" s="1"/>
  <c r="F22" i="1"/>
  <c r="F50" i="1" s="1"/>
  <c r="G22" i="1"/>
  <c r="G64" i="1" s="1"/>
  <c r="H22" i="1"/>
  <c r="H64" i="1" s="1"/>
  <c r="I22" i="1"/>
  <c r="I64" i="1" s="1"/>
  <c r="J22" i="1"/>
  <c r="J36" i="1" s="1"/>
  <c r="K22" i="1"/>
  <c r="K36" i="1" s="1"/>
  <c r="L22" i="1"/>
  <c r="L50" i="1" s="1"/>
  <c r="M22" i="1"/>
  <c r="M50" i="1" s="1"/>
  <c r="B23" i="1"/>
  <c r="B37" i="1" s="1"/>
  <c r="C23" i="1"/>
  <c r="C51" i="1" s="1"/>
  <c r="D23" i="1"/>
  <c r="D51" i="1" s="1"/>
  <c r="E23" i="1"/>
  <c r="E51" i="1" s="1"/>
  <c r="F23" i="1"/>
  <c r="F37" i="1" s="1"/>
  <c r="G23" i="1"/>
  <c r="G51" i="1" s="1"/>
  <c r="H23" i="1"/>
  <c r="H51" i="1" s="1"/>
  <c r="I23" i="1"/>
  <c r="I51" i="1" s="1"/>
  <c r="J23" i="1"/>
  <c r="J65" i="1" s="1"/>
  <c r="K23" i="1"/>
  <c r="K65" i="1" s="1"/>
  <c r="L23" i="1"/>
  <c r="L37" i="1" s="1"/>
  <c r="M23" i="1"/>
  <c r="M65" i="1" s="1"/>
  <c r="L52" i="1"/>
  <c r="B25" i="1"/>
  <c r="B67" i="1" s="1"/>
  <c r="C25" i="1"/>
  <c r="C39" i="1" s="1"/>
  <c r="D25" i="1"/>
  <c r="D53" i="1" s="1"/>
  <c r="E25" i="1"/>
  <c r="E53" i="1" s="1"/>
  <c r="F25" i="1"/>
  <c r="F53" i="1" s="1"/>
  <c r="G25" i="1"/>
  <c r="G53" i="1" s="1"/>
  <c r="H25" i="1"/>
  <c r="H67" i="1" s="1"/>
  <c r="I25" i="1"/>
  <c r="I53" i="1" s="1"/>
  <c r="J25" i="1"/>
  <c r="J53" i="1" s="1"/>
  <c r="K25" i="1"/>
  <c r="K53" i="1" s="1"/>
  <c r="L25" i="1"/>
  <c r="L53" i="1" s="1"/>
  <c r="M25" i="1"/>
  <c r="M53" i="1" s="1"/>
  <c r="B26" i="1"/>
  <c r="B68" i="1" s="1"/>
  <c r="C26" i="1"/>
  <c r="C54" i="1" s="1"/>
  <c r="D26" i="1"/>
  <c r="D54" i="1" s="1"/>
  <c r="E26" i="1"/>
  <c r="E68" i="1" s="1"/>
  <c r="F26" i="1"/>
  <c r="F54" i="1" s="1"/>
  <c r="G26" i="1"/>
  <c r="G54" i="1" s="1"/>
  <c r="H26" i="1"/>
  <c r="H54" i="1" s="1"/>
  <c r="I26" i="1"/>
  <c r="I54" i="1" s="1"/>
  <c r="J26" i="1"/>
  <c r="J54" i="1" s="1"/>
  <c r="K26" i="1"/>
  <c r="K68" i="1" s="1"/>
  <c r="L26" i="1"/>
  <c r="L68" i="1" s="1"/>
  <c r="M26" i="1"/>
  <c r="M54" i="1" s="1"/>
  <c r="B27" i="1"/>
  <c r="B69" i="1" s="1"/>
  <c r="C27" i="1"/>
  <c r="C69" i="1" s="1"/>
  <c r="D27" i="1"/>
  <c r="D69" i="1" s="1"/>
  <c r="E27" i="1"/>
  <c r="E69" i="1" s="1"/>
  <c r="F27" i="1"/>
  <c r="G27" i="1"/>
  <c r="G41" i="1" s="1"/>
  <c r="H27" i="1"/>
  <c r="H69" i="1" s="1"/>
  <c r="I27" i="1"/>
  <c r="I69" i="1" s="1"/>
  <c r="J27" i="1"/>
  <c r="J69" i="1" s="1"/>
  <c r="K27" i="1"/>
  <c r="K41" i="1" s="1"/>
  <c r="L27" i="1"/>
  <c r="L69" i="1" s="1"/>
  <c r="M27" i="1"/>
  <c r="M41" i="1" s="1"/>
  <c r="C16" i="1"/>
  <c r="C58" i="1" s="1"/>
  <c r="D16" i="1"/>
  <c r="D58" i="1" s="1"/>
  <c r="E16" i="1"/>
  <c r="E58" i="1" s="1"/>
  <c r="F16" i="1"/>
  <c r="F58" i="1" s="1"/>
  <c r="G16" i="1"/>
  <c r="H16" i="1"/>
  <c r="H58" i="1" s="1"/>
  <c r="I16" i="1"/>
  <c r="I58" i="1" s="1"/>
  <c r="J16" i="1"/>
  <c r="J44" i="1" s="1"/>
  <c r="K16" i="1"/>
  <c r="L16" i="1"/>
  <c r="L30" i="1" s="1"/>
  <c r="M16" i="1"/>
  <c r="M30" i="1" s="1"/>
  <c r="B16" i="1"/>
  <c r="B58" i="1" s="1"/>
  <c r="F34" i="8" l="1"/>
  <c r="C34" i="13"/>
  <c r="B34" i="27"/>
  <c r="B34" i="4"/>
  <c r="B62" i="13"/>
  <c r="J37" i="1"/>
  <c r="E48" i="26"/>
  <c r="L54" i="1"/>
  <c r="J52" i="1"/>
  <c r="B34" i="1"/>
  <c r="D48" i="2"/>
  <c r="K47" i="1"/>
  <c r="E34" i="1"/>
  <c r="I34" i="8"/>
  <c r="E34" i="16"/>
  <c r="D62" i="37"/>
  <c r="M34" i="1"/>
  <c r="E48" i="16"/>
  <c r="E34" i="29"/>
  <c r="F62" i="5"/>
  <c r="B48" i="1"/>
  <c r="M62" i="9"/>
  <c r="H34" i="29"/>
  <c r="B48" i="19"/>
  <c r="H62" i="30"/>
  <c r="B40" i="1"/>
  <c r="E34" i="10"/>
  <c r="L40" i="1"/>
  <c r="M62" i="2"/>
  <c r="F34" i="10"/>
  <c r="E48" i="31"/>
  <c r="E48" i="11"/>
  <c r="E62" i="5"/>
  <c r="C48" i="24"/>
  <c r="G62" i="5"/>
  <c r="B62" i="37"/>
  <c r="M62" i="7"/>
  <c r="C62" i="13"/>
  <c r="C62" i="37"/>
  <c r="AO12" i="42"/>
  <c r="B62" i="21"/>
  <c r="D34" i="4"/>
  <c r="E62" i="31"/>
  <c r="AO11" i="42"/>
  <c r="E48" i="1"/>
  <c r="D34" i="3"/>
  <c r="E34" i="4"/>
  <c r="F34" i="6"/>
  <c r="H48" i="8"/>
  <c r="E48" i="10"/>
  <c r="K34" i="20"/>
  <c r="B48" i="32"/>
  <c r="B34" i="38"/>
  <c r="J48" i="1"/>
  <c r="E34" i="3"/>
  <c r="E48" i="4"/>
  <c r="I48" i="8"/>
  <c r="F48" i="10"/>
  <c r="H34" i="25"/>
  <c r="B48" i="27"/>
  <c r="E48" i="29"/>
  <c r="H48" i="28"/>
  <c r="C48" i="3"/>
  <c r="C62" i="4"/>
  <c r="F48" i="6"/>
  <c r="K48" i="10"/>
  <c r="E62" i="11"/>
  <c r="H62" i="29"/>
  <c r="B62" i="32"/>
  <c r="H34" i="36"/>
  <c r="C34" i="3"/>
  <c r="AG15" i="42"/>
  <c r="J62" i="1"/>
  <c r="D48" i="3"/>
  <c r="D62" i="4"/>
  <c r="L48" i="10"/>
  <c r="F48" i="14"/>
  <c r="G48" i="17"/>
  <c r="K48" i="20"/>
  <c r="B34" i="23"/>
  <c r="H34" i="39"/>
  <c r="E48" i="3"/>
  <c r="I34" i="7"/>
  <c r="G62" i="10"/>
  <c r="E48" i="12"/>
  <c r="E62" i="14"/>
  <c r="H48" i="17"/>
  <c r="D34" i="23"/>
  <c r="H48" i="25"/>
  <c r="I62" i="33"/>
  <c r="H48" i="36"/>
  <c r="G48" i="15"/>
  <c r="M62" i="3"/>
  <c r="E62" i="26"/>
  <c r="K31" i="1"/>
  <c r="D34" i="2"/>
  <c r="F48" i="3"/>
  <c r="E34" i="5"/>
  <c r="H62" i="12"/>
  <c r="F62" i="14"/>
  <c r="G34" i="18"/>
  <c r="F34" i="21"/>
  <c r="B48" i="23"/>
  <c r="H48" i="30"/>
  <c r="K62" i="33"/>
  <c r="M55" i="1"/>
  <c r="M34" i="2"/>
  <c r="F34" i="5"/>
  <c r="K62" i="10"/>
  <c r="J62" i="12"/>
  <c r="C34" i="15"/>
  <c r="G34" i="21"/>
  <c r="D48" i="23"/>
  <c r="G34" i="26"/>
  <c r="B34" i="37"/>
  <c r="B48" i="40"/>
  <c r="B48" i="2"/>
  <c r="K62" i="3"/>
  <c r="G34" i="5"/>
  <c r="M34" i="7"/>
  <c r="L62" i="10"/>
  <c r="B34" i="13"/>
  <c r="E62" i="18"/>
  <c r="F48" i="21"/>
  <c r="H34" i="28"/>
  <c r="C34" i="37"/>
  <c r="G62" i="2"/>
  <c r="G48" i="2"/>
  <c r="G34" i="2"/>
  <c r="H48" i="22"/>
  <c r="H62" i="22"/>
  <c r="D34" i="24"/>
  <c r="D62" i="24"/>
  <c r="D48" i="24"/>
  <c r="I48" i="27"/>
  <c r="I34" i="27"/>
  <c r="I62" i="27"/>
  <c r="D62" i="10"/>
  <c r="D48" i="10"/>
  <c r="D34" i="10"/>
  <c r="H48" i="21"/>
  <c r="H34" i="21"/>
  <c r="H62" i="21"/>
  <c r="I34" i="22"/>
  <c r="I48" i="22"/>
  <c r="I62" i="22"/>
  <c r="J62" i="27"/>
  <c r="J48" i="27"/>
  <c r="J34" i="27"/>
  <c r="F48" i="20"/>
  <c r="F34" i="20"/>
  <c r="F62" i="20"/>
  <c r="AG14" i="42"/>
  <c r="E48" i="19"/>
  <c r="E62" i="19"/>
  <c r="E34" i="19"/>
  <c r="M62" i="36"/>
  <c r="M48" i="36"/>
  <c r="M34" i="36"/>
  <c r="M62" i="37"/>
  <c r="M48" i="37"/>
  <c r="M34" i="37"/>
  <c r="F34" i="39"/>
  <c r="F48" i="39"/>
  <c r="F62" i="39"/>
  <c r="F48" i="40"/>
  <c r="F62" i="40"/>
  <c r="F34" i="40"/>
  <c r="D34" i="1"/>
  <c r="D62" i="1"/>
  <c r="D62" i="8"/>
  <c r="D48" i="8"/>
  <c r="D34" i="8"/>
  <c r="D62" i="9"/>
  <c r="D48" i="9"/>
  <c r="D34" i="9"/>
  <c r="G62" i="14"/>
  <c r="G34" i="14"/>
  <c r="G48" i="14"/>
  <c r="H34" i="14"/>
  <c r="H62" i="14"/>
  <c r="H48" i="14"/>
  <c r="I62" i="16"/>
  <c r="I34" i="16"/>
  <c r="I48" i="16"/>
  <c r="K34" i="17"/>
  <c r="K48" i="17"/>
  <c r="K62" i="17"/>
  <c r="B48" i="18"/>
  <c r="B34" i="18"/>
  <c r="C34" i="32"/>
  <c r="C62" i="32"/>
  <c r="F62" i="33"/>
  <c r="F34" i="33"/>
  <c r="F48" i="33"/>
  <c r="H34" i="34"/>
  <c r="H62" i="34"/>
  <c r="H48" i="34"/>
  <c r="J62" i="35"/>
  <c r="J48" i="35"/>
  <c r="J34" i="35"/>
  <c r="G62" i="15"/>
  <c r="B62" i="18"/>
  <c r="J62" i="4"/>
  <c r="J34" i="4"/>
  <c r="J48" i="4"/>
  <c r="K48" i="5"/>
  <c r="K62" i="5"/>
  <c r="K34" i="5"/>
  <c r="B48" i="6"/>
  <c r="B62" i="6"/>
  <c r="B34" i="6"/>
  <c r="B34" i="7"/>
  <c r="B62" i="7"/>
  <c r="B48" i="7"/>
  <c r="G62" i="13"/>
  <c r="G34" i="13"/>
  <c r="G48" i="13"/>
  <c r="I34" i="14"/>
  <c r="I48" i="14"/>
  <c r="I62" i="14"/>
  <c r="I48" i="15"/>
  <c r="I34" i="15"/>
  <c r="I62" i="15"/>
  <c r="J62" i="16"/>
  <c r="J48" i="16"/>
  <c r="J34" i="16"/>
  <c r="L62" i="17"/>
  <c r="L48" i="17"/>
  <c r="L34" i="17"/>
  <c r="J62" i="29"/>
  <c r="J48" i="29"/>
  <c r="J34" i="29"/>
  <c r="M62" i="30"/>
  <c r="M48" i="30"/>
  <c r="M34" i="30"/>
  <c r="M62" i="31"/>
  <c r="M48" i="31"/>
  <c r="M34" i="31"/>
  <c r="D34" i="32"/>
  <c r="D62" i="32"/>
  <c r="D48" i="32"/>
  <c r="G62" i="33"/>
  <c r="G34" i="33"/>
  <c r="G48" i="33"/>
  <c r="D48" i="1"/>
  <c r="L62" i="23"/>
  <c r="L48" i="23"/>
  <c r="L34" i="23"/>
  <c r="M62" i="23"/>
  <c r="M48" i="23"/>
  <c r="M34" i="23"/>
  <c r="D48" i="25"/>
  <c r="D62" i="25"/>
  <c r="D34" i="25"/>
  <c r="I48" i="21"/>
  <c r="I62" i="21"/>
  <c r="I34" i="21"/>
  <c r="J62" i="22"/>
  <c r="J48" i="22"/>
  <c r="J34" i="22"/>
  <c r="K62" i="36"/>
  <c r="K48" i="36"/>
  <c r="K34" i="36"/>
  <c r="D34" i="40"/>
  <c r="D62" i="40"/>
  <c r="D48" i="40"/>
  <c r="F48" i="1"/>
  <c r="F62" i="1"/>
  <c r="F34" i="1"/>
  <c r="B48" i="8"/>
  <c r="B62" i="8"/>
  <c r="B34" i="8"/>
  <c r="E48" i="40"/>
  <c r="E62" i="40"/>
  <c r="E34" i="40"/>
  <c r="G48" i="20"/>
  <c r="G34" i="20"/>
  <c r="G62" i="20"/>
  <c r="D62" i="38"/>
  <c r="D48" i="38"/>
  <c r="D34" i="38"/>
  <c r="I62" i="4"/>
  <c r="I48" i="4"/>
  <c r="I34" i="4"/>
  <c r="M34" i="6"/>
  <c r="M62" i="6"/>
  <c r="M48" i="6"/>
  <c r="D62" i="12"/>
  <c r="D48" i="12"/>
  <c r="D34" i="12"/>
  <c r="AG4" i="42"/>
  <c r="G62" i="3"/>
  <c r="G48" i="3"/>
  <c r="G34" i="3"/>
  <c r="K48" i="29"/>
  <c r="K62" i="29"/>
  <c r="K34" i="29"/>
  <c r="B62" i="30"/>
  <c r="B34" i="30"/>
  <c r="B48" i="30"/>
  <c r="E48" i="32"/>
  <c r="E34" i="32"/>
  <c r="E62" i="32"/>
  <c r="H34" i="33"/>
  <c r="H62" i="33"/>
  <c r="H48" i="33"/>
  <c r="J62" i="34"/>
  <c r="J48" i="34"/>
  <c r="J34" i="34"/>
  <c r="AG9" i="42"/>
  <c r="H62" i="3"/>
  <c r="H48" i="3"/>
  <c r="H34" i="3"/>
  <c r="M48" i="5"/>
  <c r="M62" i="5"/>
  <c r="M34" i="5"/>
  <c r="I62" i="28"/>
  <c r="I34" i="28"/>
  <c r="L62" i="29"/>
  <c r="L48" i="29"/>
  <c r="L34" i="29"/>
  <c r="C62" i="30"/>
  <c r="C34" i="30"/>
  <c r="C48" i="31"/>
  <c r="C34" i="31"/>
  <c r="C62" i="31"/>
  <c r="F48" i="32"/>
  <c r="F62" i="32"/>
  <c r="F34" i="32"/>
  <c r="J62" i="3"/>
  <c r="J34" i="3"/>
  <c r="J48" i="3"/>
  <c r="B48" i="10"/>
  <c r="B62" i="10"/>
  <c r="B34" i="10"/>
  <c r="D62" i="11"/>
  <c r="D48" i="11"/>
  <c r="D34" i="11"/>
  <c r="K62" i="28"/>
  <c r="K34" i="28"/>
  <c r="I34" i="26"/>
  <c r="I48" i="26"/>
  <c r="I62" i="26"/>
  <c r="AL15" i="42"/>
  <c r="C34" i="19"/>
  <c r="C62" i="19"/>
  <c r="C48" i="19"/>
  <c r="E48" i="20"/>
  <c r="E34" i="20"/>
  <c r="E62" i="20"/>
  <c r="K62" i="37"/>
  <c r="K34" i="37"/>
  <c r="K48" i="37"/>
  <c r="D62" i="39"/>
  <c r="D34" i="39"/>
  <c r="D48" i="39"/>
  <c r="B34" i="9"/>
  <c r="B62" i="9"/>
  <c r="K34" i="18"/>
  <c r="K62" i="18"/>
  <c r="D48" i="19"/>
  <c r="D34" i="19"/>
  <c r="D62" i="19"/>
  <c r="J62" i="21"/>
  <c r="J48" i="21"/>
  <c r="J34" i="21"/>
  <c r="E34" i="39"/>
  <c r="E48" i="39"/>
  <c r="E62" i="39"/>
  <c r="AG10" i="42"/>
  <c r="G48" i="16"/>
  <c r="G34" i="16"/>
  <c r="I62" i="17"/>
  <c r="I34" i="17"/>
  <c r="I48" i="17"/>
  <c r="L62" i="18"/>
  <c r="L48" i="18"/>
  <c r="L34" i="18"/>
  <c r="H48" i="35"/>
  <c r="H34" i="35"/>
  <c r="H62" i="35"/>
  <c r="L34" i="6"/>
  <c r="L62" i="6"/>
  <c r="L48" i="6"/>
  <c r="L62" i="7"/>
  <c r="L48" i="7"/>
  <c r="L34" i="7"/>
  <c r="H34" i="16"/>
  <c r="H62" i="16"/>
  <c r="H48" i="16"/>
  <c r="J62" i="17"/>
  <c r="J48" i="17"/>
  <c r="J34" i="17"/>
  <c r="M62" i="18"/>
  <c r="M48" i="18"/>
  <c r="M34" i="18"/>
  <c r="F34" i="19"/>
  <c r="F48" i="19"/>
  <c r="F62" i="19"/>
  <c r="H48" i="20"/>
  <c r="H62" i="20"/>
  <c r="H34" i="20"/>
  <c r="G48" i="34"/>
  <c r="G34" i="34"/>
  <c r="G62" i="34"/>
  <c r="K48" i="18"/>
  <c r="J34" i="5"/>
  <c r="J48" i="5"/>
  <c r="J62" i="5"/>
  <c r="H34" i="15"/>
  <c r="H48" i="15"/>
  <c r="H62" i="15"/>
  <c r="AO6" i="42"/>
  <c r="K48" i="4"/>
  <c r="K62" i="4"/>
  <c r="K34" i="4"/>
  <c r="L62" i="5"/>
  <c r="L48" i="5"/>
  <c r="L34" i="5"/>
  <c r="H34" i="13"/>
  <c r="H48" i="13"/>
  <c r="H62" i="13"/>
  <c r="B48" i="31"/>
  <c r="B34" i="31"/>
  <c r="B62" i="31"/>
  <c r="E62" i="2"/>
  <c r="E34" i="2"/>
  <c r="E48" i="2"/>
  <c r="L48" i="4"/>
  <c r="L62" i="4"/>
  <c r="L34" i="4"/>
  <c r="F62" i="2"/>
  <c r="F34" i="2"/>
  <c r="F48" i="2"/>
  <c r="AK5" i="42"/>
  <c r="I62" i="3"/>
  <c r="I48" i="3"/>
  <c r="I34" i="3"/>
  <c r="K48" i="23"/>
  <c r="K34" i="23"/>
  <c r="K62" i="23"/>
  <c r="B34" i="24"/>
  <c r="B62" i="24"/>
  <c r="B48" i="24"/>
  <c r="B48" i="25"/>
  <c r="B34" i="25"/>
  <c r="B62" i="25"/>
  <c r="F48" i="26"/>
  <c r="F62" i="26"/>
  <c r="F34" i="26"/>
  <c r="J62" i="28"/>
  <c r="J48" i="28"/>
  <c r="J34" i="28"/>
  <c r="M62" i="29"/>
  <c r="M48" i="29"/>
  <c r="M34" i="29"/>
  <c r="D62" i="30"/>
  <c r="D48" i="30"/>
  <c r="D34" i="30"/>
  <c r="D48" i="31"/>
  <c r="D34" i="31"/>
  <c r="D62" i="31"/>
  <c r="G62" i="16"/>
  <c r="H34" i="22"/>
  <c r="I48" i="28"/>
  <c r="M62" i="4"/>
  <c r="M34" i="4"/>
  <c r="D62" i="6"/>
  <c r="D48" i="6"/>
  <c r="D34" i="6"/>
  <c r="I34" i="13"/>
  <c r="I48" i="13"/>
  <c r="J62" i="15"/>
  <c r="J48" i="15"/>
  <c r="J34" i="15"/>
  <c r="M62" i="17"/>
  <c r="M48" i="17"/>
  <c r="M34" i="17"/>
  <c r="L62" i="21"/>
  <c r="L48" i="21"/>
  <c r="L34" i="21"/>
  <c r="K48" i="27"/>
  <c r="K34" i="27"/>
  <c r="K62" i="27"/>
  <c r="B48" i="29"/>
  <c r="B34" i="29"/>
  <c r="J62" i="33"/>
  <c r="J48" i="33"/>
  <c r="J34" i="33"/>
  <c r="G48" i="40"/>
  <c r="G62" i="40"/>
  <c r="E34" i="7"/>
  <c r="E62" i="7"/>
  <c r="H34" i="11"/>
  <c r="H48" i="11"/>
  <c r="H62" i="11"/>
  <c r="K34" i="14"/>
  <c r="K48" i="14"/>
  <c r="K62" i="14"/>
  <c r="K48" i="15"/>
  <c r="K34" i="15"/>
  <c r="K62" i="15"/>
  <c r="F62" i="30"/>
  <c r="F34" i="30"/>
  <c r="F48" i="30"/>
  <c r="F34" i="31"/>
  <c r="F62" i="31"/>
  <c r="H62" i="32"/>
  <c r="H48" i="32"/>
  <c r="H34" i="32"/>
  <c r="D34" i="36"/>
  <c r="D62" i="36"/>
  <c r="D48" i="36"/>
  <c r="F48" i="38"/>
  <c r="F34" i="38"/>
  <c r="G34" i="12"/>
  <c r="F34" i="7"/>
  <c r="F62" i="7"/>
  <c r="F48" i="7"/>
  <c r="L62" i="14"/>
  <c r="L48" i="14"/>
  <c r="L34" i="14"/>
  <c r="M62" i="16"/>
  <c r="M48" i="16"/>
  <c r="M34" i="16"/>
  <c r="C48" i="17"/>
  <c r="C62" i="17"/>
  <c r="C34" i="17"/>
  <c r="I48" i="19"/>
  <c r="I62" i="19"/>
  <c r="I34" i="19"/>
  <c r="M62" i="27"/>
  <c r="M48" i="27"/>
  <c r="M34" i="27"/>
  <c r="D48" i="29"/>
  <c r="D34" i="29"/>
  <c r="D62" i="29"/>
  <c r="I48" i="39"/>
  <c r="I62" i="39"/>
  <c r="I34" i="39"/>
  <c r="B48" i="3"/>
  <c r="B62" i="3"/>
  <c r="I62" i="10"/>
  <c r="I48" i="10"/>
  <c r="J48" i="11"/>
  <c r="J62" i="11"/>
  <c r="J34" i="11"/>
  <c r="M62" i="14"/>
  <c r="M48" i="14"/>
  <c r="M34" i="14"/>
  <c r="M62" i="15"/>
  <c r="M48" i="15"/>
  <c r="M34" i="15"/>
  <c r="B48" i="16"/>
  <c r="B34" i="16"/>
  <c r="D48" i="17"/>
  <c r="D62" i="17"/>
  <c r="D34" i="17"/>
  <c r="F34" i="18"/>
  <c r="F62" i="18"/>
  <c r="C48" i="21"/>
  <c r="C34" i="21"/>
  <c r="C62" i="21"/>
  <c r="C62" i="22"/>
  <c r="C34" i="22"/>
  <c r="F34" i="23"/>
  <c r="F48" i="23"/>
  <c r="F62" i="23"/>
  <c r="I62" i="24"/>
  <c r="I34" i="24"/>
  <c r="I48" i="24"/>
  <c r="I62" i="25"/>
  <c r="I48" i="25"/>
  <c r="M62" i="26"/>
  <c r="M48" i="26"/>
  <c r="M34" i="26"/>
  <c r="C34" i="28"/>
  <c r="C48" i="28"/>
  <c r="C62" i="28"/>
  <c r="M62" i="33"/>
  <c r="M48" i="33"/>
  <c r="M34" i="33"/>
  <c r="B62" i="34"/>
  <c r="B48" i="34"/>
  <c r="C48" i="35"/>
  <c r="C34" i="35"/>
  <c r="F48" i="36"/>
  <c r="F34" i="36"/>
  <c r="F62" i="36"/>
  <c r="F62" i="37"/>
  <c r="F48" i="37"/>
  <c r="F34" i="37"/>
  <c r="H34" i="38"/>
  <c r="H48" i="38"/>
  <c r="J62" i="39"/>
  <c r="J48" i="39"/>
  <c r="J34" i="39"/>
  <c r="J62" i="40"/>
  <c r="J48" i="40"/>
  <c r="J34" i="40"/>
  <c r="K48" i="2"/>
  <c r="H62" i="8"/>
  <c r="F48" i="31"/>
  <c r="E34" i="38"/>
  <c r="K52" i="1"/>
  <c r="AL11" i="42"/>
  <c r="J45" i="1"/>
  <c r="J31" i="1"/>
  <c r="J46" i="1"/>
  <c r="L34" i="2"/>
  <c r="L48" i="2"/>
  <c r="H34" i="6"/>
  <c r="H62" i="6"/>
  <c r="H34" i="7"/>
  <c r="H48" i="7"/>
  <c r="J48" i="8"/>
  <c r="J34" i="8"/>
  <c r="J48" i="9"/>
  <c r="J62" i="9"/>
  <c r="J34" i="9"/>
  <c r="J34" i="10"/>
  <c r="J48" i="10"/>
  <c r="K62" i="11"/>
  <c r="K34" i="11"/>
  <c r="K62" i="12"/>
  <c r="K34" i="12"/>
  <c r="K48" i="12"/>
  <c r="M62" i="13"/>
  <c r="M48" i="13"/>
  <c r="M34" i="13"/>
  <c r="B62" i="14"/>
  <c r="B48" i="14"/>
  <c r="B34" i="14"/>
  <c r="B62" i="15"/>
  <c r="B48" i="15"/>
  <c r="M62" i="20"/>
  <c r="M48" i="20"/>
  <c r="M34" i="20"/>
  <c r="D48" i="21"/>
  <c r="D34" i="21"/>
  <c r="D62" i="21"/>
  <c r="D62" i="22"/>
  <c r="D34" i="22"/>
  <c r="G34" i="23"/>
  <c r="G62" i="23"/>
  <c r="J62" i="24"/>
  <c r="J48" i="24"/>
  <c r="J34" i="24"/>
  <c r="J62" i="25"/>
  <c r="J48" i="25"/>
  <c r="J34" i="25"/>
  <c r="B62" i="26"/>
  <c r="B34" i="26"/>
  <c r="C48" i="27"/>
  <c r="C62" i="27"/>
  <c r="D34" i="28"/>
  <c r="D48" i="28"/>
  <c r="D62" i="28"/>
  <c r="F62" i="29"/>
  <c r="F34" i="29"/>
  <c r="I34" i="30"/>
  <c r="I62" i="30"/>
  <c r="I48" i="31"/>
  <c r="I62" i="31"/>
  <c r="I34" i="31"/>
  <c r="K62" i="32"/>
  <c r="K48" i="32"/>
  <c r="K34" i="32"/>
  <c r="B48" i="33"/>
  <c r="B62" i="33"/>
  <c r="C62" i="34"/>
  <c r="C48" i="34"/>
  <c r="C34" i="34"/>
  <c r="D34" i="35"/>
  <c r="D48" i="35"/>
  <c r="G48" i="36"/>
  <c r="G34" i="36"/>
  <c r="G62" i="36"/>
  <c r="G62" i="37"/>
  <c r="G48" i="37"/>
  <c r="G34" i="37"/>
  <c r="I34" i="38"/>
  <c r="I48" i="38"/>
  <c r="K48" i="39"/>
  <c r="K62" i="39"/>
  <c r="K34" i="39"/>
  <c r="K62" i="40"/>
  <c r="K34" i="40"/>
  <c r="K48" i="40"/>
  <c r="K62" i="1"/>
  <c r="J62" i="2"/>
  <c r="H62" i="7"/>
  <c r="J34" i="12"/>
  <c r="B34" i="15"/>
  <c r="B62" i="19"/>
  <c r="F48" i="29"/>
  <c r="E62" i="38"/>
  <c r="H62" i="2"/>
  <c r="H48" i="2"/>
  <c r="H34" i="2"/>
  <c r="G34" i="11"/>
  <c r="G62" i="11"/>
  <c r="G34" i="19"/>
  <c r="G62" i="19"/>
  <c r="J62" i="26"/>
  <c r="J48" i="26"/>
  <c r="J34" i="26"/>
  <c r="AD15" i="42"/>
  <c r="B48" i="17"/>
  <c r="B34" i="17"/>
  <c r="G48" i="24"/>
  <c r="G62" i="24"/>
  <c r="G34" i="24"/>
  <c r="G62" i="25"/>
  <c r="G48" i="25"/>
  <c r="L62" i="27"/>
  <c r="L48" i="27"/>
  <c r="L34" i="27"/>
  <c r="M62" i="35"/>
  <c r="M48" i="35"/>
  <c r="M34" i="35"/>
  <c r="L36" i="1"/>
  <c r="L64" i="1"/>
  <c r="L62" i="1"/>
  <c r="L48" i="1"/>
  <c r="L59" i="1"/>
  <c r="L31" i="1"/>
  <c r="I62" i="12"/>
  <c r="I48" i="12"/>
  <c r="K48" i="13"/>
  <c r="K34" i="13"/>
  <c r="L62" i="15"/>
  <c r="L48" i="15"/>
  <c r="L34" i="15"/>
  <c r="H62" i="24"/>
  <c r="H34" i="24"/>
  <c r="L62" i="26"/>
  <c r="L48" i="26"/>
  <c r="L34" i="26"/>
  <c r="G48" i="38"/>
  <c r="G34" i="38"/>
  <c r="B62" i="17"/>
  <c r="H62" i="39"/>
  <c r="L46" i="1"/>
  <c r="G34" i="7"/>
  <c r="G48" i="7"/>
  <c r="I48" i="9"/>
  <c r="I62" i="9"/>
  <c r="I34" i="9"/>
  <c r="L62" i="13"/>
  <c r="L48" i="13"/>
  <c r="L34" i="13"/>
  <c r="K58" i="1"/>
  <c r="K44" i="1"/>
  <c r="J66" i="1"/>
  <c r="AK10" i="42"/>
  <c r="I62" i="1"/>
  <c r="I48" i="1"/>
  <c r="I34" i="1"/>
  <c r="I48" i="6"/>
  <c r="I34" i="6"/>
  <c r="I62" i="6"/>
  <c r="J54" i="6"/>
  <c r="J68" i="6"/>
  <c r="L62" i="11"/>
  <c r="L34" i="11"/>
  <c r="L62" i="12"/>
  <c r="L34" i="12"/>
  <c r="L48" i="12"/>
  <c r="F62" i="17"/>
  <c r="F34" i="17"/>
  <c r="E34" i="22"/>
  <c r="E62" i="22"/>
  <c r="H34" i="23"/>
  <c r="H62" i="23"/>
  <c r="H48" i="23"/>
  <c r="K62" i="24"/>
  <c r="K34" i="24"/>
  <c r="K48" i="24"/>
  <c r="C62" i="26"/>
  <c r="C34" i="26"/>
  <c r="J62" i="30"/>
  <c r="J48" i="30"/>
  <c r="J34" i="30"/>
  <c r="J62" i="31"/>
  <c r="J48" i="31"/>
  <c r="J34" i="31"/>
  <c r="L62" i="32"/>
  <c r="L48" i="32"/>
  <c r="L34" i="32"/>
  <c r="C48" i="33"/>
  <c r="C62" i="33"/>
  <c r="C34" i="33"/>
  <c r="D62" i="34"/>
  <c r="D48" i="34"/>
  <c r="D34" i="34"/>
  <c r="E34" i="35"/>
  <c r="E48" i="35"/>
  <c r="K62" i="2"/>
  <c r="K48" i="3"/>
  <c r="I62" i="7"/>
  <c r="G34" i="10"/>
  <c r="B62" i="29"/>
  <c r="B34" i="35"/>
  <c r="F62" i="38"/>
  <c r="G34" i="40"/>
  <c r="AK15" i="42"/>
  <c r="H62" i="1"/>
  <c r="H48" i="1"/>
  <c r="H34" i="1"/>
  <c r="M37" i="1"/>
  <c r="G62" i="4"/>
  <c r="G48" i="4"/>
  <c r="G34" i="4"/>
  <c r="H34" i="5"/>
  <c r="H48" i="5"/>
  <c r="J48" i="6"/>
  <c r="J34" i="6"/>
  <c r="J62" i="6"/>
  <c r="J48" i="7"/>
  <c r="J62" i="7"/>
  <c r="L34" i="8"/>
  <c r="L48" i="8"/>
  <c r="L62" i="8"/>
  <c r="L62" i="9"/>
  <c r="L48" i="9"/>
  <c r="M34" i="11"/>
  <c r="M62" i="11"/>
  <c r="M34" i="12"/>
  <c r="M62" i="12"/>
  <c r="M48" i="12"/>
  <c r="D62" i="14"/>
  <c r="D34" i="14"/>
  <c r="D48" i="14"/>
  <c r="D62" i="15"/>
  <c r="D34" i="15"/>
  <c r="I34" i="18"/>
  <c r="I62" i="18"/>
  <c r="M62" i="19"/>
  <c r="M48" i="19"/>
  <c r="M34" i="19"/>
  <c r="C34" i="20"/>
  <c r="C62" i="20"/>
  <c r="F34" i="22"/>
  <c r="F62" i="22"/>
  <c r="I48" i="23"/>
  <c r="I34" i="23"/>
  <c r="L62" i="24"/>
  <c r="L48" i="24"/>
  <c r="L34" i="24"/>
  <c r="L62" i="25"/>
  <c r="L48" i="25"/>
  <c r="L34" i="25"/>
  <c r="D62" i="26"/>
  <c r="D34" i="26"/>
  <c r="D48" i="26"/>
  <c r="F48" i="28"/>
  <c r="F62" i="28"/>
  <c r="F34" i="28"/>
  <c r="K34" i="30"/>
  <c r="K62" i="30"/>
  <c r="K48" i="31"/>
  <c r="K62" i="31"/>
  <c r="K34" i="31"/>
  <c r="M62" i="32"/>
  <c r="M48" i="32"/>
  <c r="M34" i="32"/>
  <c r="D48" i="33"/>
  <c r="D62" i="33"/>
  <c r="D34" i="33"/>
  <c r="E48" i="34"/>
  <c r="E34" i="34"/>
  <c r="F34" i="35"/>
  <c r="F48" i="35"/>
  <c r="I62" i="36"/>
  <c r="I34" i="36"/>
  <c r="I62" i="37"/>
  <c r="I34" i="37"/>
  <c r="I48" i="37"/>
  <c r="K34" i="38"/>
  <c r="K62" i="38"/>
  <c r="K48" i="38"/>
  <c r="K34" i="1"/>
  <c r="B34" i="2"/>
  <c r="L62" i="2"/>
  <c r="M48" i="3"/>
  <c r="M48" i="4"/>
  <c r="L34" i="9"/>
  <c r="I34" i="10"/>
  <c r="G48" i="11"/>
  <c r="H48" i="12"/>
  <c r="D48" i="15"/>
  <c r="B62" i="16"/>
  <c r="F48" i="18"/>
  <c r="G48" i="21"/>
  <c r="B62" i="35"/>
  <c r="G62" i="38"/>
  <c r="B34" i="5"/>
  <c r="B62" i="5"/>
  <c r="J62" i="14"/>
  <c r="J48" i="14"/>
  <c r="J34" i="14"/>
  <c r="K62" i="16"/>
  <c r="K34" i="16"/>
  <c r="C62" i="18"/>
  <c r="C48" i="18"/>
  <c r="C34" i="18"/>
  <c r="L62" i="22"/>
  <c r="L48" i="22"/>
  <c r="L34" i="22"/>
  <c r="C62" i="23"/>
  <c r="C48" i="23"/>
  <c r="L62" i="28"/>
  <c r="L48" i="28"/>
  <c r="L34" i="28"/>
  <c r="G34" i="39"/>
  <c r="G62" i="39"/>
  <c r="G48" i="39"/>
  <c r="AD13" i="42"/>
  <c r="I62" i="2"/>
  <c r="I48" i="2"/>
  <c r="I34" i="2"/>
  <c r="L34" i="3"/>
  <c r="L48" i="3"/>
  <c r="G34" i="8"/>
  <c r="G48" i="8"/>
  <c r="G34" i="9"/>
  <c r="G62" i="9"/>
  <c r="J62" i="13"/>
  <c r="J48" i="13"/>
  <c r="L62" i="16"/>
  <c r="L48" i="16"/>
  <c r="L34" i="16"/>
  <c r="D62" i="18"/>
  <c r="D48" i="18"/>
  <c r="D34" i="18"/>
  <c r="J62" i="20"/>
  <c r="J48" i="20"/>
  <c r="J34" i="20"/>
  <c r="K34" i="26"/>
  <c r="K48" i="26"/>
  <c r="K62" i="26"/>
  <c r="M62" i="28"/>
  <c r="M48" i="28"/>
  <c r="M34" i="28"/>
  <c r="C48" i="29"/>
  <c r="C34" i="29"/>
  <c r="C62" i="29"/>
  <c r="H62" i="40"/>
  <c r="H34" i="40"/>
  <c r="H48" i="40"/>
  <c r="J34" i="13"/>
  <c r="D34" i="5"/>
  <c r="D48" i="5"/>
  <c r="H34" i="9"/>
  <c r="H48" i="9"/>
  <c r="H62" i="9"/>
  <c r="H62" i="10"/>
  <c r="H34" i="10"/>
  <c r="H48" i="10"/>
  <c r="I48" i="11"/>
  <c r="I62" i="11"/>
  <c r="I34" i="11"/>
  <c r="B34" i="28"/>
  <c r="B48" i="28"/>
  <c r="M62" i="34"/>
  <c r="M48" i="34"/>
  <c r="M34" i="34"/>
  <c r="E48" i="36"/>
  <c r="E34" i="36"/>
  <c r="E62" i="37"/>
  <c r="E48" i="37"/>
  <c r="I62" i="40"/>
  <c r="I34" i="40"/>
  <c r="I48" i="40"/>
  <c r="J48" i="2"/>
  <c r="E48" i="7"/>
  <c r="G48" i="19"/>
  <c r="L39" i="1"/>
  <c r="G48" i="6"/>
  <c r="G34" i="6"/>
  <c r="K34" i="8"/>
  <c r="K62" i="8"/>
  <c r="K62" i="9"/>
  <c r="K34" i="9"/>
  <c r="D34" i="16"/>
  <c r="D62" i="16"/>
  <c r="D48" i="16"/>
  <c r="L62" i="19"/>
  <c r="L48" i="19"/>
  <c r="L34" i="19"/>
  <c r="B34" i="20"/>
  <c r="B62" i="20"/>
  <c r="E34" i="21"/>
  <c r="E62" i="21"/>
  <c r="K48" i="25"/>
  <c r="K62" i="25"/>
  <c r="D48" i="27"/>
  <c r="D34" i="27"/>
  <c r="D62" i="27"/>
  <c r="H62" i="37"/>
  <c r="H34" i="37"/>
  <c r="H48" i="37"/>
  <c r="J62" i="38"/>
  <c r="J48" i="38"/>
  <c r="J34" i="38"/>
  <c r="M62" i="1"/>
  <c r="G62" i="1"/>
  <c r="G48" i="1"/>
  <c r="G34" i="1"/>
  <c r="K37" i="1"/>
  <c r="H62" i="4"/>
  <c r="H48" i="4"/>
  <c r="H34" i="4"/>
  <c r="I34" i="5"/>
  <c r="I48" i="5"/>
  <c r="I62" i="5"/>
  <c r="K34" i="6"/>
  <c r="K62" i="6"/>
  <c r="K62" i="7"/>
  <c r="K48" i="7"/>
  <c r="M34" i="8"/>
  <c r="M48" i="8"/>
  <c r="M62" i="8"/>
  <c r="M34" i="10"/>
  <c r="M48" i="10"/>
  <c r="B48" i="11"/>
  <c r="B34" i="11"/>
  <c r="B48" i="12"/>
  <c r="B62" i="12"/>
  <c r="B34" i="12"/>
  <c r="D34" i="13"/>
  <c r="D48" i="13"/>
  <c r="J62" i="18"/>
  <c r="J48" i="18"/>
  <c r="J34" i="18"/>
  <c r="D34" i="20"/>
  <c r="D48" i="20"/>
  <c r="G62" i="22"/>
  <c r="G48" i="22"/>
  <c r="J62" i="23"/>
  <c r="J48" i="23"/>
  <c r="J34" i="23"/>
  <c r="M62" i="24"/>
  <c r="M48" i="24"/>
  <c r="M34" i="24"/>
  <c r="M62" i="25"/>
  <c r="M48" i="25"/>
  <c r="M34" i="25"/>
  <c r="F34" i="27"/>
  <c r="F62" i="27"/>
  <c r="I48" i="29"/>
  <c r="I62" i="29"/>
  <c r="L62" i="30"/>
  <c r="L48" i="30"/>
  <c r="L34" i="30"/>
  <c r="L62" i="31"/>
  <c r="L48" i="31"/>
  <c r="L34" i="31"/>
  <c r="E62" i="33"/>
  <c r="E34" i="33"/>
  <c r="F48" i="34"/>
  <c r="F34" i="34"/>
  <c r="G34" i="35"/>
  <c r="G48" i="35"/>
  <c r="G62" i="35"/>
  <c r="J62" i="36"/>
  <c r="J48" i="36"/>
  <c r="J34" i="36"/>
  <c r="J62" i="37"/>
  <c r="J48" i="37"/>
  <c r="J34" i="37"/>
  <c r="L34" i="1"/>
  <c r="B62" i="4"/>
  <c r="G62" i="6"/>
  <c r="M34" i="9"/>
  <c r="K48" i="11"/>
  <c r="G62" i="12"/>
  <c r="I62" i="13"/>
  <c r="I48" i="18"/>
  <c r="G34" i="25"/>
  <c r="C62" i="35"/>
  <c r="D34" i="37"/>
  <c r="H62" i="38"/>
  <c r="C62" i="5"/>
  <c r="C48" i="5"/>
  <c r="C34" i="5"/>
  <c r="C62" i="6"/>
  <c r="C48" i="6"/>
  <c r="C34" i="6"/>
  <c r="C62" i="8"/>
  <c r="C48" i="8"/>
  <c r="C34" i="8"/>
  <c r="C62" i="9"/>
  <c r="C48" i="9"/>
  <c r="C34" i="9"/>
  <c r="C62" i="10"/>
  <c r="C48" i="10"/>
  <c r="C34" i="10"/>
  <c r="C62" i="11"/>
  <c r="C48" i="11"/>
  <c r="C34" i="11"/>
  <c r="C62" i="12"/>
  <c r="C48" i="12"/>
  <c r="C34" i="12"/>
  <c r="C62" i="14"/>
  <c r="C34" i="14"/>
  <c r="C34" i="16"/>
  <c r="C48" i="16"/>
  <c r="E62" i="17"/>
  <c r="E34" i="17"/>
  <c r="H62" i="19"/>
  <c r="H34" i="19"/>
  <c r="I62" i="20"/>
  <c r="I48" i="20"/>
  <c r="K48" i="21"/>
  <c r="K34" i="21"/>
  <c r="K34" i="22"/>
  <c r="K48" i="22"/>
  <c r="C48" i="25"/>
  <c r="C62" i="25"/>
  <c r="C34" i="25"/>
  <c r="E34" i="27"/>
  <c r="E62" i="27"/>
  <c r="E62" i="30"/>
  <c r="E34" i="30"/>
  <c r="G48" i="32"/>
  <c r="G62" i="32"/>
  <c r="G34" i="32"/>
  <c r="I34" i="34"/>
  <c r="I62" i="34"/>
  <c r="I48" i="35"/>
  <c r="I62" i="35"/>
  <c r="I34" i="35"/>
  <c r="L62" i="36"/>
  <c r="L48" i="36"/>
  <c r="L34" i="36"/>
  <c r="L62" i="37"/>
  <c r="L48" i="37"/>
  <c r="L34" i="37"/>
  <c r="L62" i="38"/>
  <c r="L48" i="38"/>
  <c r="L34" i="38"/>
  <c r="L62" i="39"/>
  <c r="L48" i="39"/>
  <c r="L34" i="39"/>
  <c r="L62" i="40"/>
  <c r="L48" i="40"/>
  <c r="L34" i="40"/>
  <c r="G62" i="18"/>
  <c r="G62" i="26"/>
  <c r="E62" i="28"/>
  <c r="B48" i="38"/>
  <c r="M62" i="40"/>
  <c r="M48" i="40"/>
  <c r="M34" i="40"/>
  <c r="C48" i="2"/>
  <c r="C62" i="2"/>
  <c r="E62" i="6"/>
  <c r="E34" i="6"/>
  <c r="C62" i="7"/>
  <c r="C48" i="7"/>
  <c r="C34" i="7"/>
  <c r="E62" i="8"/>
  <c r="E34" i="8"/>
  <c r="E62" i="9"/>
  <c r="E34" i="9"/>
  <c r="E34" i="13"/>
  <c r="E48" i="13"/>
  <c r="E62" i="15"/>
  <c r="E34" i="15"/>
  <c r="J62" i="19"/>
  <c r="J48" i="19"/>
  <c r="J34" i="19"/>
  <c r="M62" i="21"/>
  <c r="M48" i="21"/>
  <c r="M34" i="21"/>
  <c r="M62" i="22"/>
  <c r="M48" i="22"/>
  <c r="M34" i="22"/>
  <c r="E48" i="24"/>
  <c r="E62" i="24"/>
  <c r="E62" i="25"/>
  <c r="E48" i="25"/>
  <c r="G34" i="27"/>
  <c r="G62" i="27"/>
  <c r="G48" i="28"/>
  <c r="G62" i="28"/>
  <c r="G34" i="28"/>
  <c r="G62" i="29"/>
  <c r="G48" i="29"/>
  <c r="G62" i="30"/>
  <c r="G34" i="30"/>
  <c r="G48" i="30"/>
  <c r="G34" i="31"/>
  <c r="G62" i="31"/>
  <c r="I62" i="32"/>
  <c r="I48" i="32"/>
  <c r="K34" i="34"/>
  <c r="K62" i="34"/>
  <c r="K48" i="35"/>
  <c r="K62" i="35"/>
  <c r="K34" i="35"/>
  <c r="B34" i="36"/>
  <c r="B62" i="36"/>
  <c r="B62" i="39"/>
  <c r="B34" i="39"/>
  <c r="F62" i="3"/>
  <c r="F48" i="8"/>
  <c r="G34" i="17"/>
  <c r="E34" i="18"/>
  <c r="C62" i="24"/>
  <c r="I34" i="32"/>
  <c r="I34" i="33"/>
  <c r="M62" i="38"/>
  <c r="M48" i="38"/>
  <c r="M34" i="38"/>
  <c r="M62" i="39"/>
  <c r="M48" i="39"/>
  <c r="M34" i="39"/>
  <c r="C34" i="1"/>
  <c r="C48" i="1"/>
  <c r="F34" i="4"/>
  <c r="F48" i="4"/>
  <c r="D62" i="7"/>
  <c r="D48" i="7"/>
  <c r="D34" i="7"/>
  <c r="F34" i="9"/>
  <c r="F62" i="9"/>
  <c r="F34" i="11"/>
  <c r="F62" i="11"/>
  <c r="F62" i="12"/>
  <c r="F48" i="12"/>
  <c r="F48" i="13"/>
  <c r="F62" i="13"/>
  <c r="F34" i="15"/>
  <c r="F48" i="15"/>
  <c r="F48" i="16"/>
  <c r="F62" i="16"/>
  <c r="H62" i="18"/>
  <c r="H48" i="18"/>
  <c r="K48" i="19"/>
  <c r="K62" i="19"/>
  <c r="L62" i="20"/>
  <c r="L48" i="20"/>
  <c r="L34" i="20"/>
  <c r="B62" i="22"/>
  <c r="B34" i="22"/>
  <c r="E62" i="23"/>
  <c r="E34" i="23"/>
  <c r="E48" i="23"/>
  <c r="F48" i="24"/>
  <c r="F62" i="24"/>
  <c r="F34" i="24"/>
  <c r="F62" i="25"/>
  <c r="F48" i="25"/>
  <c r="H34" i="26"/>
  <c r="H48" i="26"/>
  <c r="H48" i="27"/>
  <c r="H34" i="27"/>
  <c r="H48" i="31"/>
  <c r="H62" i="31"/>
  <c r="J62" i="32"/>
  <c r="J48" i="32"/>
  <c r="J34" i="32"/>
  <c r="L62" i="33"/>
  <c r="L48" i="33"/>
  <c r="L34" i="33"/>
  <c r="L62" i="34"/>
  <c r="L48" i="34"/>
  <c r="L34" i="34"/>
  <c r="L62" i="35"/>
  <c r="L48" i="35"/>
  <c r="L34" i="35"/>
  <c r="C34" i="36"/>
  <c r="C62" i="36"/>
  <c r="C62" i="38"/>
  <c r="C48" i="38"/>
  <c r="C62" i="39"/>
  <c r="C34" i="39"/>
  <c r="C34" i="40"/>
  <c r="C62" i="40"/>
  <c r="C62" i="1"/>
  <c r="C48" i="4"/>
  <c r="E34" i="12"/>
  <c r="E48" i="14"/>
  <c r="C48" i="15"/>
  <c r="H34" i="17"/>
  <c r="B34" i="21"/>
  <c r="K62" i="21"/>
  <c r="K62" i="22"/>
  <c r="E34" i="28"/>
  <c r="G34" i="29"/>
  <c r="H34" i="31"/>
  <c r="K34" i="33"/>
  <c r="B62" i="40"/>
  <c r="C53" i="1"/>
  <c r="J68" i="5"/>
  <c r="G35" i="1"/>
  <c r="M67" i="1"/>
  <c r="AO13" i="42" s="1"/>
  <c r="B32" i="1"/>
  <c r="B51" i="1"/>
  <c r="K66" i="1"/>
  <c r="C68" i="1"/>
  <c r="F35" i="1"/>
  <c r="M40" i="1"/>
  <c r="C33" i="1"/>
  <c r="J68" i="12"/>
  <c r="F32" i="1"/>
  <c r="F67" i="13"/>
  <c r="J40" i="1"/>
  <c r="B68" i="12"/>
  <c r="F40" i="1"/>
  <c r="M33" i="1"/>
  <c r="I31" i="1"/>
  <c r="M49" i="1"/>
  <c r="I45" i="1"/>
  <c r="H61" i="1"/>
  <c r="B40" i="6"/>
  <c r="I61" i="1"/>
  <c r="AK7" i="42" s="1"/>
  <c r="I37" i="1"/>
  <c r="H50" i="1"/>
  <c r="H46" i="1"/>
  <c r="D40" i="1"/>
  <c r="L33" i="1"/>
  <c r="J30" i="1"/>
  <c r="F60" i="1"/>
  <c r="C40" i="1"/>
  <c r="H37" i="1"/>
  <c r="I33" i="1"/>
  <c r="I30" i="1"/>
  <c r="B53" i="1"/>
  <c r="B65" i="1"/>
  <c r="AD11" i="42" s="1"/>
  <c r="I65" i="1"/>
  <c r="AK11" i="42" s="1"/>
  <c r="C59" i="1"/>
  <c r="J68" i="18"/>
  <c r="M39" i="1"/>
  <c r="F33" i="1"/>
  <c r="H30" i="1"/>
  <c r="B64" i="1"/>
  <c r="H65" i="1"/>
  <c r="M58" i="1"/>
  <c r="AO4" i="42" s="1"/>
  <c r="B40" i="9"/>
  <c r="G55" i="1"/>
  <c r="B68" i="9"/>
  <c r="I55" i="1"/>
  <c r="I35" i="1"/>
  <c r="I67" i="1"/>
  <c r="AK13" i="42" s="1"/>
  <c r="B66" i="10"/>
  <c r="M38" i="1"/>
  <c r="G36" i="1"/>
  <c r="L32" i="1"/>
  <c r="I44" i="1"/>
  <c r="M51" i="1"/>
  <c r="G69" i="1"/>
  <c r="I63" i="1"/>
  <c r="AK9" i="42" s="1"/>
  <c r="F65" i="3"/>
  <c r="J66" i="10"/>
  <c r="I36" i="1"/>
  <c r="C30" i="1"/>
  <c r="B36" i="1"/>
  <c r="I39" i="1"/>
  <c r="H36" i="1"/>
  <c r="M32" i="1"/>
  <c r="B52" i="1"/>
  <c r="M69" i="1"/>
  <c r="AO15" i="42" s="1"/>
  <c r="F64" i="1"/>
  <c r="AH10" i="42" s="1"/>
  <c r="B33" i="1"/>
  <c r="L38" i="1"/>
  <c r="F36" i="1"/>
  <c r="G32" i="1"/>
  <c r="H44" i="1"/>
  <c r="D68" i="1"/>
  <c r="J30" i="35"/>
  <c r="B32" i="37"/>
  <c r="B58" i="37"/>
  <c r="E54" i="1"/>
  <c r="E55" i="1"/>
  <c r="D67" i="1"/>
  <c r="D39" i="1"/>
  <c r="D41" i="1"/>
  <c r="C66" i="1"/>
  <c r="C38" i="1"/>
  <c r="C41" i="1"/>
  <c r="D55" i="1"/>
  <c r="K49" i="1"/>
  <c r="C64" i="1"/>
  <c r="G61" i="1"/>
  <c r="D60" i="1"/>
  <c r="L58" i="1"/>
  <c r="B66" i="3"/>
  <c r="F53" i="12"/>
  <c r="F39" i="12"/>
  <c r="E41" i="1"/>
  <c r="E35" i="1"/>
  <c r="C55" i="1"/>
  <c r="B54" i="1"/>
  <c r="M52" i="1"/>
  <c r="L51" i="1"/>
  <c r="K50" i="1"/>
  <c r="J49" i="1"/>
  <c r="H47" i="1"/>
  <c r="G46" i="1"/>
  <c r="E45" i="1"/>
  <c r="B61" i="1"/>
  <c r="L67" i="1"/>
  <c r="I66" i="1"/>
  <c r="AK12" i="42" s="1"/>
  <c r="E65" i="1"/>
  <c r="AG11" i="42" s="1"/>
  <c r="M63" i="1"/>
  <c r="AO9" i="42" s="1"/>
  <c r="F61" i="1"/>
  <c r="C60" i="1"/>
  <c r="J58" i="1"/>
  <c r="J66" i="3"/>
  <c r="E60" i="1"/>
  <c r="AG6" i="42" s="1"/>
  <c r="F44" i="1"/>
  <c r="G45" i="1"/>
  <c r="G65" i="1"/>
  <c r="B31" i="1"/>
  <c r="K32" i="1"/>
  <c r="F30" i="1"/>
  <c r="J32" i="1"/>
  <c r="G31" i="1"/>
  <c r="E30" i="1"/>
  <c r="D44" i="1"/>
  <c r="B55" i="1"/>
  <c r="K51" i="1"/>
  <c r="J50" i="1"/>
  <c r="G47" i="1"/>
  <c r="E46" i="1"/>
  <c r="D45" i="1"/>
  <c r="B60" i="1"/>
  <c r="M68" i="1"/>
  <c r="AO14" i="42" s="1"/>
  <c r="K67" i="1"/>
  <c r="H66" i="1"/>
  <c r="D65" i="1"/>
  <c r="K63" i="1"/>
  <c r="E61" i="1"/>
  <c r="AG7" i="42" s="1"/>
  <c r="M59" i="1"/>
  <c r="D35" i="1"/>
  <c r="E44" i="1"/>
  <c r="M64" i="1"/>
  <c r="AO10" i="42" s="1"/>
  <c r="M36" i="1"/>
  <c r="B30" i="1"/>
  <c r="K39" i="1"/>
  <c r="I38" i="1"/>
  <c r="G37" i="1"/>
  <c r="E36" i="1"/>
  <c r="C35" i="1"/>
  <c r="L63" i="1"/>
  <c r="L35" i="1"/>
  <c r="B41" i="1"/>
  <c r="L41" i="1"/>
  <c r="K40" i="1"/>
  <c r="J39" i="1"/>
  <c r="H38" i="1"/>
  <c r="D36" i="1"/>
  <c r="K33" i="1"/>
  <c r="H32" i="1"/>
  <c r="F31" i="1"/>
  <c r="D30" i="1"/>
  <c r="C44" i="1"/>
  <c r="J51" i="1"/>
  <c r="I50" i="1"/>
  <c r="H49" i="1"/>
  <c r="E47" i="1"/>
  <c r="D46" i="1"/>
  <c r="C45" i="1"/>
  <c r="B59" i="1"/>
  <c r="J67" i="1"/>
  <c r="AL13" i="42" s="1"/>
  <c r="F66" i="1"/>
  <c r="C65" i="1"/>
  <c r="J63" i="1"/>
  <c r="AL9" i="42" s="1"/>
  <c r="D61" i="1"/>
  <c r="K59" i="1"/>
  <c r="E37" i="1"/>
  <c r="D47" i="1"/>
  <c r="E66" i="1"/>
  <c r="AG12" i="42" s="1"/>
  <c r="C61" i="1"/>
  <c r="J59" i="1"/>
  <c r="F51" i="14"/>
  <c r="F65" i="14"/>
  <c r="D64" i="1"/>
  <c r="J61" i="1"/>
  <c r="J33" i="1"/>
  <c r="B39" i="1"/>
  <c r="J41" i="1"/>
  <c r="I40" i="1"/>
  <c r="H39" i="1"/>
  <c r="F38" i="1"/>
  <c r="D37" i="1"/>
  <c r="D31" i="1"/>
  <c r="B44" i="1"/>
  <c r="L55" i="1"/>
  <c r="K54" i="1"/>
  <c r="G50" i="1"/>
  <c r="E49" i="1"/>
  <c r="J68" i="1"/>
  <c r="G67" i="1"/>
  <c r="D66" i="1"/>
  <c r="K64" i="1"/>
  <c r="H63" i="1"/>
  <c r="G38" i="1"/>
  <c r="C36" i="1"/>
  <c r="G49" i="1"/>
  <c r="C46" i="1"/>
  <c r="I60" i="1"/>
  <c r="I32" i="1"/>
  <c r="B38" i="1"/>
  <c r="I41" i="1"/>
  <c r="H40" i="1"/>
  <c r="G39" i="1"/>
  <c r="E38" i="1"/>
  <c r="C37" i="1"/>
  <c r="M44" i="1"/>
  <c r="K55" i="1"/>
  <c r="E50" i="1"/>
  <c r="D49" i="1"/>
  <c r="M45" i="1"/>
  <c r="K69" i="1"/>
  <c r="AM15" i="42" s="1"/>
  <c r="I68" i="1"/>
  <c r="AK14" i="42" s="1"/>
  <c r="F67" i="1"/>
  <c r="J64" i="1"/>
  <c r="K60" i="1"/>
  <c r="J58" i="4"/>
  <c r="J30" i="4"/>
  <c r="E31" i="1"/>
  <c r="H59" i="1"/>
  <c r="H31" i="1"/>
  <c r="H41" i="1"/>
  <c r="G40" i="1"/>
  <c r="F39" i="1"/>
  <c r="D38" i="1"/>
  <c r="L44" i="1"/>
  <c r="J55" i="1"/>
  <c r="H53" i="1"/>
  <c r="G52" i="1"/>
  <c r="C49" i="1"/>
  <c r="M46" i="1"/>
  <c r="L45" i="1"/>
  <c r="H68" i="1"/>
  <c r="E67" i="1"/>
  <c r="AG13" i="42" s="1"/>
  <c r="L65" i="1"/>
  <c r="F63" i="1"/>
  <c r="M61" i="1"/>
  <c r="AO7" i="42" s="1"/>
  <c r="F59" i="1"/>
  <c r="B66" i="5"/>
  <c r="B49" i="1"/>
  <c r="G68" i="1"/>
  <c r="AI14" i="42" s="1"/>
  <c r="C67" i="1"/>
  <c r="L61" i="1"/>
  <c r="J52" i="16"/>
  <c r="J66" i="16"/>
  <c r="E39" i="1"/>
  <c r="G58" i="1"/>
  <c r="G44" i="1"/>
  <c r="G30" i="1"/>
  <c r="F69" i="1"/>
  <c r="F55" i="1"/>
  <c r="F65" i="1"/>
  <c r="F51" i="1"/>
  <c r="B35" i="1"/>
  <c r="F41" i="1"/>
  <c r="E40" i="1"/>
  <c r="K30" i="1"/>
  <c r="H55" i="1"/>
  <c r="F68" i="1"/>
  <c r="AH14" i="42" s="1"/>
  <c r="F67" i="3"/>
  <c r="F65" i="10"/>
  <c r="B68" i="13"/>
  <c r="F63" i="37"/>
  <c r="K66" i="37"/>
  <c r="F37" i="37"/>
  <c r="F67" i="37"/>
  <c r="F39" i="6"/>
  <c r="B68" i="16"/>
  <c r="B40" i="32"/>
  <c r="G39" i="37"/>
  <c r="J38" i="11"/>
  <c r="J38" i="23"/>
  <c r="B40" i="37"/>
  <c r="J44" i="37"/>
  <c r="J66" i="23"/>
  <c r="F45" i="37"/>
  <c r="F67" i="23"/>
  <c r="B40" i="35"/>
  <c r="B50" i="37"/>
  <c r="B66" i="8"/>
  <c r="B40" i="12"/>
  <c r="J30" i="25"/>
  <c r="F41" i="35"/>
  <c r="J50" i="37"/>
  <c r="F55" i="37"/>
  <c r="B44" i="40"/>
  <c r="B30" i="40"/>
  <c r="B58" i="40"/>
  <c r="J30" i="40"/>
  <c r="J58" i="40"/>
  <c r="J44" i="40"/>
  <c r="F45" i="40"/>
  <c r="F59" i="40"/>
  <c r="F31" i="40"/>
  <c r="B60" i="40"/>
  <c r="B46" i="40"/>
  <c r="B32" i="40"/>
  <c r="J60" i="40"/>
  <c r="J46" i="40"/>
  <c r="J32" i="40"/>
  <c r="F61" i="40"/>
  <c r="F47" i="40"/>
  <c r="F33" i="40"/>
  <c r="F35" i="40"/>
  <c r="F63" i="40"/>
  <c r="F49" i="40"/>
  <c r="B36" i="40"/>
  <c r="B64" i="40"/>
  <c r="B50" i="40"/>
  <c r="J64" i="40"/>
  <c r="J50" i="40"/>
  <c r="J36" i="40"/>
  <c r="F65" i="40"/>
  <c r="F51" i="40"/>
  <c r="F37" i="40"/>
  <c r="B52" i="40"/>
  <c r="B38" i="40"/>
  <c r="J52" i="40"/>
  <c r="J38" i="40"/>
  <c r="F67" i="40"/>
  <c r="F53" i="40"/>
  <c r="F39" i="40"/>
  <c r="B54" i="40"/>
  <c r="B40" i="40"/>
  <c r="B68" i="40"/>
  <c r="J68" i="40"/>
  <c r="J54" i="40"/>
  <c r="J40" i="40"/>
  <c r="F69" i="40"/>
  <c r="F55" i="40"/>
  <c r="F41" i="40"/>
  <c r="B66" i="40"/>
  <c r="J66" i="40"/>
  <c r="G31" i="40"/>
  <c r="G33" i="40"/>
  <c r="G37" i="40"/>
  <c r="K40" i="40"/>
  <c r="K46" i="40"/>
  <c r="G49" i="40"/>
  <c r="G53" i="40"/>
  <c r="G59" i="40"/>
  <c r="G69" i="40"/>
  <c r="D30" i="40"/>
  <c r="L30" i="40"/>
  <c r="H31" i="40"/>
  <c r="D32" i="40"/>
  <c r="L32" i="40"/>
  <c r="H33" i="40"/>
  <c r="H35" i="40"/>
  <c r="D36" i="40"/>
  <c r="L36" i="40"/>
  <c r="H37" i="40"/>
  <c r="D38" i="40"/>
  <c r="L38" i="40"/>
  <c r="H39" i="40"/>
  <c r="D40" i="40"/>
  <c r="L40" i="40"/>
  <c r="H41" i="40"/>
  <c r="D44" i="40"/>
  <c r="L44" i="40"/>
  <c r="H45" i="40"/>
  <c r="D46" i="40"/>
  <c r="L46" i="40"/>
  <c r="H47" i="40"/>
  <c r="H49" i="40"/>
  <c r="D50" i="40"/>
  <c r="L50" i="40"/>
  <c r="H51" i="40"/>
  <c r="D52" i="40"/>
  <c r="L52" i="40"/>
  <c r="H53" i="40"/>
  <c r="D54" i="40"/>
  <c r="L54" i="40"/>
  <c r="H55" i="40"/>
  <c r="C36" i="40"/>
  <c r="G67" i="40"/>
  <c r="E30" i="40"/>
  <c r="M30" i="40"/>
  <c r="I31" i="40"/>
  <c r="E32" i="40"/>
  <c r="M32" i="40"/>
  <c r="I33" i="40"/>
  <c r="I35" i="40"/>
  <c r="E36" i="40"/>
  <c r="M36" i="40"/>
  <c r="I37" i="40"/>
  <c r="E38" i="40"/>
  <c r="M38" i="40"/>
  <c r="I39" i="40"/>
  <c r="E40" i="40"/>
  <c r="M40" i="40"/>
  <c r="I41" i="40"/>
  <c r="E44" i="40"/>
  <c r="M44" i="40"/>
  <c r="I45" i="40"/>
  <c r="E46" i="40"/>
  <c r="M46" i="40"/>
  <c r="I47" i="40"/>
  <c r="I49" i="40"/>
  <c r="E50" i="40"/>
  <c r="M50" i="40"/>
  <c r="I51" i="40"/>
  <c r="E52" i="40"/>
  <c r="M52" i="40"/>
  <c r="I53" i="40"/>
  <c r="E54" i="40"/>
  <c r="M54" i="40"/>
  <c r="I55" i="40"/>
  <c r="K32" i="40"/>
  <c r="K36" i="40"/>
  <c r="C40" i="40"/>
  <c r="K50" i="40"/>
  <c r="C68" i="40"/>
  <c r="F30" i="40"/>
  <c r="B31" i="40"/>
  <c r="J31" i="40"/>
  <c r="F32" i="40"/>
  <c r="B33" i="40"/>
  <c r="J33" i="40"/>
  <c r="B35" i="40"/>
  <c r="J35" i="40"/>
  <c r="F36" i="40"/>
  <c r="B37" i="40"/>
  <c r="J37" i="40"/>
  <c r="F38" i="40"/>
  <c r="B39" i="40"/>
  <c r="J39" i="40"/>
  <c r="F40" i="40"/>
  <c r="B41" i="40"/>
  <c r="J41" i="40"/>
  <c r="F44" i="40"/>
  <c r="B45" i="40"/>
  <c r="J45" i="40"/>
  <c r="F46" i="40"/>
  <c r="B47" i="40"/>
  <c r="J47" i="40"/>
  <c r="B49" i="40"/>
  <c r="J49" i="40"/>
  <c r="F50" i="40"/>
  <c r="B51" i="40"/>
  <c r="J51" i="40"/>
  <c r="F52" i="40"/>
  <c r="B53" i="40"/>
  <c r="J53" i="40"/>
  <c r="F54" i="40"/>
  <c r="B55" i="40"/>
  <c r="J55" i="40"/>
  <c r="K30" i="40"/>
  <c r="G35" i="40"/>
  <c r="K44" i="40"/>
  <c r="G47" i="40"/>
  <c r="C50" i="40"/>
  <c r="K52" i="40"/>
  <c r="K54" i="40"/>
  <c r="G30" i="40"/>
  <c r="C31" i="40"/>
  <c r="K31" i="40"/>
  <c r="G32" i="40"/>
  <c r="C33" i="40"/>
  <c r="K33" i="40"/>
  <c r="C35" i="40"/>
  <c r="K35" i="40"/>
  <c r="G36" i="40"/>
  <c r="C37" i="40"/>
  <c r="K37" i="40"/>
  <c r="G38" i="40"/>
  <c r="C39" i="40"/>
  <c r="K39" i="40"/>
  <c r="G40" i="40"/>
  <c r="C41" i="40"/>
  <c r="K41" i="40"/>
  <c r="G44" i="40"/>
  <c r="C45" i="40"/>
  <c r="K45" i="40"/>
  <c r="G46" i="40"/>
  <c r="C47" i="40"/>
  <c r="K47" i="40"/>
  <c r="C49" i="40"/>
  <c r="K49" i="40"/>
  <c r="G50" i="40"/>
  <c r="C51" i="40"/>
  <c r="K51" i="40"/>
  <c r="G52" i="40"/>
  <c r="C53" i="40"/>
  <c r="K53" i="40"/>
  <c r="G54" i="40"/>
  <c r="C55" i="40"/>
  <c r="K55" i="40"/>
  <c r="C32" i="40"/>
  <c r="C38" i="40"/>
  <c r="G41" i="40"/>
  <c r="C46" i="40"/>
  <c r="C52" i="40"/>
  <c r="C58" i="40"/>
  <c r="H30" i="40"/>
  <c r="D31" i="40"/>
  <c r="L31" i="40"/>
  <c r="H32" i="40"/>
  <c r="D33" i="40"/>
  <c r="L33" i="40"/>
  <c r="D35" i="40"/>
  <c r="L35" i="40"/>
  <c r="H36" i="40"/>
  <c r="D37" i="40"/>
  <c r="L37" i="40"/>
  <c r="H38" i="40"/>
  <c r="D39" i="40"/>
  <c r="L39" i="40"/>
  <c r="H40" i="40"/>
  <c r="D41" i="40"/>
  <c r="L41" i="40"/>
  <c r="H44" i="40"/>
  <c r="D45" i="40"/>
  <c r="L45" i="40"/>
  <c r="H46" i="40"/>
  <c r="D47" i="40"/>
  <c r="L47" i="40"/>
  <c r="D49" i="40"/>
  <c r="L49" i="40"/>
  <c r="H50" i="40"/>
  <c r="D51" i="40"/>
  <c r="L51" i="40"/>
  <c r="H52" i="40"/>
  <c r="D53" i="40"/>
  <c r="L53" i="40"/>
  <c r="H54" i="40"/>
  <c r="D55" i="40"/>
  <c r="L55" i="40"/>
  <c r="C30" i="40"/>
  <c r="K38" i="40"/>
  <c r="G51" i="40"/>
  <c r="I30" i="40"/>
  <c r="E31" i="40"/>
  <c r="M31" i="40"/>
  <c r="I32" i="40"/>
  <c r="E33" i="40"/>
  <c r="M33" i="40"/>
  <c r="E35" i="40"/>
  <c r="M35" i="40"/>
  <c r="I36" i="40"/>
  <c r="E37" i="40"/>
  <c r="M37" i="40"/>
  <c r="I38" i="40"/>
  <c r="E39" i="40"/>
  <c r="M39" i="40"/>
  <c r="I40" i="40"/>
  <c r="E41" i="40"/>
  <c r="M41" i="40"/>
  <c r="I44" i="40"/>
  <c r="E45" i="40"/>
  <c r="M45" i="40"/>
  <c r="I46" i="40"/>
  <c r="E47" i="40"/>
  <c r="M47" i="40"/>
  <c r="E49" i="40"/>
  <c r="M49" i="40"/>
  <c r="I50" i="40"/>
  <c r="E51" i="40"/>
  <c r="M51" i="40"/>
  <c r="I52" i="40"/>
  <c r="E53" i="40"/>
  <c r="M53" i="40"/>
  <c r="I54" i="40"/>
  <c r="E55" i="40"/>
  <c r="M55" i="40"/>
  <c r="B30" i="39"/>
  <c r="B32" i="39"/>
  <c r="F33" i="39"/>
  <c r="J36" i="39"/>
  <c r="B40" i="39"/>
  <c r="F41" i="39"/>
  <c r="J44" i="39"/>
  <c r="J46" i="39"/>
  <c r="B50" i="39"/>
  <c r="F51" i="39"/>
  <c r="J52" i="39"/>
  <c r="B54" i="39"/>
  <c r="F55" i="39"/>
  <c r="J58" i="39"/>
  <c r="B60" i="39"/>
  <c r="F61" i="39"/>
  <c r="F63" i="39"/>
  <c r="J64" i="39"/>
  <c r="C30" i="39"/>
  <c r="K30" i="39"/>
  <c r="G31" i="39"/>
  <c r="C32" i="39"/>
  <c r="K32" i="39"/>
  <c r="G33" i="39"/>
  <c r="G35" i="39"/>
  <c r="C36" i="39"/>
  <c r="K36" i="39"/>
  <c r="G37" i="39"/>
  <c r="C38" i="39"/>
  <c r="K38" i="39"/>
  <c r="G39" i="39"/>
  <c r="C40" i="39"/>
  <c r="K40" i="39"/>
  <c r="G41" i="39"/>
  <c r="C44" i="39"/>
  <c r="K44" i="39"/>
  <c r="G45" i="39"/>
  <c r="C46" i="39"/>
  <c r="K46" i="39"/>
  <c r="G47" i="39"/>
  <c r="G49" i="39"/>
  <c r="C50" i="39"/>
  <c r="K50" i="39"/>
  <c r="G51" i="39"/>
  <c r="C52" i="39"/>
  <c r="K52" i="39"/>
  <c r="G53" i="39"/>
  <c r="C54" i="39"/>
  <c r="K54" i="39"/>
  <c r="G55" i="39"/>
  <c r="F31" i="39"/>
  <c r="J32" i="39"/>
  <c r="B36" i="39"/>
  <c r="F39" i="39"/>
  <c r="B44" i="39"/>
  <c r="F45" i="39"/>
  <c r="B52" i="39"/>
  <c r="F53" i="39"/>
  <c r="J54" i="39"/>
  <c r="J68" i="39"/>
  <c r="D30" i="39"/>
  <c r="L30" i="39"/>
  <c r="H31" i="39"/>
  <c r="D32" i="39"/>
  <c r="L32" i="39"/>
  <c r="H33" i="39"/>
  <c r="H35" i="39"/>
  <c r="D36" i="39"/>
  <c r="L36" i="39"/>
  <c r="H37" i="39"/>
  <c r="D38" i="39"/>
  <c r="L38" i="39"/>
  <c r="H39" i="39"/>
  <c r="D40" i="39"/>
  <c r="L40" i="39"/>
  <c r="H41" i="39"/>
  <c r="D44" i="39"/>
  <c r="L44" i="39"/>
  <c r="H45" i="39"/>
  <c r="D46" i="39"/>
  <c r="L46" i="39"/>
  <c r="H47" i="39"/>
  <c r="H49" i="39"/>
  <c r="D50" i="39"/>
  <c r="L50" i="39"/>
  <c r="H51" i="39"/>
  <c r="D52" i="39"/>
  <c r="L52" i="39"/>
  <c r="H53" i="39"/>
  <c r="D54" i="39"/>
  <c r="L54" i="39"/>
  <c r="H55" i="39"/>
  <c r="E30" i="39"/>
  <c r="M30" i="39"/>
  <c r="I31" i="39"/>
  <c r="E32" i="39"/>
  <c r="M32" i="39"/>
  <c r="I33" i="39"/>
  <c r="I35" i="39"/>
  <c r="E36" i="39"/>
  <c r="M36" i="39"/>
  <c r="I37" i="39"/>
  <c r="E38" i="39"/>
  <c r="M38" i="39"/>
  <c r="I39" i="39"/>
  <c r="E40" i="39"/>
  <c r="M40" i="39"/>
  <c r="I41" i="39"/>
  <c r="E44" i="39"/>
  <c r="M44" i="39"/>
  <c r="I45" i="39"/>
  <c r="E46" i="39"/>
  <c r="M46" i="39"/>
  <c r="I47" i="39"/>
  <c r="I49" i="39"/>
  <c r="E50" i="39"/>
  <c r="M50" i="39"/>
  <c r="I51" i="39"/>
  <c r="E52" i="39"/>
  <c r="M52" i="39"/>
  <c r="I53" i="39"/>
  <c r="E54" i="39"/>
  <c r="M54" i="39"/>
  <c r="I55" i="39"/>
  <c r="F37" i="39"/>
  <c r="J66" i="39"/>
  <c r="F30" i="39"/>
  <c r="B31" i="39"/>
  <c r="J31" i="39"/>
  <c r="F32" i="39"/>
  <c r="B33" i="39"/>
  <c r="J33" i="39"/>
  <c r="B35" i="39"/>
  <c r="J35" i="39"/>
  <c r="F36" i="39"/>
  <c r="B37" i="39"/>
  <c r="J37" i="39"/>
  <c r="F38" i="39"/>
  <c r="B39" i="39"/>
  <c r="J39" i="39"/>
  <c r="F40" i="39"/>
  <c r="B41" i="39"/>
  <c r="J41" i="39"/>
  <c r="F44" i="39"/>
  <c r="B45" i="39"/>
  <c r="J45" i="39"/>
  <c r="F46" i="39"/>
  <c r="B47" i="39"/>
  <c r="J47" i="39"/>
  <c r="B49" i="39"/>
  <c r="J49" i="39"/>
  <c r="F50" i="39"/>
  <c r="B51" i="39"/>
  <c r="J51" i="39"/>
  <c r="F52" i="39"/>
  <c r="B53" i="39"/>
  <c r="J53" i="39"/>
  <c r="F54" i="39"/>
  <c r="B55" i="39"/>
  <c r="J55" i="39"/>
  <c r="F35" i="39"/>
  <c r="G30" i="39"/>
  <c r="C31" i="39"/>
  <c r="K31" i="39"/>
  <c r="G32" i="39"/>
  <c r="C33" i="39"/>
  <c r="K33" i="39"/>
  <c r="C35" i="39"/>
  <c r="K35" i="39"/>
  <c r="G36" i="39"/>
  <c r="C37" i="39"/>
  <c r="K37" i="39"/>
  <c r="G38" i="39"/>
  <c r="C39" i="39"/>
  <c r="K39" i="39"/>
  <c r="G40" i="39"/>
  <c r="C41" i="39"/>
  <c r="K41" i="39"/>
  <c r="G44" i="39"/>
  <c r="C45" i="39"/>
  <c r="K45" i="39"/>
  <c r="G46" i="39"/>
  <c r="C47" i="39"/>
  <c r="K47" i="39"/>
  <c r="C49" i="39"/>
  <c r="K49" i="39"/>
  <c r="G50" i="39"/>
  <c r="C51" i="39"/>
  <c r="K51" i="39"/>
  <c r="G52" i="39"/>
  <c r="C53" i="39"/>
  <c r="K53" i="39"/>
  <c r="G54" i="39"/>
  <c r="C55" i="39"/>
  <c r="K55" i="39"/>
  <c r="B38" i="39"/>
  <c r="H30" i="39"/>
  <c r="D31" i="39"/>
  <c r="L31" i="39"/>
  <c r="H32" i="39"/>
  <c r="D33" i="39"/>
  <c r="L33" i="39"/>
  <c r="D35" i="39"/>
  <c r="L35" i="39"/>
  <c r="H36" i="39"/>
  <c r="D37" i="39"/>
  <c r="L37" i="39"/>
  <c r="H38" i="39"/>
  <c r="D39" i="39"/>
  <c r="L39" i="39"/>
  <c r="H40" i="39"/>
  <c r="D41" i="39"/>
  <c r="L41" i="39"/>
  <c r="H44" i="39"/>
  <c r="D45" i="39"/>
  <c r="L45" i="39"/>
  <c r="H46" i="39"/>
  <c r="D47" i="39"/>
  <c r="L47" i="39"/>
  <c r="D49" i="39"/>
  <c r="L49" i="39"/>
  <c r="H50" i="39"/>
  <c r="D51" i="39"/>
  <c r="L51" i="39"/>
  <c r="H52" i="39"/>
  <c r="D53" i="39"/>
  <c r="L53" i="39"/>
  <c r="H54" i="39"/>
  <c r="D55" i="39"/>
  <c r="L55" i="39"/>
  <c r="I30" i="39"/>
  <c r="E31" i="39"/>
  <c r="M31" i="39"/>
  <c r="I32" i="39"/>
  <c r="E33" i="39"/>
  <c r="M33" i="39"/>
  <c r="E35" i="39"/>
  <c r="M35" i="39"/>
  <c r="I36" i="39"/>
  <c r="E37" i="39"/>
  <c r="M37" i="39"/>
  <c r="I38" i="39"/>
  <c r="E39" i="39"/>
  <c r="M39" i="39"/>
  <c r="I40" i="39"/>
  <c r="E41" i="39"/>
  <c r="M41" i="39"/>
  <c r="I44" i="39"/>
  <c r="E45" i="39"/>
  <c r="M45" i="39"/>
  <c r="I46" i="39"/>
  <c r="E47" i="39"/>
  <c r="M47" i="39"/>
  <c r="E49" i="39"/>
  <c r="M49" i="39"/>
  <c r="I50" i="39"/>
  <c r="E51" i="39"/>
  <c r="M51" i="39"/>
  <c r="I52" i="39"/>
  <c r="E53" i="39"/>
  <c r="M53" i="39"/>
  <c r="I54" i="39"/>
  <c r="E55" i="39"/>
  <c r="M55" i="39"/>
  <c r="F31" i="38"/>
  <c r="F33" i="38"/>
  <c r="B36" i="38"/>
  <c r="F39" i="38"/>
  <c r="J44" i="38"/>
  <c r="F53" i="38"/>
  <c r="F69" i="38"/>
  <c r="C30" i="38"/>
  <c r="K30" i="38"/>
  <c r="G31" i="38"/>
  <c r="C32" i="38"/>
  <c r="K32" i="38"/>
  <c r="G33" i="38"/>
  <c r="G35" i="38"/>
  <c r="C36" i="38"/>
  <c r="K36" i="38"/>
  <c r="G37" i="38"/>
  <c r="C38" i="38"/>
  <c r="K38" i="38"/>
  <c r="G39" i="38"/>
  <c r="C40" i="38"/>
  <c r="K40" i="38"/>
  <c r="G41" i="38"/>
  <c r="C44" i="38"/>
  <c r="K44" i="38"/>
  <c r="G45" i="38"/>
  <c r="C46" i="38"/>
  <c r="K46" i="38"/>
  <c r="G47" i="38"/>
  <c r="G49" i="38"/>
  <c r="C50" i="38"/>
  <c r="K50" i="38"/>
  <c r="G51" i="38"/>
  <c r="C52" i="38"/>
  <c r="K52" i="38"/>
  <c r="G53" i="38"/>
  <c r="C54" i="38"/>
  <c r="K54" i="38"/>
  <c r="G55" i="38"/>
  <c r="J30" i="38"/>
  <c r="F37" i="38"/>
  <c r="J40" i="38"/>
  <c r="F45" i="38"/>
  <c r="F49" i="38"/>
  <c r="B54" i="38"/>
  <c r="J68" i="38"/>
  <c r="D30" i="38"/>
  <c r="L30" i="38"/>
  <c r="H31" i="38"/>
  <c r="D32" i="38"/>
  <c r="L32" i="38"/>
  <c r="H33" i="38"/>
  <c r="H35" i="38"/>
  <c r="D36" i="38"/>
  <c r="L36" i="38"/>
  <c r="H37" i="38"/>
  <c r="D38" i="38"/>
  <c r="L38" i="38"/>
  <c r="H39" i="38"/>
  <c r="D40" i="38"/>
  <c r="L40" i="38"/>
  <c r="H41" i="38"/>
  <c r="D44" i="38"/>
  <c r="L44" i="38"/>
  <c r="H45" i="38"/>
  <c r="D46" i="38"/>
  <c r="L46" i="38"/>
  <c r="H47" i="38"/>
  <c r="H49" i="38"/>
  <c r="D50" i="38"/>
  <c r="L50" i="38"/>
  <c r="H51" i="38"/>
  <c r="D52" i="38"/>
  <c r="L52" i="38"/>
  <c r="H53" i="38"/>
  <c r="D54" i="38"/>
  <c r="L54" i="38"/>
  <c r="H55" i="38"/>
  <c r="B32" i="38"/>
  <c r="J36" i="38"/>
  <c r="J38" i="38"/>
  <c r="B40" i="38"/>
  <c r="B44" i="38"/>
  <c r="B46" i="38"/>
  <c r="F47" i="38"/>
  <c r="B50" i="38"/>
  <c r="F51" i="38"/>
  <c r="B52" i="38"/>
  <c r="J52" i="38"/>
  <c r="F55" i="38"/>
  <c r="B58" i="38"/>
  <c r="J60" i="38"/>
  <c r="F63" i="38"/>
  <c r="J64" i="38"/>
  <c r="B66" i="38"/>
  <c r="E30" i="38"/>
  <c r="M30" i="38"/>
  <c r="I31" i="38"/>
  <c r="E32" i="38"/>
  <c r="M32" i="38"/>
  <c r="I33" i="38"/>
  <c r="I35" i="38"/>
  <c r="E36" i="38"/>
  <c r="M36" i="38"/>
  <c r="I37" i="38"/>
  <c r="E38" i="38"/>
  <c r="M38" i="38"/>
  <c r="I39" i="38"/>
  <c r="E40" i="38"/>
  <c r="M40" i="38"/>
  <c r="I41" i="38"/>
  <c r="E44" i="38"/>
  <c r="M44" i="38"/>
  <c r="I45" i="38"/>
  <c r="E46" i="38"/>
  <c r="M46" i="38"/>
  <c r="I47" i="38"/>
  <c r="I49" i="38"/>
  <c r="E50" i="38"/>
  <c r="M50" i="38"/>
  <c r="I51" i="38"/>
  <c r="E52" i="38"/>
  <c r="M52" i="38"/>
  <c r="I53" i="38"/>
  <c r="E54" i="38"/>
  <c r="M54" i="38"/>
  <c r="I55" i="38"/>
  <c r="F30" i="38"/>
  <c r="B31" i="38"/>
  <c r="J31" i="38"/>
  <c r="F32" i="38"/>
  <c r="B33" i="38"/>
  <c r="J33" i="38"/>
  <c r="B35" i="38"/>
  <c r="J35" i="38"/>
  <c r="F36" i="38"/>
  <c r="B37" i="38"/>
  <c r="J37" i="38"/>
  <c r="F38" i="38"/>
  <c r="B39" i="38"/>
  <c r="J39" i="38"/>
  <c r="F40" i="38"/>
  <c r="B41" i="38"/>
  <c r="J41" i="38"/>
  <c r="F44" i="38"/>
  <c r="B45" i="38"/>
  <c r="J45" i="38"/>
  <c r="F46" i="38"/>
  <c r="B47" i="38"/>
  <c r="J47" i="38"/>
  <c r="B49" i="38"/>
  <c r="J49" i="38"/>
  <c r="F50" i="38"/>
  <c r="B51" i="38"/>
  <c r="J51" i="38"/>
  <c r="F52" i="38"/>
  <c r="B53" i="38"/>
  <c r="J53" i="38"/>
  <c r="F54" i="38"/>
  <c r="B55" i="38"/>
  <c r="J55" i="38"/>
  <c r="J32" i="38"/>
  <c r="G30" i="38"/>
  <c r="C31" i="38"/>
  <c r="K31" i="38"/>
  <c r="G32" i="38"/>
  <c r="C33" i="38"/>
  <c r="K33" i="38"/>
  <c r="C35" i="38"/>
  <c r="K35" i="38"/>
  <c r="G36" i="38"/>
  <c r="C37" i="38"/>
  <c r="K37" i="38"/>
  <c r="G38" i="38"/>
  <c r="C39" i="38"/>
  <c r="K39" i="38"/>
  <c r="G40" i="38"/>
  <c r="C41" i="38"/>
  <c r="K41" i="38"/>
  <c r="G44" i="38"/>
  <c r="C45" i="38"/>
  <c r="K45" i="38"/>
  <c r="G46" i="38"/>
  <c r="C47" i="38"/>
  <c r="K47" i="38"/>
  <c r="C49" i="38"/>
  <c r="K49" i="38"/>
  <c r="G50" i="38"/>
  <c r="C51" i="38"/>
  <c r="K51" i="38"/>
  <c r="G52" i="38"/>
  <c r="C53" i="38"/>
  <c r="K53" i="38"/>
  <c r="G54" i="38"/>
  <c r="C55" i="38"/>
  <c r="K55" i="38"/>
  <c r="H32" i="38"/>
  <c r="D33" i="38"/>
  <c r="L33" i="38"/>
  <c r="D35" i="38"/>
  <c r="L35" i="38"/>
  <c r="H36" i="38"/>
  <c r="D37" i="38"/>
  <c r="L37" i="38"/>
  <c r="H38" i="38"/>
  <c r="D39" i="38"/>
  <c r="L39" i="38"/>
  <c r="H40" i="38"/>
  <c r="D41" i="38"/>
  <c r="L41" i="38"/>
  <c r="H44" i="38"/>
  <c r="D45" i="38"/>
  <c r="L45" i="38"/>
  <c r="H46" i="38"/>
  <c r="D47" i="38"/>
  <c r="L47" i="38"/>
  <c r="D49" i="38"/>
  <c r="L49" i="38"/>
  <c r="H50" i="38"/>
  <c r="D51" i="38"/>
  <c r="L51" i="38"/>
  <c r="H52" i="38"/>
  <c r="D53" i="38"/>
  <c r="L53" i="38"/>
  <c r="H54" i="38"/>
  <c r="D55" i="38"/>
  <c r="L55" i="38"/>
  <c r="H58" i="38"/>
  <c r="D59" i="38"/>
  <c r="L59" i="38"/>
  <c r="I30" i="38"/>
  <c r="E31" i="38"/>
  <c r="M31" i="38"/>
  <c r="I32" i="38"/>
  <c r="E33" i="38"/>
  <c r="M33" i="38"/>
  <c r="E35" i="38"/>
  <c r="M35" i="38"/>
  <c r="I36" i="38"/>
  <c r="E37" i="38"/>
  <c r="M37" i="38"/>
  <c r="I38" i="38"/>
  <c r="E39" i="38"/>
  <c r="M39" i="38"/>
  <c r="I40" i="38"/>
  <c r="E41" i="38"/>
  <c r="M41" i="38"/>
  <c r="I44" i="38"/>
  <c r="E45" i="38"/>
  <c r="M45" i="38"/>
  <c r="I46" i="38"/>
  <c r="E47" i="38"/>
  <c r="M47" i="38"/>
  <c r="E49" i="38"/>
  <c r="M49" i="38"/>
  <c r="I50" i="38"/>
  <c r="E51" i="38"/>
  <c r="M51" i="38"/>
  <c r="I52" i="38"/>
  <c r="E53" i="38"/>
  <c r="M53" i="38"/>
  <c r="I54" i="38"/>
  <c r="E55" i="38"/>
  <c r="M55" i="38"/>
  <c r="C40" i="37"/>
  <c r="B46" i="37"/>
  <c r="F51" i="37"/>
  <c r="J58" i="37"/>
  <c r="B64" i="37"/>
  <c r="G67" i="37"/>
  <c r="B30" i="37"/>
  <c r="J32" i="37"/>
  <c r="F35" i="37"/>
  <c r="B38" i="37"/>
  <c r="J40" i="37"/>
  <c r="J46" i="37"/>
  <c r="B52" i="37"/>
  <c r="F59" i="37"/>
  <c r="J64" i="37"/>
  <c r="B68" i="37"/>
  <c r="C58" i="37"/>
  <c r="C44" i="37"/>
  <c r="K58" i="37"/>
  <c r="K44" i="37"/>
  <c r="G59" i="37"/>
  <c r="G45" i="37"/>
  <c r="C60" i="37"/>
  <c r="C46" i="37"/>
  <c r="K60" i="37"/>
  <c r="K46" i="37"/>
  <c r="G61" i="37"/>
  <c r="G47" i="37"/>
  <c r="G63" i="37"/>
  <c r="G49" i="37"/>
  <c r="C64" i="37"/>
  <c r="C50" i="37"/>
  <c r="K64" i="37"/>
  <c r="K50" i="37"/>
  <c r="G65" i="37"/>
  <c r="G51" i="37"/>
  <c r="G69" i="37"/>
  <c r="G55" i="37"/>
  <c r="C30" i="37"/>
  <c r="K32" i="37"/>
  <c r="G35" i="37"/>
  <c r="C38" i="37"/>
  <c r="K40" i="37"/>
  <c r="F47" i="37"/>
  <c r="J52" i="37"/>
  <c r="C68" i="37"/>
  <c r="F33" i="37"/>
  <c r="J38" i="37"/>
  <c r="F41" i="37"/>
  <c r="F53" i="37"/>
  <c r="J68" i="37"/>
  <c r="K30" i="37"/>
  <c r="G33" i="37"/>
  <c r="C36" i="37"/>
  <c r="K38" i="37"/>
  <c r="G41" i="37"/>
  <c r="C66" i="37"/>
  <c r="K68" i="37"/>
  <c r="D30" i="37"/>
  <c r="L30" i="37"/>
  <c r="H31" i="37"/>
  <c r="D32" i="37"/>
  <c r="L32" i="37"/>
  <c r="H33" i="37"/>
  <c r="H35" i="37"/>
  <c r="D36" i="37"/>
  <c r="L36" i="37"/>
  <c r="H37" i="37"/>
  <c r="D38" i="37"/>
  <c r="L38" i="37"/>
  <c r="H39" i="37"/>
  <c r="D40" i="37"/>
  <c r="L40" i="37"/>
  <c r="H41" i="37"/>
  <c r="D44" i="37"/>
  <c r="L44" i="37"/>
  <c r="H45" i="37"/>
  <c r="D46" i="37"/>
  <c r="L46" i="37"/>
  <c r="H47" i="37"/>
  <c r="H49" i="37"/>
  <c r="D50" i="37"/>
  <c r="L50" i="37"/>
  <c r="H51" i="37"/>
  <c r="D52" i="37"/>
  <c r="L52" i="37"/>
  <c r="H53" i="37"/>
  <c r="D54" i="37"/>
  <c r="L54" i="37"/>
  <c r="H55" i="37"/>
  <c r="E30" i="37"/>
  <c r="M30" i="37"/>
  <c r="I31" i="37"/>
  <c r="E32" i="37"/>
  <c r="M32" i="37"/>
  <c r="I33" i="37"/>
  <c r="I35" i="37"/>
  <c r="E36" i="37"/>
  <c r="M36" i="37"/>
  <c r="I37" i="37"/>
  <c r="E38" i="37"/>
  <c r="M38" i="37"/>
  <c r="I39" i="37"/>
  <c r="E40" i="37"/>
  <c r="M40" i="37"/>
  <c r="I41" i="37"/>
  <c r="E44" i="37"/>
  <c r="M44" i="37"/>
  <c r="I45" i="37"/>
  <c r="E46" i="37"/>
  <c r="M46" i="37"/>
  <c r="I47" i="37"/>
  <c r="I49" i="37"/>
  <c r="E50" i="37"/>
  <c r="M50" i="37"/>
  <c r="I51" i="37"/>
  <c r="E52" i="37"/>
  <c r="M52" i="37"/>
  <c r="I53" i="37"/>
  <c r="E54" i="37"/>
  <c r="M54" i="37"/>
  <c r="I55" i="37"/>
  <c r="F30" i="37"/>
  <c r="B31" i="37"/>
  <c r="J31" i="37"/>
  <c r="F32" i="37"/>
  <c r="B33" i="37"/>
  <c r="J33" i="37"/>
  <c r="B35" i="37"/>
  <c r="J35" i="37"/>
  <c r="F36" i="37"/>
  <c r="B37" i="37"/>
  <c r="J37" i="37"/>
  <c r="F38" i="37"/>
  <c r="B39" i="37"/>
  <c r="J39" i="37"/>
  <c r="F40" i="37"/>
  <c r="B41" i="37"/>
  <c r="J41" i="37"/>
  <c r="F44" i="37"/>
  <c r="B45" i="37"/>
  <c r="J45" i="37"/>
  <c r="F46" i="37"/>
  <c r="B47" i="37"/>
  <c r="J47" i="37"/>
  <c r="B49" i="37"/>
  <c r="J49" i="37"/>
  <c r="F50" i="37"/>
  <c r="B51" i="37"/>
  <c r="J51" i="37"/>
  <c r="F52" i="37"/>
  <c r="B53" i="37"/>
  <c r="J53" i="37"/>
  <c r="F54" i="37"/>
  <c r="B55" i="37"/>
  <c r="J55" i="37"/>
  <c r="G30" i="37"/>
  <c r="C31" i="37"/>
  <c r="K31" i="37"/>
  <c r="G32" i="37"/>
  <c r="C33" i="37"/>
  <c r="K33" i="37"/>
  <c r="C35" i="37"/>
  <c r="K35" i="37"/>
  <c r="G36" i="37"/>
  <c r="C37" i="37"/>
  <c r="K37" i="37"/>
  <c r="G38" i="37"/>
  <c r="C39" i="37"/>
  <c r="K39" i="37"/>
  <c r="G40" i="37"/>
  <c r="C41" i="37"/>
  <c r="K41" i="37"/>
  <c r="G44" i="37"/>
  <c r="C45" i="37"/>
  <c r="K45" i="37"/>
  <c r="G46" i="37"/>
  <c r="C47" i="37"/>
  <c r="K47" i="37"/>
  <c r="C49" i="37"/>
  <c r="K49" i="37"/>
  <c r="G50" i="37"/>
  <c r="C51" i="37"/>
  <c r="K51" i="37"/>
  <c r="G52" i="37"/>
  <c r="C53" i="37"/>
  <c r="K53" i="37"/>
  <c r="G54" i="37"/>
  <c r="C55" i="37"/>
  <c r="K55" i="37"/>
  <c r="H30" i="37"/>
  <c r="D31" i="37"/>
  <c r="L31" i="37"/>
  <c r="H32" i="37"/>
  <c r="D33" i="37"/>
  <c r="L33" i="37"/>
  <c r="D35" i="37"/>
  <c r="L35" i="37"/>
  <c r="H36" i="37"/>
  <c r="D37" i="37"/>
  <c r="L37" i="37"/>
  <c r="H38" i="37"/>
  <c r="D39" i="37"/>
  <c r="L39" i="37"/>
  <c r="H40" i="37"/>
  <c r="D41" i="37"/>
  <c r="L41" i="37"/>
  <c r="H44" i="37"/>
  <c r="D45" i="37"/>
  <c r="L45" i="37"/>
  <c r="H46" i="37"/>
  <c r="D47" i="37"/>
  <c r="L47" i="37"/>
  <c r="D49" i="37"/>
  <c r="L49" i="37"/>
  <c r="H50" i="37"/>
  <c r="D51" i="37"/>
  <c r="L51" i="37"/>
  <c r="H52" i="37"/>
  <c r="D53" i="37"/>
  <c r="L53" i="37"/>
  <c r="H54" i="37"/>
  <c r="D55" i="37"/>
  <c r="L55" i="37"/>
  <c r="I30" i="37"/>
  <c r="E31" i="37"/>
  <c r="M31" i="37"/>
  <c r="I32" i="37"/>
  <c r="E33" i="37"/>
  <c r="M33" i="37"/>
  <c r="E35" i="37"/>
  <c r="M35" i="37"/>
  <c r="I36" i="37"/>
  <c r="E37" i="37"/>
  <c r="M37" i="37"/>
  <c r="I38" i="37"/>
  <c r="E39" i="37"/>
  <c r="M39" i="37"/>
  <c r="I40" i="37"/>
  <c r="E41" i="37"/>
  <c r="M41" i="37"/>
  <c r="I44" i="37"/>
  <c r="E45" i="37"/>
  <c r="M45" i="37"/>
  <c r="I46" i="37"/>
  <c r="E47" i="37"/>
  <c r="M47" i="37"/>
  <c r="E49" i="37"/>
  <c r="M49" i="37"/>
  <c r="I50" i="37"/>
  <c r="E51" i="37"/>
  <c r="M51" i="37"/>
  <c r="I52" i="37"/>
  <c r="E53" i="37"/>
  <c r="M53" i="37"/>
  <c r="I54" i="37"/>
  <c r="E55" i="37"/>
  <c r="M55" i="37"/>
  <c r="F69" i="36"/>
  <c r="C30" i="36"/>
  <c r="K30" i="36"/>
  <c r="G31" i="36"/>
  <c r="C32" i="36"/>
  <c r="K32" i="36"/>
  <c r="G33" i="36"/>
  <c r="G35" i="36"/>
  <c r="C36" i="36"/>
  <c r="K36" i="36"/>
  <c r="G37" i="36"/>
  <c r="C38" i="36"/>
  <c r="K38" i="36"/>
  <c r="G39" i="36"/>
  <c r="C40" i="36"/>
  <c r="K40" i="36"/>
  <c r="G41" i="36"/>
  <c r="C44" i="36"/>
  <c r="K44" i="36"/>
  <c r="G45" i="36"/>
  <c r="C46" i="36"/>
  <c r="K46" i="36"/>
  <c r="G47" i="36"/>
  <c r="G49" i="36"/>
  <c r="C50" i="36"/>
  <c r="K50" i="36"/>
  <c r="G51" i="36"/>
  <c r="C52" i="36"/>
  <c r="K52" i="36"/>
  <c r="G53" i="36"/>
  <c r="C54" i="36"/>
  <c r="K54" i="36"/>
  <c r="G55" i="36"/>
  <c r="J68" i="36"/>
  <c r="D30" i="36"/>
  <c r="L30" i="36"/>
  <c r="H31" i="36"/>
  <c r="D32" i="36"/>
  <c r="L32" i="36"/>
  <c r="H33" i="36"/>
  <c r="H35" i="36"/>
  <c r="D36" i="36"/>
  <c r="L36" i="36"/>
  <c r="H37" i="36"/>
  <c r="D38" i="36"/>
  <c r="L38" i="36"/>
  <c r="H39" i="36"/>
  <c r="D40" i="36"/>
  <c r="L40" i="36"/>
  <c r="H41" i="36"/>
  <c r="D44" i="36"/>
  <c r="L44" i="36"/>
  <c r="H45" i="36"/>
  <c r="D46" i="36"/>
  <c r="L46" i="36"/>
  <c r="H47" i="36"/>
  <c r="H49" i="36"/>
  <c r="D50" i="36"/>
  <c r="L50" i="36"/>
  <c r="H51" i="36"/>
  <c r="D52" i="36"/>
  <c r="L52" i="36"/>
  <c r="H53" i="36"/>
  <c r="D54" i="36"/>
  <c r="L54" i="36"/>
  <c r="H55" i="36"/>
  <c r="F67" i="36"/>
  <c r="E30" i="36"/>
  <c r="M30" i="36"/>
  <c r="I31" i="36"/>
  <c r="E32" i="36"/>
  <c r="M32" i="36"/>
  <c r="I33" i="36"/>
  <c r="I35" i="36"/>
  <c r="E36" i="36"/>
  <c r="M36" i="36"/>
  <c r="I37" i="36"/>
  <c r="E38" i="36"/>
  <c r="M38" i="36"/>
  <c r="I39" i="36"/>
  <c r="E40" i="36"/>
  <c r="M40" i="36"/>
  <c r="I41" i="36"/>
  <c r="E44" i="36"/>
  <c r="M44" i="36"/>
  <c r="I45" i="36"/>
  <c r="E46" i="36"/>
  <c r="M46" i="36"/>
  <c r="I47" i="36"/>
  <c r="I49" i="36"/>
  <c r="E50" i="36"/>
  <c r="M50" i="36"/>
  <c r="I51" i="36"/>
  <c r="E52" i="36"/>
  <c r="M52" i="36"/>
  <c r="I53" i="36"/>
  <c r="E54" i="36"/>
  <c r="M54" i="36"/>
  <c r="I55" i="36"/>
  <c r="B30" i="36"/>
  <c r="F31" i="36"/>
  <c r="J32" i="36"/>
  <c r="F35" i="36"/>
  <c r="J36" i="36"/>
  <c r="B38" i="36"/>
  <c r="F39" i="36"/>
  <c r="J40" i="36"/>
  <c r="F41" i="36"/>
  <c r="J44" i="36"/>
  <c r="B46" i="36"/>
  <c r="F47" i="36"/>
  <c r="J50" i="36"/>
  <c r="B52" i="36"/>
  <c r="B54" i="36"/>
  <c r="J58" i="36"/>
  <c r="B60" i="36"/>
  <c r="F61" i="36"/>
  <c r="B64" i="36"/>
  <c r="B68" i="36"/>
  <c r="F30" i="36"/>
  <c r="B31" i="36"/>
  <c r="J31" i="36"/>
  <c r="F32" i="36"/>
  <c r="B33" i="36"/>
  <c r="J33" i="36"/>
  <c r="B35" i="36"/>
  <c r="J35" i="36"/>
  <c r="F36" i="36"/>
  <c r="B37" i="36"/>
  <c r="J37" i="36"/>
  <c r="F38" i="36"/>
  <c r="B39" i="36"/>
  <c r="J39" i="36"/>
  <c r="F40" i="36"/>
  <c r="B41" i="36"/>
  <c r="J41" i="36"/>
  <c r="F44" i="36"/>
  <c r="B45" i="36"/>
  <c r="J45" i="36"/>
  <c r="F46" i="36"/>
  <c r="B47" i="36"/>
  <c r="J47" i="36"/>
  <c r="B49" i="36"/>
  <c r="J49" i="36"/>
  <c r="F50" i="36"/>
  <c r="B51" i="36"/>
  <c r="J51" i="36"/>
  <c r="F52" i="36"/>
  <c r="B53" i="36"/>
  <c r="J53" i="36"/>
  <c r="F54" i="36"/>
  <c r="B55" i="36"/>
  <c r="J55" i="36"/>
  <c r="J66" i="36"/>
  <c r="G30" i="36"/>
  <c r="C31" i="36"/>
  <c r="K31" i="36"/>
  <c r="G32" i="36"/>
  <c r="C33" i="36"/>
  <c r="K33" i="36"/>
  <c r="C35" i="36"/>
  <c r="K35" i="36"/>
  <c r="G36" i="36"/>
  <c r="C37" i="36"/>
  <c r="K37" i="36"/>
  <c r="G38" i="36"/>
  <c r="C39" i="36"/>
  <c r="K39" i="36"/>
  <c r="G40" i="36"/>
  <c r="C41" i="36"/>
  <c r="K41" i="36"/>
  <c r="G44" i="36"/>
  <c r="C45" i="36"/>
  <c r="K45" i="36"/>
  <c r="G46" i="36"/>
  <c r="C47" i="36"/>
  <c r="K47" i="36"/>
  <c r="C49" i="36"/>
  <c r="K49" i="36"/>
  <c r="G50" i="36"/>
  <c r="C51" i="36"/>
  <c r="K51" i="36"/>
  <c r="G52" i="36"/>
  <c r="C53" i="36"/>
  <c r="K53" i="36"/>
  <c r="G54" i="36"/>
  <c r="C55" i="36"/>
  <c r="K55" i="36"/>
  <c r="F65" i="36"/>
  <c r="H30" i="36"/>
  <c r="D31" i="36"/>
  <c r="L31" i="36"/>
  <c r="H32" i="36"/>
  <c r="D33" i="36"/>
  <c r="L33" i="36"/>
  <c r="D35" i="36"/>
  <c r="L35" i="36"/>
  <c r="H36" i="36"/>
  <c r="D37" i="36"/>
  <c r="L37" i="36"/>
  <c r="H38" i="36"/>
  <c r="D39" i="36"/>
  <c r="L39" i="36"/>
  <c r="H40" i="36"/>
  <c r="D41" i="36"/>
  <c r="L41" i="36"/>
  <c r="H44" i="36"/>
  <c r="D45" i="36"/>
  <c r="L45" i="36"/>
  <c r="H46" i="36"/>
  <c r="D47" i="36"/>
  <c r="L47" i="36"/>
  <c r="D49" i="36"/>
  <c r="L49" i="36"/>
  <c r="H50" i="36"/>
  <c r="D51" i="36"/>
  <c r="L51" i="36"/>
  <c r="H52" i="36"/>
  <c r="D53" i="36"/>
  <c r="L53" i="36"/>
  <c r="H54" i="36"/>
  <c r="D55" i="36"/>
  <c r="L55" i="36"/>
  <c r="B36" i="36"/>
  <c r="F37" i="36"/>
  <c r="J38" i="36"/>
  <c r="B44" i="36"/>
  <c r="F45" i="36"/>
  <c r="J46" i="36"/>
  <c r="F49" i="36"/>
  <c r="I30" i="36"/>
  <c r="E31" i="36"/>
  <c r="M31" i="36"/>
  <c r="I32" i="36"/>
  <c r="E33" i="36"/>
  <c r="M33" i="36"/>
  <c r="E35" i="36"/>
  <c r="M35" i="36"/>
  <c r="I36" i="36"/>
  <c r="E37" i="36"/>
  <c r="M37" i="36"/>
  <c r="I38" i="36"/>
  <c r="E39" i="36"/>
  <c r="M39" i="36"/>
  <c r="I40" i="36"/>
  <c r="E41" i="36"/>
  <c r="M41" i="36"/>
  <c r="I44" i="36"/>
  <c r="E45" i="36"/>
  <c r="M45" i="36"/>
  <c r="I46" i="36"/>
  <c r="E47" i="36"/>
  <c r="M47" i="36"/>
  <c r="E49" i="36"/>
  <c r="M49" i="36"/>
  <c r="I50" i="36"/>
  <c r="E51" i="36"/>
  <c r="M51" i="36"/>
  <c r="I52" i="36"/>
  <c r="E53" i="36"/>
  <c r="M53" i="36"/>
  <c r="I54" i="36"/>
  <c r="E55" i="36"/>
  <c r="M55" i="36"/>
  <c r="F59" i="35"/>
  <c r="F45" i="35"/>
  <c r="B60" i="35"/>
  <c r="B46" i="35"/>
  <c r="J60" i="35"/>
  <c r="J46" i="35"/>
  <c r="F61" i="35"/>
  <c r="F47" i="35"/>
  <c r="F63" i="35"/>
  <c r="F49" i="35"/>
  <c r="B64" i="35"/>
  <c r="B50" i="35"/>
  <c r="J64" i="35"/>
  <c r="J50" i="35"/>
  <c r="F65" i="35"/>
  <c r="F51" i="35"/>
  <c r="B66" i="35"/>
  <c r="B52" i="35"/>
  <c r="J66" i="35"/>
  <c r="J52" i="35"/>
  <c r="J68" i="35"/>
  <c r="J54" i="35"/>
  <c r="B30" i="35"/>
  <c r="F35" i="35"/>
  <c r="J40" i="35"/>
  <c r="F31" i="35"/>
  <c r="J36" i="35"/>
  <c r="B44" i="35"/>
  <c r="B32" i="35"/>
  <c r="F37" i="35"/>
  <c r="J44" i="35"/>
  <c r="J32" i="35"/>
  <c r="B38" i="35"/>
  <c r="F67" i="35"/>
  <c r="G58" i="35"/>
  <c r="G44" i="35"/>
  <c r="G30" i="35"/>
  <c r="C59" i="35"/>
  <c r="C45" i="35"/>
  <c r="C31" i="35"/>
  <c r="K59" i="35"/>
  <c r="K45" i="35"/>
  <c r="K31" i="35"/>
  <c r="G60" i="35"/>
  <c r="AI6" i="42" s="1"/>
  <c r="G46" i="35"/>
  <c r="G32" i="35"/>
  <c r="C61" i="35"/>
  <c r="C47" i="35"/>
  <c r="C33" i="35"/>
  <c r="K61" i="35"/>
  <c r="AM7" i="42" s="1"/>
  <c r="K47" i="35"/>
  <c r="K33" i="35"/>
  <c r="C63" i="35"/>
  <c r="AE9" i="42" s="1"/>
  <c r="C49" i="35"/>
  <c r="C35" i="35"/>
  <c r="K63" i="35"/>
  <c r="K49" i="35"/>
  <c r="K35" i="35"/>
  <c r="G64" i="35"/>
  <c r="AI10" i="42" s="1"/>
  <c r="G50" i="35"/>
  <c r="G36" i="35"/>
  <c r="C65" i="35"/>
  <c r="C51" i="35"/>
  <c r="C37" i="35"/>
  <c r="K65" i="35"/>
  <c r="AM11" i="42" s="1"/>
  <c r="K51" i="35"/>
  <c r="K37" i="35"/>
  <c r="G66" i="35"/>
  <c r="AI12" i="42" s="1"/>
  <c r="G52" i="35"/>
  <c r="G38" i="35"/>
  <c r="C67" i="35"/>
  <c r="C53" i="35"/>
  <c r="C39" i="35"/>
  <c r="K67" i="35"/>
  <c r="K53" i="35"/>
  <c r="K39" i="35"/>
  <c r="C69" i="35"/>
  <c r="AE15" i="42" s="1"/>
  <c r="C55" i="35"/>
  <c r="C41" i="35"/>
  <c r="F33" i="35"/>
  <c r="J38" i="35"/>
  <c r="B68" i="35"/>
  <c r="F39" i="35"/>
  <c r="F69" i="35"/>
  <c r="C30" i="35"/>
  <c r="K30" i="35"/>
  <c r="G31" i="35"/>
  <c r="C32" i="35"/>
  <c r="K32" i="35"/>
  <c r="G33" i="35"/>
  <c r="G35" i="35"/>
  <c r="C36" i="35"/>
  <c r="K36" i="35"/>
  <c r="G37" i="35"/>
  <c r="C38" i="35"/>
  <c r="K38" i="35"/>
  <c r="G39" i="35"/>
  <c r="C40" i="35"/>
  <c r="K40" i="35"/>
  <c r="G41" i="35"/>
  <c r="C44" i="35"/>
  <c r="K44" i="35"/>
  <c r="G45" i="35"/>
  <c r="C46" i="35"/>
  <c r="K46" i="35"/>
  <c r="G47" i="35"/>
  <c r="G49" i="35"/>
  <c r="C50" i="35"/>
  <c r="K50" i="35"/>
  <c r="G51" i="35"/>
  <c r="C52" i="35"/>
  <c r="K52" i="35"/>
  <c r="G53" i="35"/>
  <c r="C54" i="35"/>
  <c r="K54" i="35"/>
  <c r="G55" i="35"/>
  <c r="D30" i="35"/>
  <c r="L30" i="35"/>
  <c r="H31" i="35"/>
  <c r="D32" i="35"/>
  <c r="L32" i="35"/>
  <c r="H33" i="35"/>
  <c r="H35" i="35"/>
  <c r="D36" i="35"/>
  <c r="L36" i="35"/>
  <c r="H37" i="35"/>
  <c r="D38" i="35"/>
  <c r="L38" i="35"/>
  <c r="H39" i="35"/>
  <c r="D40" i="35"/>
  <c r="L40" i="35"/>
  <c r="H41" i="35"/>
  <c r="D44" i="35"/>
  <c r="L44" i="35"/>
  <c r="H45" i="35"/>
  <c r="D46" i="35"/>
  <c r="L46" i="35"/>
  <c r="H47" i="35"/>
  <c r="H49" i="35"/>
  <c r="D50" i="35"/>
  <c r="L50" i="35"/>
  <c r="H51" i="35"/>
  <c r="D52" i="35"/>
  <c r="L52" i="35"/>
  <c r="H53" i="35"/>
  <c r="D54" i="35"/>
  <c r="L54" i="35"/>
  <c r="H55" i="35"/>
  <c r="E30" i="35"/>
  <c r="M30" i="35"/>
  <c r="I31" i="35"/>
  <c r="E32" i="35"/>
  <c r="M32" i="35"/>
  <c r="I33" i="35"/>
  <c r="I35" i="35"/>
  <c r="E36" i="35"/>
  <c r="M36" i="35"/>
  <c r="I37" i="35"/>
  <c r="E38" i="35"/>
  <c r="M38" i="35"/>
  <c r="I39" i="35"/>
  <c r="E40" i="35"/>
  <c r="M40" i="35"/>
  <c r="I41" i="35"/>
  <c r="E44" i="35"/>
  <c r="M44" i="35"/>
  <c r="I45" i="35"/>
  <c r="E46" i="35"/>
  <c r="M46" i="35"/>
  <c r="I47" i="35"/>
  <c r="I49" i="35"/>
  <c r="E50" i="35"/>
  <c r="M50" i="35"/>
  <c r="I51" i="35"/>
  <c r="E52" i="35"/>
  <c r="M52" i="35"/>
  <c r="I53" i="35"/>
  <c r="E54" i="35"/>
  <c r="M54" i="35"/>
  <c r="I55" i="35"/>
  <c r="F30" i="35"/>
  <c r="B31" i="35"/>
  <c r="J31" i="35"/>
  <c r="F32" i="35"/>
  <c r="B33" i="35"/>
  <c r="J33" i="35"/>
  <c r="B35" i="35"/>
  <c r="J35" i="35"/>
  <c r="F36" i="35"/>
  <c r="B37" i="35"/>
  <c r="J37" i="35"/>
  <c r="F38" i="35"/>
  <c r="B39" i="35"/>
  <c r="J39" i="35"/>
  <c r="F40" i="35"/>
  <c r="B41" i="35"/>
  <c r="J41" i="35"/>
  <c r="F44" i="35"/>
  <c r="B45" i="35"/>
  <c r="J45" i="35"/>
  <c r="F46" i="35"/>
  <c r="B47" i="35"/>
  <c r="J47" i="35"/>
  <c r="B49" i="35"/>
  <c r="J49" i="35"/>
  <c r="F50" i="35"/>
  <c r="B51" i="35"/>
  <c r="J51" i="35"/>
  <c r="F52" i="35"/>
  <c r="B53" i="35"/>
  <c r="J53" i="35"/>
  <c r="F54" i="35"/>
  <c r="B55" i="35"/>
  <c r="J55" i="35"/>
  <c r="G40" i="35"/>
  <c r="K41" i="35"/>
  <c r="G54" i="35"/>
  <c r="K55" i="35"/>
  <c r="H30" i="35"/>
  <c r="D31" i="35"/>
  <c r="L31" i="35"/>
  <c r="H32" i="35"/>
  <c r="D33" i="35"/>
  <c r="L33" i="35"/>
  <c r="D35" i="35"/>
  <c r="L35" i="35"/>
  <c r="H36" i="35"/>
  <c r="D37" i="35"/>
  <c r="L37" i="35"/>
  <c r="H38" i="35"/>
  <c r="D39" i="35"/>
  <c r="L39" i="35"/>
  <c r="H40" i="35"/>
  <c r="D41" i="35"/>
  <c r="L41" i="35"/>
  <c r="H44" i="35"/>
  <c r="D45" i="35"/>
  <c r="L45" i="35"/>
  <c r="H46" i="35"/>
  <c r="D47" i="35"/>
  <c r="L47" i="35"/>
  <c r="D49" i="35"/>
  <c r="L49" i="35"/>
  <c r="H50" i="35"/>
  <c r="D51" i="35"/>
  <c r="L51" i="35"/>
  <c r="H52" i="35"/>
  <c r="D53" i="35"/>
  <c r="L53" i="35"/>
  <c r="H54" i="35"/>
  <c r="D55" i="35"/>
  <c r="L55" i="35"/>
  <c r="I30" i="35"/>
  <c r="E31" i="35"/>
  <c r="M31" i="35"/>
  <c r="I32" i="35"/>
  <c r="E33" i="35"/>
  <c r="M33" i="35"/>
  <c r="E35" i="35"/>
  <c r="M35" i="35"/>
  <c r="I36" i="35"/>
  <c r="E37" i="35"/>
  <c r="M37" i="35"/>
  <c r="I38" i="35"/>
  <c r="E39" i="35"/>
  <c r="M39" i="35"/>
  <c r="I40" i="35"/>
  <c r="E41" i="35"/>
  <c r="M41" i="35"/>
  <c r="I44" i="35"/>
  <c r="E45" i="35"/>
  <c r="M45" i="35"/>
  <c r="I46" i="35"/>
  <c r="E47" i="35"/>
  <c r="M47" i="35"/>
  <c r="E49" i="35"/>
  <c r="M49" i="35"/>
  <c r="I50" i="35"/>
  <c r="E51" i="35"/>
  <c r="M51" i="35"/>
  <c r="I52" i="35"/>
  <c r="E53" i="35"/>
  <c r="M53" i="35"/>
  <c r="I54" i="35"/>
  <c r="E55" i="35"/>
  <c r="M55" i="35"/>
  <c r="J32" i="34"/>
  <c r="J40" i="34"/>
  <c r="J68" i="34"/>
  <c r="C30" i="34"/>
  <c r="K30" i="34"/>
  <c r="G31" i="34"/>
  <c r="C32" i="34"/>
  <c r="K32" i="34"/>
  <c r="G33" i="34"/>
  <c r="G35" i="34"/>
  <c r="C36" i="34"/>
  <c r="K36" i="34"/>
  <c r="G37" i="34"/>
  <c r="C38" i="34"/>
  <c r="K38" i="34"/>
  <c r="G39" i="34"/>
  <c r="C40" i="34"/>
  <c r="K40" i="34"/>
  <c r="G41" i="34"/>
  <c r="C44" i="34"/>
  <c r="K44" i="34"/>
  <c r="G45" i="34"/>
  <c r="C46" i="34"/>
  <c r="K46" i="34"/>
  <c r="G47" i="34"/>
  <c r="G49" i="34"/>
  <c r="C50" i="34"/>
  <c r="K50" i="34"/>
  <c r="G51" i="34"/>
  <c r="C52" i="34"/>
  <c r="K52" i="34"/>
  <c r="G53" i="34"/>
  <c r="C54" i="34"/>
  <c r="K54" i="34"/>
  <c r="G55" i="34"/>
  <c r="B36" i="34"/>
  <c r="F69" i="34"/>
  <c r="D30" i="34"/>
  <c r="L30" i="34"/>
  <c r="H31" i="34"/>
  <c r="D32" i="34"/>
  <c r="L32" i="34"/>
  <c r="H33" i="34"/>
  <c r="H35" i="34"/>
  <c r="D36" i="34"/>
  <c r="L36" i="34"/>
  <c r="H37" i="34"/>
  <c r="D38" i="34"/>
  <c r="L38" i="34"/>
  <c r="H39" i="34"/>
  <c r="D40" i="34"/>
  <c r="L40" i="34"/>
  <c r="H41" i="34"/>
  <c r="D44" i="34"/>
  <c r="L44" i="34"/>
  <c r="H45" i="34"/>
  <c r="D46" i="34"/>
  <c r="L46" i="34"/>
  <c r="H47" i="34"/>
  <c r="H49" i="34"/>
  <c r="D50" i="34"/>
  <c r="L50" i="34"/>
  <c r="H51" i="34"/>
  <c r="D52" i="34"/>
  <c r="L52" i="34"/>
  <c r="H53" i="34"/>
  <c r="D54" i="34"/>
  <c r="L54" i="34"/>
  <c r="H55" i="34"/>
  <c r="B32" i="34"/>
  <c r="F35" i="34"/>
  <c r="J36" i="34"/>
  <c r="F39" i="34"/>
  <c r="F41" i="34"/>
  <c r="J44" i="34"/>
  <c r="B46" i="34"/>
  <c r="F47" i="34"/>
  <c r="B50" i="34"/>
  <c r="F51" i="34"/>
  <c r="J52" i="34"/>
  <c r="B54" i="34"/>
  <c r="J58" i="34"/>
  <c r="F61" i="34"/>
  <c r="F63" i="34"/>
  <c r="B68" i="34"/>
  <c r="E30" i="34"/>
  <c r="M30" i="34"/>
  <c r="I31" i="34"/>
  <c r="E32" i="34"/>
  <c r="M32" i="34"/>
  <c r="I33" i="34"/>
  <c r="I35" i="34"/>
  <c r="E36" i="34"/>
  <c r="M36" i="34"/>
  <c r="I37" i="34"/>
  <c r="E38" i="34"/>
  <c r="M38" i="34"/>
  <c r="I39" i="34"/>
  <c r="E40" i="34"/>
  <c r="M40" i="34"/>
  <c r="I41" i="34"/>
  <c r="E44" i="34"/>
  <c r="M44" i="34"/>
  <c r="I45" i="34"/>
  <c r="E46" i="34"/>
  <c r="M46" i="34"/>
  <c r="I47" i="34"/>
  <c r="I49" i="34"/>
  <c r="E50" i="34"/>
  <c r="M50" i="34"/>
  <c r="I51" i="34"/>
  <c r="E52" i="34"/>
  <c r="M52" i="34"/>
  <c r="I53" i="34"/>
  <c r="E54" i="34"/>
  <c r="M54" i="34"/>
  <c r="I55" i="34"/>
  <c r="J66" i="34"/>
  <c r="F30" i="34"/>
  <c r="B31" i="34"/>
  <c r="J31" i="34"/>
  <c r="F32" i="34"/>
  <c r="B33" i="34"/>
  <c r="J33" i="34"/>
  <c r="B35" i="34"/>
  <c r="J35" i="34"/>
  <c r="F36" i="34"/>
  <c r="B37" i="34"/>
  <c r="J37" i="34"/>
  <c r="F38" i="34"/>
  <c r="B39" i="34"/>
  <c r="J39" i="34"/>
  <c r="F40" i="34"/>
  <c r="B41" i="34"/>
  <c r="J41" i="34"/>
  <c r="F44" i="34"/>
  <c r="B45" i="34"/>
  <c r="J45" i="34"/>
  <c r="F46" i="34"/>
  <c r="B47" i="34"/>
  <c r="J47" i="34"/>
  <c r="B49" i="34"/>
  <c r="J49" i="34"/>
  <c r="F50" i="34"/>
  <c r="B51" i="34"/>
  <c r="J51" i="34"/>
  <c r="F52" i="34"/>
  <c r="B53" i="34"/>
  <c r="J53" i="34"/>
  <c r="F54" i="34"/>
  <c r="B55" i="34"/>
  <c r="J55" i="34"/>
  <c r="B38" i="34"/>
  <c r="F65" i="34"/>
  <c r="G30" i="34"/>
  <c r="C31" i="34"/>
  <c r="K31" i="34"/>
  <c r="G32" i="34"/>
  <c r="C33" i="34"/>
  <c r="K33" i="34"/>
  <c r="C35" i="34"/>
  <c r="K35" i="34"/>
  <c r="G36" i="34"/>
  <c r="C37" i="34"/>
  <c r="K37" i="34"/>
  <c r="G38" i="34"/>
  <c r="C39" i="34"/>
  <c r="K39" i="34"/>
  <c r="G40" i="34"/>
  <c r="C41" i="34"/>
  <c r="K41" i="34"/>
  <c r="G44" i="34"/>
  <c r="C45" i="34"/>
  <c r="K45" i="34"/>
  <c r="G46" i="34"/>
  <c r="C47" i="34"/>
  <c r="K47" i="34"/>
  <c r="C49" i="34"/>
  <c r="K49" i="34"/>
  <c r="G50" i="34"/>
  <c r="C51" i="34"/>
  <c r="K51" i="34"/>
  <c r="G52" i="34"/>
  <c r="C53" i="34"/>
  <c r="K53" i="34"/>
  <c r="G54" i="34"/>
  <c r="C55" i="34"/>
  <c r="K55" i="34"/>
  <c r="B30" i="34"/>
  <c r="F67" i="34"/>
  <c r="H30" i="34"/>
  <c r="D31" i="34"/>
  <c r="L31" i="34"/>
  <c r="H32" i="34"/>
  <c r="D33" i="34"/>
  <c r="L33" i="34"/>
  <c r="D35" i="34"/>
  <c r="L35" i="34"/>
  <c r="H36" i="34"/>
  <c r="D37" i="34"/>
  <c r="L37" i="34"/>
  <c r="H38" i="34"/>
  <c r="D39" i="34"/>
  <c r="L39" i="34"/>
  <c r="H40" i="34"/>
  <c r="D41" i="34"/>
  <c r="L41" i="34"/>
  <c r="H44" i="34"/>
  <c r="D45" i="34"/>
  <c r="L45" i="34"/>
  <c r="H46" i="34"/>
  <c r="D47" i="34"/>
  <c r="L47" i="34"/>
  <c r="D49" i="34"/>
  <c r="L49" i="34"/>
  <c r="H50" i="34"/>
  <c r="D51" i="34"/>
  <c r="L51" i="34"/>
  <c r="H52" i="34"/>
  <c r="D53" i="34"/>
  <c r="L53" i="34"/>
  <c r="H54" i="34"/>
  <c r="D55" i="34"/>
  <c r="L55" i="34"/>
  <c r="F31" i="34"/>
  <c r="B44" i="34"/>
  <c r="F45" i="34"/>
  <c r="J46" i="34"/>
  <c r="J50" i="34"/>
  <c r="B52" i="34"/>
  <c r="I30" i="34"/>
  <c r="E31" i="34"/>
  <c r="M31" i="34"/>
  <c r="I32" i="34"/>
  <c r="E33" i="34"/>
  <c r="M33" i="34"/>
  <c r="E35" i="34"/>
  <c r="M35" i="34"/>
  <c r="I36" i="34"/>
  <c r="E37" i="34"/>
  <c r="M37" i="34"/>
  <c r="I38" i="34"/>
  <c r="E39" i="34"/>
  <c r="M39" i="34"/>
  <c r="I40" i="34"/>
  <c r="E41" i="34"/>
  <c r="M41" i="34"/>
  <c r="I44" i="34"/>
  <c r="E45" i="34"/>
  <c r="M45" i="34"/>
  <c r="I46" i="34"/>
  <c r="E47" i="34"/>
  <c r="M47" i="34"/>
  <c r="E49" i="34"/>
  <c r="M49" i="34"/>
  <c r="I50" i="34"/>
  <c r="E51" i="34"/>
  <c r="M51" i="34"/>
  <c r="I52" i="34"/>
  <c r="E53" i="34"/>
  <c r="M53" i="34"/>
  <c r="I54" i="34"/>
  <c r="E55" i="34"/>
  <c r="M55" i="34"/>
  <c r="J30" i="33"/>
  <c r="J36" i="33"/>
  <c r="F39" i="33"/>
  <c r="B44" i="33"/>
  <c r="B46" i="33"/>
  <c r="F51" i="33"/>
  <c r="J52" i="33"/>
  <c r="F55" i="33"/>
  <c r="J58" i="33"/>
  <c r="F61" i="33"/>
  <c r="B64" i="33"/>
  <c r="F65" i="33"/>
  <c r="J66" i="33"/>
  <c r="F69" i="33"/>
  <c r="C30" i="33"/>
  <c r="K30" i="33"/>
  <c r="G31" i="33"/>
  <c r="C32" i="33"/>
  <c r="K32" i="33"/>
  <c r="G33" i="33"/>
  <c r="G35" i="33"/>
  <c r="C36" i="33"/>
  <c r="K36" i="33"/>
  <c r="G37" i="33"/>
  <c r="C38" i="33"/>
  <c r="K38" i="33"/>
  <c r="G39" i="33"/>
  <c r="C40" i="33"/>
  <c r="K40" i="33"/>
  <c r="G41" i="33"/>
  <c r="C44" i="33"/>
  <c r="K44" i="33"/>
  <c r="G45" i="33"/>
  <c r="C46" i="33"/>
  <c r="K46" i="33"/>
  <c r="G47" i="33"/>
  <c r="G49" i="33"/>
  <c r="C50" i="33"/>
  <c r="K50" i="33"/>
  <c r="G51" i="33"/>
  <c r="C52" i="33"/>
  <c r="K52" i="33"/>
  <c r="G53" i="33"/>
  <c r="C54" i="33"/>
  <c r="K54" i="33"/>
  <c r="G55" i="33"/>
  <c r="F31" i="33"/>
  <c r="F33" i="33"/>
  <c r="B36" i="33"/>
  <c r="J40" i="33"/>
  <c r="F45" i="33"/>
  <c r="F49" i="33"/>
  <c r="B52" i="33"/>
  <c r="J54" i="33"/>
  <c r="B58" i="33"/>
  <c r="J60" i="33"/>
  <c r="F63" i="33"/>
  <c r="J64" i="33"/>
  <c r="B66" i="33"/>
  <c r="D30" i="33"/>
  <c r="L30" i="33"/>
  <c r="H31" i="33"/>
  <c r="D32" i="33"/>
  <c r="L32" i="33"/>
  <c r="H33" i="33"/>
  <c r="H35" i="33"/>
  <c r="D36" i="33"/>
  <c r="L36" i="33"/>
  <c r="H37" i="33"/>
  <c r="D38" i="33"/>
  <c r="L38" i="33"/>
  <c r="H39" i="33"/>
  <c r="D40" i="33"/>
  <c r="L40" i="33"/>
  <c r="H41" i="33"/>
  <c r="D44" i="33"/>
  <c r="L44" i="33"/>
  <c r="H45" i="33"/>
  <c r="D46" i="33"/>
  <c r="L46" i="33"/>
  <c r="H47" i="33"/>
  <c r="H49" i="33"/>
  <c r="D50" i="33"/>
  <c r="L50" i="33"/>
  <c r="H51" i="33"/>
  <c r="D52" i="33"/>
  <c r="L52" i="33"/>
  <c r="H53" i="33"/>
  <c r="D54" i="33"/>
  <c r="L54" i="33"/>
  <c r="H55" i="33"/>
  <c r="J32" i="33"/>
  <c r="B54" i="33"/>
  <c r="B60" i="33"/>
  <c r="B68" i="33"/>
  <c r="E30" i="33"/>
  <c r="M30" i="33"/>
  <c r="I31" i="33"/>
  <c r="E32" i="33"/>
  <c r="M32" i="33"/>
  <c r="I33" i="33"/>
  <c r="I35" i="33"/>
  <c r="E36" i="33"/>
  <c r="M36" i="33"/>
  <c r="I37" i="33"/>
  <c r="E38" i="33"/>
  <c r="M38" i="33"/>
  <c r="I39" i="33"/>
  <c r="E40" i="33"/>
  <c r="M40" i="33"/>
  <c r="I41" i="33"/>
  <c r="E44" i="33"/>
  <c r="M44" i="33"/>
  <c r="I45" i="33"/>
  <c r="E46" i="33"/>
  <c r="M46" i="33"/>
  <c r="I47" i="33"/>
  <c r="I49" i="33"/>
  <c r="E50" i="33"/>
  <c r="M50" i="33"/>
  <c r="I51" i="33"/>
  <c r="E52" i="33"/>
  <c r="M52" i="33"/>
  <c r="I53" i="33"/>
  <c r="E54" i="33"/>
  <c r="M54" i="33"/>
  <c r="I55" i="33"/>
  <c r="F53" i="33"/>
  <c r="F30" i="33"/>
  <c r="B31" i="33"/>
  <c r="J31" i="33"/>
  <c r="F32" i="33"/>
  <c r="B33" i="33"/>
  <c r="J33" i="33"/>
  <c r="B35" i="33"/>
  <c r="J35" i="33"/>
  <c r="F36" i="33"/>
  <c r="B37" i="33"/>
  <c r="J37" i="33"/>
  <c r="F38" i="33"/>
  <c r="B39" i="33"/>
  <c r="J39" i="33"/>
  <c r="F40" i="33"/>
  <c r="B41" i="33"/>
  <c r="J41" i="33"/>
  <c r="F44" i="33"/>
  <c r="B45" i="33"/>
  <c r="J45" i="33"/>
  <c r="F46" i="33"/>
  <c r="B47" i="33"/>
  <c r="J47" i="33"/>
  <c r="B49" i="33"/>
  <c r="J49" i="33"/>
  <c r="F50" i="33"/>
  <c r="B51" i="33"/>
  <c r="J51" i="33"/>
  <c r="F52" i="33"/>
  <c r="B53" i="33"/>
  <c r="J53" i="33"/>
  <c r="F54" i="33"/>
  <c r="B55" i="33"/>
  <c r="J55" i="33"/>
  <c r="G30" i="33"/>
  <c r="C31" i="33"/>
  <c r="K31" i="33"/>
  <c r="G32" i="33"/>
  <c r="C33" i="33"/>
  <c r="K33" i="33"/>
  <c r="C35" i="33"/>
  <c r="K35" i="33"/>
  <c r="G36" i="33"/>
  <c r="C37" i="33"/>
  <c r="K37" i="33"/>
  <c r="G38" i="33"/>
  <c r="C39" i="33"/>
  <c r="K39" i="33"/>
  <c r="G40" i="33"/>
  <c r="C41" i="33"/>
  <c r="K41" i="33"/>
  <c r="G44" i="33"/>
  <c r="C45" i="33"/>
  <c r="K45" i="33"/>
  <c r="G46" i="33"/>
  <c r="C47" i="33"/>
  <c r="K47" i="33"/>
  <c r="C49" i="33"/>
  <c r="K49" i="33"/>
  <c r="G50" i="33"/>
  <c r="C51" i="33"/>
  <c r="K51" i="33"/>
  <c r="G52" i="33"/>
  <c r="C53" i="33"/>
  <c r="K53" i="33"/>
  <c r="G54" i="33"/>
  <c r="C55" i="33"/>
  <c r="K55" i="33"/>
  <c r="H30" i="33"/>
  <c r="D31" i="33"/>
  <c r="L31" i="33"/>
  <c r="H32" i="33"/>
  <c r="D33" i="33"/>
  <c r="L33" i="33"/>
  <c r="D35" i="33"/>
  <c r="L35" i="33"/>
  <c r="H36" i="33"/>
  <c r="D37" i="33"/>
  <c r="L37" i="33"/>
  <c r="H38" i="33"/>
  <c r="D39" i="33"/>
  <c r="L39" i="33"/>
  <c r="H40" i="33"/>
  <c r="D41" i="33"/>
  <c r="L41" i="33"/>
  <c r="H44" i="33"/>
  <c r="D45" i="33"/>
  <c r="L45" i="33"/>
  <c r="H46" i="33"/>
  <c r="D47" i="33"/>
  <c r="L47" i="33"/>
  <c r="D49" i="33"/>
  <c r="L49" i="33"/>
  <c r="H50" i="33"/>
  <c r="D51" i="33"/>
  <c r="L51" i="33"/>
  <c r="H52" i="33"/>
  <c r="D53" i="33"/>
  <c r="L53" i="33"/>
  <c r="H54" i="33"/>
  <c r="D55" i="33"/>
  <c r="L55" i="33"/>
  <c r="I30" i="33"/>
  <c r="E31" i="33"/>
  <c r="M31" i="33"/>
  <c r="I32" i="33"/>
  <c r="E33" i="33"/>
  <c r="M33" i="33"/>
  <c r="E35" i="33"/>
  <c r="M35" i="33"/>
  <c r="I36" i="33"/>
  <c r="E37" i="33"/>
  <c r="M37" i="33"/>
  <c r="I38" i="33"/>
  <c r="E39" i="33"/>
  <c r="M39" i="33"/>
  <c r="I40" i="33"/>
  <c r="E41" i="33"/>
  <c r="M41" i="33"/>
  <c r="I44" i="33"/>
  <c r="E45" i="33"/>
  <c r="M45" i="33"/>
  <c r="I46" i="33"/>
  <c r="E47" i="33"/>
  <c r="M47" i="33"/>
  <c r="E49" i="33"/>
  <c r="M49" i="33"/>
  <c r="I50" i="33"/>
  <c r="E51" i="33"/>
  <c r="M51" i="33"/>
  <c r="I52" i="33"/>
  <c r="E53" i="33"/>
  <c r="M53" i="33"/>
  <c r="I54" i="33"/>
  <c r="E55" i="33"/>
  <c r="M55" i="33"/>
  <c r="B60" i="32"/>
  <c r="B46" i="32"/>
  <c r="J60" i="32"/>
  <c r="J46" i="32"/>
  <c r="F63" i="32"/>
  <c r="F49" i="32"/>
  <c r="J64" i="32"/>
  <c r="J50" i="32"/>
  <c r="B66" i="32"/>
  <c r="B52" i="32"/>
  <c r="F69" i="32"/>
  <c r="F55" i="32"/>
  <c r="B30" i="32"/>
  <c r="J40" i="32"/>
  <c r="J30" i="32"/>
  <c r="F41" i="32"/>
  <c r="F61" i="32"/>
  <c r="F47" i="32"/>
  <c r="B64" i="32"/>
  <c r="B50" i="32"/>
  <c r="F65" i="32"/>
  <c r="F51" i="32"/>
  <c r="J66" i="32"/>
  <c r="J52" i="32"/>
  <c r="F35" i="32"/>
  <c r="F31" i="32"/>
  <c r="J36" i="32"/>
  <c r="B44" i="32"/>
  <c r="F67" i="32"/>
  <c r="F53" i="32"/>
  <c r="B32" i="32"/>
  <c r="F37" i="32"/>
  <c r="J44" i="32"/>
  <c r="J32" i="32"/>
  <c r="B38" i="32"/>
  <c r="F45" i="32"/>
  <c r="F33" i="32"/>
  <c r="J38" i="32"/>
  <c r="B68" i="32"/>
  <c r="F39" i="32"/>
  <c r="J68" i="32"/>
  <c r="C30" i="32"/>
  <c r="K30" i="32"/>
  <c r="G31" i="32"/>
  <c r="C32" i="32"/>
  <c r="K32" i="32"/>
  <c r="G33" i="32"/>
  <c r="G35" i="32"/>
  <c r="C36" i="32"/>
  <c r="K36" i="32"/>
  <c r="G37" i="32"/>
  <c r="C38" i="32"/>
  <c r="K38" i="32"/>
  <c r="G39" i="32"/>
  <c r="C40" i="32"/>
  <c r="K40" i="32"/>
  <c r="G41" i="32"/>
  <c r="C44" i="32"/>
  <c r="K44" i="32"/>
  <c r="G45" i="32"/>
  <c r="C46" i="32"/>
  <c r="K46" i="32"/>
  <c r="G47" i="32"/>
  <c r="G49" i="32"/>
  <c r="C50" i="32"/>
  <c r="K50" i="32"/>
  <c r="G51" i="32"/>
  <c r="C52" i="32"/>
  <c r="K52" i="32"/>
  <c r="G53" i="32"/>
  <c r="C54" i="32"/>
  <c r="K54" i="32"/>
  <c r="G55" i="32"/>
  <c r="D30" i="32"/>
  <c r="L30" i="32"/>
  <c r="H31" i="32"/>
  <c r="D32" i="32"/>
  <c r="L32" i="32"/>
  <c r="H33" i="32"/>
  <c r="H35" i="32"/>
  <c r="D36" i="32"/>
  <c r="L36" i="32"/>
  <c r="H37" i="32"/>
  <c r="D38" i="32"/>
  <c r="L38" i="32"/>
  <c r="H39" i="32"/>
  <c r="D40" i="32"/>
  <c r="L40" i="32"/>
  <c r="H41" i="32"/>
  <c r="D44" i="32"/>
  <c r="L44" i="32"/>
  <c r="H45" i="32"/>
  <c r="D46" i="32"/>
  <c r="L46" i="32"/>
  <c r="H47" i="32"/>
  <c r="H49" i="32"/>
  <c r="D50" i="32"/>
  <c r="L50" i="32"/>
  <c r="H51" i="32"/>
  <c r="D52" i="32"/>
  <c r="L52" i="32"/>
  <c r="H53" i="32"/>
  <c r="D54" i="32"/>
  <c r="L54" i="32"/>
  <c r="H55" i="32"/>
  <c r="E30" i="32"/>
  <c r="M30" i="32"/>
  <c r="I31" i="32"/>
  <c r="E32" i="32"/>
  <c r="M32" i="32"/>
  <c r="I33" i="32"/>
  <c r="I35" i="32"/>
  <c r="E36" i="32"/>
  <c r="M36" i="32"/>
  <c r="I37" i="32"/>
  <c r="E38" i="32"/>
  <c r="M38" i="32"/>
  <c r="I39" i="32"/>
  <c r="E40" i="32"/>
  <c r="M40" i="32"/>
  <c r="I41" i="32"/>
  <c r="E44" i="32"/>
  <c r="M44" i="32"/>
  <c r="I45" i="32"/>
  <c r="E46" i="32"/>
  <c r="M46" i="32"/>
  <c r="I47" i="32"/>
  <c r="I49" i="32"/>
  <c r="E50" i="32"/>
  <c r="M50" i="32"/>
  <c r="I51" i="32"/>
  <c r="E52" i="32"/>
  <c r="M52" i="32"/>
  <c r="I53" i="32"/>
  <c r="E54" i="32"/>
  <c r="M54" i="32"/>
  <c r="I55" i="32"/>
  <c r="F30" i="32"/>
  <c r="B31" i="32"/>
  <c r="J31" i="32"/>
  <c r="F32" i="32"/>
  <c r="B33" i="32"/>
  <c r="J33" i="32"/>
  <c r="B35" i="32"/>
  <c r="J35" i="32"/>
  <c r="F36" i="32"/>
  <c r="B37" i="32"/>
  <c r="J37" i="32"/>
  <c r="F38" i="32"/>
  <c r="B39" i="32"/>
  <c r="J39" i="32"/>
  <c r="F40" i="32"/>
  <c r="B41" i="32"/>
  <c r="J41" i="32"/>
  <c r="F44" i="32"/>
  <c r="B45" i="32"/>
  <c r="J45" i="32"/>
  <c r="F46" i="32"/>
  <c r="B47" i="32"/>
  <c r="J47" i="32"/>
  <c r="B49" i="32"/>
  <c r="J49" i="32"/>
  <c r="F50" i="32"/>
  <c r="B51" i="32"/>
  <c r="J51" i="32"/>
  <c r="F52" i="32"/>
  <c r="B53" i="32"/>
  <c r="J53" i="32"/>
  <c r="F54" i="32"/>
  <c r="B55" i="32"/>
  <c r="J55" i="32"/>
  <c r="G30" i="32"/>
  <c r="C31" i="32"/>
  <c r="K31" i="32"/>
  <c r="G32" i="32"/>
  <c r="C33" i="32"/>
  <c r="K33" i="32"/>
  <c r="C35" i="32"/>
  <c r="K35" i="32"/>
  <c r="G36" i="32"/>
  <c r="C37" i="32"/>
  <c r="K37" i="32"/>
  <c r="G38" i="32"/>
  <c r="C39" i="32"/>
  <c r="K39" i="32"/>
  <c r="G40" i="32"/>
  <c r="C41" i="32"/>
  <c r="K41" i="32"/>
  <c r="G44" i="32"/>
  <c r="C45" i="32"/>
  <c r="K45" i="32"/>
  <c r="G46" i="32"/>
  <c r="C47" i="32"/>
  <c r="K47" i="32"/>
  <c r="C49" i="32"/>
  <c r="K49" i="32"/>
  <c r="G50" i="32"/>
  <c r="C51" i="32"/>
  <c r="K51" i="32"/>
  <c r="G52" i="32"/>
  <c r="C53" i="32"/>
  <c r="K53" i="32"/>
  <c r="G54" i="32"/>
  <c r="C55" i="32"/>
  <c r="K55" i="32"/>
  <c r="H30" i="32"/>
  <c r="D31" i="32"/>
  <c r="L31" i="32"/>
  <c r="H32" i="32"/>
  <c r="D33" i="32"/>
  <c r="L33" i="32"/>
  <c r="D35" i="32"/>
  <c r="L35" i="32"/>
  <c r="H36" i="32"/>
  <c r="D37" i="32"/>
  <c r="L37" i="32"/>
  <c r="H38" i="32"/>
  <c r="D39" i="32"/>
  <c r="L39" i="32"/>
  <c r="H40" i="32"/>
  <c r="D41" i="32"/>
  <c r="L41" i="32"/>
  <c r="H44" i="32"/>
  <c r="D45" i="32"/>
  <c r="L45" i="32"/>
  <c r="H46" i="32"/>
  <c r="D47" i="32"/>
  <c r="L47" i="32"/>
  <c r="D49" i="32"/>
  <c r="L49" i="32"/>
  <c r="H50" i="32"/>
  <c r="D51" i="32"/>
  <c r="L51" i="32"/>
  <c r="H52" i="32"/>
  <c r="D53" i="32"/>
  <c r="L53" i="32"/>
  <c r="H54" i="32"/>
  <c r="D55" i="32"/>
  <c r="L55" i="32"/>
  <c r="I30" i="32"/>
  <c r="E31" i="32"/>
  <c r="M31" i="32"/>
  <c r="I32" i="32"/>
  <c r="E33" i="32"/>
  <c r="M33" i="32"/>
  <c r="E35" i="32"/>
  <c r="M35" i="32"/>
  <c r="I36" i="32"/>
  <c r="E37" i="32"/>
  <c r="M37" i="32"/>
  <c r="I38" i="32"/>
  <c r="E39" i="32"/>
  <c r="M39" i="32"/>
  <c r="I40" i="32"/>
  <c r="E41" i="32"/>
  <c r="M41" i="32"/>
  <c r="I44" i="32"/>
  <c r="E45" i="32"/>
  <c r="M45" i="32"/>
  <c r="I46" i="32"/>
  <c r="E47" i="32"/>
  <c r="M47" i="32"/>
  <c r="E49" i="32"/>
  <c r="M49" i="32"/>
  <c r="I50" i="32"/>
  <c r="E51" i="32"/>
  <c r="M51" i="32"/>
  <c r="I52" i="32"/>
  <c r="E53" i="32"/>
  <c r="M53" i="32"/>
  <c r="I54" i="32"/>
  <c r="E55" i="32"/>
  <c r="M55" i="32"/>
  <c r="B58" i="31"/>
  <c r="B44" i="31"/>
  <c r="J44" i="31"/>
  <c r="J58" i="31"/>
  <c r="F59" i="31"/>
  <c r="F45" i="31"/>
  <c r="B46" i="31"/>
  <c r="B60" i="31"/>
  <c r="J60" i="31"/>
  <c r="J46" i="31"/>
  <c r="F61" i="31"/>
  <c r="F47" i="31"/>
  <c r="F35" i="31"/>
  <c r="F63" i="31"/>
  <c r="F49" i="31"/>
  <c r="B50" i="31"/>
  <c r="B36" i="31"/>
  <c r="B64" i="31"/>
  <c r="J64" i="31"/>
  <c r="J50" i="31"/>
  <c r="F51" i="31"/>
  <c r="F37" i="31"/>
  <c r="F65" i="31"/>
  <c r="B66" i="31"/>
  <c r="B52" i="31"/>
  <c r="B38" i="31"/>
  <c r="J38" i="31"/>
  <c r="J66" i="31"/>
  <c r="J52" i="31"/>
  <c r="F53" i="31"/>
  <c r="F67" i="31"/>
  <c r="F39" i="31"/>
  <c r="B40" i="31"/>
  <c r="B68" i="31"/>
  <c r="B54" i="31"/>
  <c r="J68" i="31"/>
  <c r="J54" i="31"/>
  <c r="J40" i="31"/>
  <c r="F41" i="31"/>
  <c r="F69" i="31"/>
  <c r="F55" i="31"/>
  <c r="B30" i="31"/>
  <c r="J36" i="31"/>
  <c r="C30" i="31"/>
  <c r="K30" i="31"/>
  <c r="G31" i="31"/>
  <c r="C32" i="31"/>
  <c r="K32" i="31"/>
  <c r="G33" i="31"/>
  <c r="G35" i="31"/>
  <c r="C36" i="31"/>
  <c r="K36" i="31"/>
  <c r="G37" i="31"/>
  <c r="C38" i="31"/>
  <c r="K38" i="31"/>
  <c r="G39" i="31"/>
  <c r="C40" i="31"/>
  <c r="K40" i="31"/>
  <c r="G41" i="31"/>
  <c r="C44" i="31"/>
  <c r="K44" i="31"/>
  <c r="G45" i="31"/>
  <c r="C46" i="31"/>
  <c r="K46" i="31"/>
  <c r="G47" i="31"/>
  <c r="G49" i="31"/>
  <c r="C50" i="31"/>
  <c r="K50" i="31"/>
  <c r="G51" i="31"/>
  <c r="C52" i="31"/>
  <c r="K52" i="31"/>
  <c r="G53" i="31"/>
  <c r="C54" i="31"/>
  <c r="K54" i="31"/>
  <c r="G55" i="31"/>
  <c r="D30" i="31"/>
  <c r="L30" i="31"/>
  <c r="H31" i="31"/>
  <c r="D32" i="31"/>
  <c r="L32" i="31"/>
  <c r="H33" i="31"/>
  <c r="H35" i="31"/>
  <c r="D36" i="31"/>
  <c r="L36" i="31"/>
  <c r="H37" i="31"/>
  <c r="D38" i="31"/>
  <c r="L38" i="31"/>
  <c r="H39" i="31"/>
  <c r="D40" i="31"/>
  <c r="L40" i="31"/>
  <c r="H41" i="31"/>
  <c r="D44" i="31"/>
  <c r="L44" i="31"/>
  <c r="H45" i="31"/>
  <c r="D46" i="31"/>
  <c r="L46" i="31"/>
  <c r="H47" i="31"/>
  <c r="H49" i="31"/>
  <c r="D50" i="31"/>
  <c r="L50" i="31"/>
  <c r="H51" i="31"/>
  <c r="D52" i="31"/>
  <c r="L52" i="31"/>
  <c r="H53" i="31"/>
  <c r="D54" i="31"/>
  <c r="L54" i="31"/>
  <c r="H55" i="31"/>
  <c r="E30" i="31"/>
  <c r="M30" i="31"/>
  <c r="I31" i="31"/>
  <c r="E32" i="31"/>
  <c r="M32" i="31"/>
  <c r="I33" i="31"/>
  <c r="I35" i="31"/>
  <c r="E36" i="31"/>
  <c r="M36" i="31"/>
  <c r="I37" i="31"/>
  <c r="E38" i="31"/>
  <c r="M38" i="31"/>
  <c r="I39" i="31"/>
  <c r="E40" i="31"/>
  <c r="M40" i="31"/>
  <c r="I41" i="31"/>
  <c r="E44" i="31"/>
  <c r="M44" i="31"/>
  <c r="I45" i="31"/>
  <c r="E46" i="31"/>
  <c r="M46" i="31"/>
  <c r="I47" i="31"/>
  <c r="I49" i="31"/>
  <c r="E50" i="31"/>
  <c r="M50" i="31"/>
  <c r="I51" i="31"/>
  <c r="E52" i="31"/>
  <c r="M52" i="31"/>
  <c r="I53" i="31"/>
  <c r="E54" i="31"/>
  <c r="M54" i="31"/>
  <c r="I55" i="31"/>
  <c r="F30" i="31"/>
  <c r="B31" i="31"/>
  <c r="J31" i="31"/>
  <c r="F32" i="31"/>
  <c r="B33" i="31"/>
  <c r="J33" i="31"/>
  <c r="B35" i="31"/>
  <c r="J35" i="31"/>
  <c r="F36" i="31"/>
  <c r="B37" i="31"/>
  <c r="J37" i="31"/>
  <c r="F38" i="31"/>
  <c r="B39" i="31"/>
  <c r="J39" i="31"/>
  <c r="F40" i="31"/>
  <c r="B41" i="31"/>
  <c r="J41" i="31"/>
  <c r="F44" i="31"/>
  <c r="B45" i="31"/>
  <c r="J45" i="31"/>
  <c r="F46" i="31"/>
  <c r="B47" i="31"/>
  <c r="J47" i="31"/>
  <c r="B49" i="31"/>
  <c r="J49" i="31"/>
  <c r="F50" i="31"/>
  <c r="B51" i="31"/>
  <c r="J51" i="31"/>
  <c r="F52" i="31"/>
  <c r="B53" i="31"/>
  <c r="J53" i="31"/>
  <c r="F54" i="31"/>
  <c r="B55" i="31"/>
  <c r="J55" i="31"/>
  <c r="G30" i="31"/>
  <c r="C31" i="31"/>
  <c r="K31" i="31"/>
  <c r="G32" i="31"/>
  <c r="C33" i="31"/>
  <c r="K33" i="31"/>
  <c r="C35" i="31"/>
  <c r="K35" i="31"/>
  <c r="G36" i="31"/>
  <c r="C37" i="31"/>
  <c r="K37" i="31"/>
  <c r="G38" i="31"/>
  <c r="C39" i="31"/>
  <c r="K39" i="31"/>
  <c r="G40" i="31"/>
  <c r="C41" i="31"/>
  <c r="K41" i="31"/>
  <c r="G44" i="31"/>
  <c r="C45" i="31"/>
  <c r="K45" i="31"/>
  <c r="G46" i="31"/>
  <c r="C47" i="31"/>
  <c r="K47" i="31"/>
  <c r="C49" i="31"/>
  <c r="K49" i="31"/>
  <c r="G50" i="31"/>
  <c r="C51" i="31"/>
  <c r="K51" i="31"/>
  <c r="G52" i="31"/>
  <c r="C53" i="31"/>
  <c r="K53" i="31"/>
  <c r="G54" i="31"/>
  <c r="C55" i="31"/>
  <c r="K55" i="31"/>
  <c r="H30" i="31"/>
  <c r="D31" i="31"/>
  <c r="L31" i="31"/>
  <c r="H32" i="31"/>
  <c r="D33" i="31"/>
  <c r="L33" i="31"/>
  <c r="D35" i="31"/>
  <c r="L35" i="31"/>
  <c r="H36" i="31"/>
  <c r="D37" i="31"/>
  <c r="L37" i="31"/>
  <c r="H38" i="31"/>
  <c r="D39" i="31"/>
  <c r="L39" i="31"/>
  <c r="H40" i="31"/>
  <c r="D41" i="31"/>
  <c r="L41" i="31"/>
  <c r="H44" i="31"/>
  <c r="D45" i="31"/>
  <c r="L45" i="31"/>
  <c r="H46" i="31"/>
  <c r="D47" i="31"/>
  <c r="L47" i="31"/>
  <c r="D49" i="31"/>
  <c r="L49" i="31"/>
  <c r="H50" i="31"/>
  <c r="D51" i="31"/>
  <c r="L51" i="31"/>
  <c r="H52" i="31"/>
  <c r="D53" i="31"/>
  <c r="L53" i="31"/>
  <c r="H54" i="31"/>
  <c r="D55" i="31"/>
  <c r="L55" i="31"/>
  <c r="I30" i="31"/>
  <c r="E31" i="31"/>
  <c r="M31" i="31"/>
  <c r="I32" i="31"/>
  <c r="E33" i="31"/>
  <c r="M33" i="31"/>
  <c r="E35" i="31"/>
  <c r="M35" i="31"/>
  <c r="I36" i="31"/>
  <c r="E37" i="31"/>
  <c r="M37" i="31"/>
  <c r="I38" i="31"/>
  <c r="E39" i="31"/>
  <c r="M39" i="31"/>
  <c r="I40" i="31"/>
  <c r="E41" i="31"/>
  <c r="M41" i="31"/>
  <c r="I44" i="31"/>
  <c r="E45" i="31"/>
  <c r="M45" i="31"/>
  <c r="I46" i="31"/>
  <c r="E47" i="31"/>
  <c r="M47" i="31"/>
  <c r="E49" i="31"/>
  <c r="M49" i="31"/>
  <c r="I50" i="31"/>
  <c r="E51" i="31"/>
  <c r="M51" i="31"/>
  <c r="I52" i="31"/>
  <c r="E53" i="31"/>
  <c r="M53" i="31"/>
  <c r="I54" i="31"/>
  <c r="E55" i="31"/>
  <c r="M55" i="31"/>
  <c r="J30" i="30"/>
  <c r="J36" i="30"/>
  <c r="B46" i="30"/>
  <c r="F69" i="30"/>
  <c r="C30" i="30"/>
  <c r="K30" i="30"/>
  <c r="G31" i="30"/>
  <c r="C32" i="30"/>
  <c r="K32" i="30"/>
  <c r="G33" i="30"/>
  <c r="G35" i="30"/>
  <c r="C36" i="30"/>
  <c r="K36" i="30"/>
  <c r="G37" i="30"/>
  <c r="C38" i="30"/>
  <c r="K38" i="30"/>
  <c r="G39" i="30"/>
  <c r="C40" i="30"/>
  <c r="K40" i="30"/>
  <c r="G41" i="30"/>
  <c r="C44" i="30"/>
  <c r="K44" i="30"/>
  <c r="G45" i="30"/>
  <c r="C46" i="30"/>
  <c r="K46" i="30"/>
  <c r="G47" i="30"/>
  <c r="G49" i="30"/>
  <c r="C50" i="30"/>
  <c r="K50" i="30"/>
  <c r="G51" i="30"/>
  <c r="C52" i="30"/>
  <c r="K52" i="30"/>
  <c r="G53" i="30"/>
  <c r="C54" i="30"/>
  <c r="K54" i="30"/>
  <c r="G55" i="30"/>
  <c r="B32" i="30"/>
  <c r="F33" i="30"/>
  <c r="F35" i="30"/>
  <c r="J38" i="30"/>
  <c r="B40" i="30"/>
  <c r="F41" i="30"/>
  <c r="F45" i="30"/>
  <c r="B50" i="30"/>
  <c r="F51" i="30"/>
  <c r="J52" i="30"/>
  <c r="B54" i="30"/>
  <c r="B58" i="30"/>
  <c r="F59" i="30"/>
  <c r="J60" i="30"/>
  <c r="B64" i="30"/>
  <c r="D30" i="30"/>
  <c r="L30" i="30"/>
  <c r="H31" i="30"/>
  <c r="D32" i="30"/>
  <c r="L32" i="30"/>
  <c r="H33" i="30"/>
  <c r="H35" i="30"/>
  <c r="D36" i="30"/>
  <c r="L36" i="30"/>
  <c r="H37" i="30"/>
  <c r="D38" i="30"/>
  <c r="L38" i="30"/>
  <c r="H39" i="30"/>
  <c r="D40" i="30"/>
  <c r="L40" i="30"/>
  <c r="H41" i="30"/>
  <c r="D44" i="30"/>
  <c r="L44" i="30"/>
  <c r="H45" i="30"/>
  <c r="D46" i="30"/>
  <c r="L46" i="30"/>
  <c r="H47" i="30"/>
  <c r="H49" i="30"/>
  <c r="D50" i="30"/>
  <c r="L50" i="30"/>
  <c r="H51" i="30"/>
  <c r="D52" i="30"/>
  <c r="L52" i="30"/>
  <c r="H53" i="30"/>
  <c r="D54" i="30"/>
  <c r="L54" i="30"/>
  <c r="H55" i="30"/>
  <c r="F37" i="30"/>
  <c r="E30" i="30"/>
  <c r="M30" i="30"/>
  <c r="I31" i="30"/>
  <c r="E32" i="30"/>
  <c r="M32" i="30"/>
  <c r="I33" i="30"/>
  <c r="I35" i="30"/>
  <c r="E36" i="30"/>
  <c r="M36" i="30"/>
  <c r="I37" i="30"/>
  <c r="E38" i="30"/>
  <c r="M38" i="30"/>
  <c r="I39" i="30"/>
  <c r="E40" i="30"/>
  <c r="M40" i="30"/>
  <c r="I41" i="30"/>
  <c r="E44" i="30"/>
  <c r="M44" i="30"/>
  <c r="I45" i="30"/>
  <c r="E46" i="30"/>
  <c r="M46" i="30"/>
  <c r="I47" i="30"/>
  <c r="I49" i="30"/>
  <c r="E50" i="30"/>
  <c r="M50" i="30"/>
  <c r="I51" i="30"/>
  <c r="E52" i="30"/>
  <c r="M52" i="30"/>
  <c r="I53" i="30"/>
  <c r="E54" i="30"/>
  <c r="M54" i="30"/>
  <c r="I55" i="30"/>
  <c r="B44" i="30"/>
  <c r="F67" i="30"/>
  <c r="F30" i="30"/>
  <c r="B31" i="30"/>
  <c r="J31" i="30"/>
  <c r="F32" i="30"/>
  <c r="B33" i="30"/>
  <c r="J33" i="30"/>
  <c r="B35" i="30"/>
  <c r="J35" i="30"/>
  <c r="F36" i="30"/>
  <c r="B37" i="30"/>
  <c r="J37" i="30"/>
  <c r="F38" i="30"/>
  <c r="B39" i="30"/>
  <c r="J39" i="30"/>
  <c r="F40" i="30"/>
  <c r="B41" i="30"/>
  <c r="J41" i="30"/>
  <c r="F44" i="30"/>
  <c r="B45" i="30"/>
  <c r="J45" i="30"/>
  <c r="F46" i="30"/>
  <c r="B47" i="30"/>
  <c r="J47" i="30"/>
  <c r="B49" i="30"/>
  <c r="J49" i="30"/>
  <c r="F50" i="30"/>
  <c r="B51" i="30"/>
  <c r="J51" i="30"/>
  <c r="F52" i="30"/>
  <c r="B53" i="30"/>
  <c r="J53" i="30"/>
  <c r="F54" i="30"/>
  <c r="B55" i="30"/>
  <c r="J55" i="30"/>
  <c r="J32" i="30"/>
  <c r="B38" i="30"/>
  <c r="F39" i="30"/>
  <c r="J40" i="30"/>
  <c r="J44" i="30"/>
  <c r="F47" i="30"/>
  <c r="F49" i="30"/>
  <c r="J50" i="30"/>
  <c r="B52" i="30"/>
  <c r="J54" i="30"/>
  <c r="G30" i="30"/>
  <c r="C31" i="30"/>
  <c r="K31" i="30"/>
  <c r="G32" i="30"/>
  <c r="C33" i="30"/>
  <c r="K33" i="30"/>
  <c r="C35" i="30"/>
  <c r="K35" i="30"/>
  <c r="G36" i="30"/>
  <c r="C37" i="30"/>
  <c r="K37" i="30"/>
  <c r="G38" i="30"/>
  <c r="C39" i="30"/>
  <c r="K39" i="30"/>
  <c r="G40" i="30"/>
  <c r="C41" i="30"/>
  <c r="K41" i="30"/>
  <c r="G44" i="30"/>
  <c r="C45" i="30"/>
  <c r="K45" i="30"/>
  <c r="G46" i="30"/>
  <c r="C47" i="30"/>
  <c r="K47" i="30"/>
  <c r="C49" i="30"/>
  <c r="K49" i="30"/>
  <c r="G50" i="30"/>
  <c r="C51" i="30"/>
  <c r="K51" i="30"/>
  <c r="G52" i="30"/>
  <c r="C53" i="30"/>
  <c r="K53" i="30"/>
  <c r="G54" i="30"/>
  <c r="C55" i="30"/>
  <c r="K55" i="30"/>
  <c r="H30" i="30"/>
  <c r="D31" i="30"/>
  <c r="L31" i="30"/>
  <c r="H32" i="30"/>
  <c r="D33" i="30"/>
  <c r="L33" i="30"/>
  <c r="D35" i="30"/>
  <c r="L35" i="30"/>
  <c r="H36" i="30"/>
  <c r="D37" i="30"/>
  <c r="L37" i="30"/>
  <c r="H38" i="30"/>
  <c r="D39" i="30"/>
  <c r="L39" i="30"/>
  <c r="H40" i="30"/>
  <c r="D41" i="30"/>
  <c r="L41" i="30"/>
  <c r="H44" i="30"/>
  <c r="D45" i="30"/>
  <c r="L45" i="30"/>
  <c r="H46" i="30"/>
  <c r="D47" i="30"/>
  <c r="L47" i="30"/>
  <c r="D49" i="30"/>
  <c r="L49" i="30"/>
  <c r="H50" i="30"/>
  <c r="D51" i="30"/>
  <c r="L51" i="30"/>
  <c r="H52" i="30"/>
  <c r="D53" i="30"/>
  <c r="L53" i="30"/>
  <c r="H54" i="30"/>
  <c r="D55" i="30"/>
  <c r="L55" i="30"/>
  <c r="I30" i="30"/>
  <c r="E31" i="30"/>
  <c r="M31" i="30"/>
  <c r="I32" i="30"/>
  <c r="E33" i="30"/>
  <c r="M33" i="30"/>
  <c r="E35" i="30"/>
  <c r="M35" i="30"/>
  <c r="I36" i="30"/>
  <c r="E37" i="30"/>
  <c r="M37" i="30"/>
  <c r="I38" i="30"/>
  <c r="E39" i="30"/>
  <c r="M39" i="30"/>
  <c r="I40" i="30"/>
  <c r="E41" i="30"/>
  <c r="M41" i="30"/>
  <c r="I44" i="30"/>
  <c r="E45" i="30"/>
  <c r="M45" i="30"/>
  <c r="I46" i="30"/>
  <c r="E47" i="30"/>
  <c r="M47" i="30"/>
  <c r="E49" i="30"/>
  <c r="M49" i="30"/>
  <c r="I50" i="30"/>
  <c r="E51" i="30"/>
  <c r="M51" i="30"/>
  <c r="I52" i="30"/>
  <c r="E53" i="30"/>
  <c r="M53" i="30"/>
  <c r="I54" i="30"/>
  <c r="E55" i="30"/>
  <c r="M55" i="30"/>
  <c r="J30" i="29"/>
  <c r="B32" i="29"/>
  <c r="F35" i="29"/>
  <c r="J36" i="29"/>
  <c r="B38" i="29"/>
  <c r="B40" i="29"/>
  <c r="F41" i="29"/>
  <c r="J44" i="29"/>
  <c r="B46" i="29"/>
  <c r="F47" i="29"/>
  <c r="B50" i="29"/>
  <c r="F51" i="29"/>
  <c r="J52" i="29"/>
  <c r="F53" i="29"/>
  <c r="J54" i="29"/>
  <c r="F55" i="29"/>
  <c r="F61" i="29"/>
  <c r="B64" i="29"/>
  <c r="F65" i="29"/>
  <c r="C30" i="29"/>
  <c r="K30" i="29"/>
  <c r="G31" i="29"/>
  <c r="C32" i="29"/>
  <c r="K32" i="29"/>
  <c r="G33" i="29"/>
  <c r="G35" i="29"/>
  <c r="C36" i="29"/>
  <c r="K36" i="29"/>
  <c r="G37" i="29"/>
  <c r="C38" i="29"/>
  <c r="K38" i="29"/>
  <c r="G39" i="29"/>
  <c r="C40" i="29"/>
  <c r="K40" i="29"/>
  <c r="G41" i="29"/>
  <c r="C44" i="29"/>
  <c r="K44" i="29"/>
  <c r="G45" i="29"/>
  <c r="C46" i="29"/>
  <c r="K46" i="29"/>
  <c r="G47" i="29"/>
  <c r="G49" i="29"/>
  <c r="C50" i="29"/>
  <c r="K50" i="29"/>
  <c r="G51" i="29"/>
  <c r="C52" i="29"/>
  <c r="K52" i="29"/>
  <c r="G53" i="29"/>
  <c r="C54" i="29"/>
  <c r="K54" i="29"/>
  <c r="G55" i="29"/>
  <c r="J68" i="29"/>
  <c r="D30" i="29"/>
  <c r="L30" i="29"/>
  <c r="H31" i="29"/>
  <c r="D32" i="29"/>
  <c r="L32" i="29"/>
  <c r="H33" i="29"/>
  <c r="H35" i="29"/>
  <c r="D36" i="29"/>
  <c r="L36" i="29"/>
  <c r="H37" i="29"/>
  <c r="D38" i="29"/>
  <c r="L38" i="29"/>
  <c r="H39" i="29"/>
  <c r="D40" i="29"/>
  <c r="L40" i="29"/>
  <c r="H41" i="29"/>
  <c r="D44" i="29"/>
  <c r="L44" i="29"/>
  <c r="H45" i="29"/>
  <c r="D46" i="29"/>
  <c r="L46" i="29"/>
  <c r="H47" i="29"/>
  <c r="H49" i="29"/>
  <c r="D50" i="29"/>
  <c r="L50" i="29"/>
  <c r="H51" i="29"/>
  <c r="D52" i="29"/>
  <c r="L52" i="29"/>
  <c r="H53" i="29"/>
  <c r="D54" i="29"/>
  <c r="L54" i="29"/>
  <c r="H55" i="29"/>
  <c r="B68" i="29"/>
  <c r="E30" i="29"/>
  <c r="M30" i="29"/>
  <c r="I31" i="29"/>
  <c r="E32" i="29"/>
  <c r="M32" i="29"/>
  <c r="I33" i="29"/>
  <c r="I35" i="29"/>
  <c r="E36" i="29"/>
  <c r="M36" i="29"/>
  <c r="I37" i="29"/>
  <c r="E38" i="29"/>
  <c r="M38" i="29"/>
  <c r="I39" i="29"/>
  <c r="E40" i="29"/>
  <c r="M40" i="29"/>
  <c r="I41" i="29"/>
  <c r="E44" i="29"/>
  <c r="M44" i="29"/>
  <c r="I45" i="29"/>
  <c r="E46" i="29"/>
  <c r="M46" i="29"/>
  <c r="I47" i="29"/>
  <c r="I49" i="29"/>
  <c r="E50" i="29"/>
  <c r="M50" i="29"/>
  <c r="I51" i="29"/>
  <c r="E52" i="29"/>
  <c r="M52" i="29"/>
  <c r="I53" i="29"/>
  <c r="E54" i="29"/>
  <c r="M54" i="29"/>
  <c r="I55" i="29"/>
  <c r="J32" i="29"/>
  <c r="F39" i="29"/>
  <c r="J66" i="29"/>
  <c r="F30" i="29"/>
  <c r="B31" i="29"/>
  <c r="J31" i="29"/>
  <c r="F32" i="29"/>
  <c r="B33" i="29"/>
  <c r="J33" i="29"/>
  <c r="B35" i="29"/>
  <c r="J35" i="29"/>
  <c r="F36" i="29"/>
  <c r="B37" i="29"/>
  <c r="J37" i="29"/>
  <c r="F38" i="29"/>
  <c r="B39" i="29"/>
  <c r="J39" i="29"/>
  <c r="F40" i="29"/>
  <c r="B41" i="29"/>
  <c r="J41" i="29"/>
  <c r="F44" i="29"/>
  <c r="B45" i="29"/>
  <c r="J45" i="29"/>
  <c r="F46" i="29"/>
  <c r="B47" i="29"/>
  <c r="J47" i="29"/>
  <c r="B49" i="29"/>
  <c r="J49" i="29"/>
  <c r="F50" i="29"/>
  <c r="B51" i="29"/>
  <c r="J51" i="29"/>
  <c r="F52" i="29"/>
  <c r="B53" i="29"/>
  <c r="J53" i="29"/>
  <c r="F54" i="29"/>
  <c r="B55" i="29"/>
  <c r="J55" i="29"/>
  <c r="B30" i="29"/>
  <c r="F31" i="29"/>
  <c r="B44" i="29"/>
  <c r="F45" i="29"/>
  <c r="J46" i="29"/>
  <c r="F49" i="29"/>
  <c r="J50" i="29"/>
  <c r="B52" i="29"/>
  <c r="G30" i="29"/>
  <c r="C31" i="29"/>
  <c r="K31" i="29"/>
  <c r="G32" i="29"/>
  <c r="C33" i="29"/>
  <c r="K33" i="29"/>
  <c r="C35" i="29"/>
  <c r="K35" i="29"/>
  <c r="G36" i="29"/>
  <c r="C37" i="29"/>
  <c r="K37" i="29"/>
  <c r="G38" i="29"/>
  <c r="C39" i="29"/>
  <c r="K39" i="29"/>
  <c r="G40" i="29"/>
  <c r="C41" i="29"/>
  <c r="K41" i="29"/>
  <c r="G44" i="29"/>
  <c r="C45" i="29"/>
  <c r="K45" i="29"/>
  <c r="G46" i="29"/>
  <c r="C47" i="29"/>
  <c r="K47" i="29"/>
  <c r="C49" i="29"/>
  <c r="K49" i="29"/>
  <c r="G50" i="29"/>
  <c r="C51" i="29"/>
  <c r="K51" i="29"/>
  <c r="G52" i="29"/>
  <c r="C53" i="29"/>
  <c r="K53" i="29"/>
  <c r="G54" i="29"/>
  <c r="C55" i="29"/>
  <c r="K55" i="29"/>
  <c r="H30" i="29"/>
  <c r="D31" i="29"/>
  <c r="L31" i="29"/>
  <c r="H32" i="29"/>
  <c r="D33" i="29"/>
  <c r="L33" i="29"/>
  <c r="D35" i="29"/>
  <c r="L35" i="29"/>
  <c r="H36" i="29"/>
  <c r="D37" i="29"/>
  <c r="L37" i="29"/>
  <c r="H38" i="29"/>
  <c r="D39" i="29"/>
  <c r="L39" i="29"/>
  <c r="H40" i="29"/>
  <c r="D41" i="29"/>
  <c r="L41" i="29"/>
  <c r="H44" i="29"/>
  <c r="D45" i="29"/>
  <c r="L45" i="29"/>
  <c r="H46" i="29"/>
  <c r="D47" i="29"/>
  <c r="L47" i="29"/>
  <c r="D49" i="29"/>
  <c r="L49" i="29"/>
  <c r="H50" i="29"/>
  <c r="D51" i="29"/>
  <c r="L51" i="29"/>
  <c r="H52" i="29"/>
  <c r="D53" i="29"/>
  <c r="L53" i="29"/>
  <c r="H54" i="29"/>
  <c r="D55" i="29"/>
  <c r="L55" i="29"/>
  <c r="I30" i="29"/>
  <c r="E31" i="29"/>
  <c r="M31" i="29"/>
  <c r="I32" i="29"/>
  <c r="E33" i="29"/>
  <c r="M33" i="29"/>
  <c r="E35" i="29"/>
  <c r="M35" i="29"/>
  <c r="I36" i="29"/>
  <c r="E37" i="29"/>
  <c r="M37" i="29"/>
  <c r="I38" i="29"/>
  <c r="E39" i="29"/>
  <c r="M39" i="29"/>
  <c r="I40" i="29"/>
  <c r="E41" i="29"/>
  <c r="M41" i="29"/>
  <c r="I44" i="29"/>
  <c r="E45" i="29"/>
  <c r="M45" i="29"/>
  <c r="I46" i="29"/>
  <c r="E47" i="29"/>
  <c r="M47" i="29"/>
  <c r="E49" i="29"/>
  <c r="M49" i="29"/>
  <c r="I50" i="29"/>
  <c r="E51" i="29"/>
  <c r="M51" i="29"/>
  <c r="I52" i="29"/>
  <c r="E53" i="29"/>
  <c r="M53" i="29"/>
  <c r="I54" i="29"/>
  <c r="E55" i="29"/>
  <c r="M55" i="29"/>
  <c r="F41" i="28"/>
  <c r="F69" i="28"/>
  <c r="C30" i="28"/>
  <c r="K30" i="28"/>
  <c r="G31" i="28"/>
  <c r="C32" i="28"/>
  <c r="K32" i="28"/>
  <c r="G33" i="28"/>
  <c r="G35" i="28"/>
  <c r="C36" i="28"/>
  <c r="K36" i="28"/>
  <c r="G37" i="28"/>
  <c r="C38" i="28"/>
  <c r="K38" i="28"/>
  <c r="G39" i="28"/>
  <c r="C40" i="28"/>
  <c r="K40" i="28"/>
  <c r="G41" i="28"/>
  <c r="C44" i="28"/>
  <c r="K44" i="28"/>
  <c r="G45" i="28"/>
  <c r="C46" i="28"/>
  <c r="K46" i="28"/>
  <c r="G47" i="28"/>
  <c r="G49" i="28"/>
  <c r="C50" i="28"/>
  <c r="K50" i="28"/>
  <c r="G51" i="28"/>
  <c r="C52" i="28"/>
  <c r="K52" i="28"/>
  <c r="G53" i="28"/>
  <c r="C54" i="28"/>
  <c r="K54" i="28"/>
  <c r="G55" i="28"/>
  <c r="B40" i="28"/>
  <c r="F49" i="28"/>
  <c r="B68" i="28"/>
  <c r="D30" i="28"/>
  <c r="L30" i="28"/>
  <c r="H31" i="28"/>
  <c r="D32" i="28"/>
  <c r="L32" i="28"/>
  <c r="H33" i="28"/>
  <c r="H35" i="28"/>
  <c r="D36" i="28"/>
  <c r="L36" i="28"/>
  <c r="H37" i="28"/>
  <c r="D38" i="28"/>
  <c r="L38" i="28"/>
  <c r="H39" i="28"/>
  <c r="D40" i="28"/>
  <c r="L40" i="28"/>
  <c r="H41" i="28"/>
  <c r="D44" i="28"/>
  <c r="L44" i="28"/>
  <c r="H45" i="28"/>
  <c r="D46" i="28"/>
  <c r="L46" i="28"/>
  <c r="H47" i="28"/>
  <c r="H49" i="28"/>
  <c r="D50" i="28"/>
  <c r="L50" i="28"/>
  <c r="H51" i="28"/>
  <c r="D52" i="28"/>
  <c r="L52" i="28"/>
  <c r="H53" i="28"/>
  <c r="D54" i="28"/>
  <c r="L54" i="28"/>
  <c r="H55" i="28"/>
  <c r="B30" i="28"/>
  <c r="F33" i="28"/>
  <c r="J38" i="28"/>
  <c r="F47" i="28"/>
  <c r="J68" i="28"/>
  <c r="E30" i="28"/>
  <c r="M30" i="28"/>
  <c r="I31" i="28"/>
  <c r="E32" i="28"/>
  <c r="M32" i="28"/>
  <c r="I33" i="28"/>
  <c r="I35" i="28"/>
  <c r="E36" i="28"/>
  <c r="M36" i="28"/>
  <c r="I37" i="28"/>
  <c r="E38" i="28"/>
  <c r="M38" i="28"/>
  <c r="I39" i="28"/>
  <c r="E40" i="28"/>
  <c r="M40" i="28"/>
  <c r="I41" i="28"/>
  <c r="E44" i="28"/>
  <c r="M44" i="28"/>
  <c r="I45" i="28"/>
  <c r="E46" i="28"/>
  <c r="M46" i="28"/>
  <c r="I47" i="28"/>
  <c r="I49" i="28"/>
  <c r="E50" i="28"/>
  <c r="M50" i="28"/>
  <c r="I51" i="28"/>
  <c r="E52" i="28"/>
  <c r="M52" i="28"/>
  <c r="I53" i="28"/>
  <c r="E54" i="28"/>
  <c r="M54" i="28"/>
  <c r="I55" i="28"/>
  <c r="F67" i="28"/>
  <c r="F30" i="28"/>
  <c r="B31" i="28"/>
  <c r="J31" i="28"/>
  <c r="F32" i="28"/>
  <c r="B33" i="28"/>
  <c r="J33" i="28"/>
  <c r="B35" i="28"/>
  <c r="J35" i="28"/>
  <c r="F36" i="28"/>
  <c r="B37" i="28"/>
  <c r="J37" i="28"/>
  <c r="F38" i="28"/>
  <c r="B39" i="28"/>
  <c r="J39" i="28"/>
  <c r="F40" i="28"/>
  <c r="B41" i="28"/>
  <c r="J41" i="28"/>
  <c r="F44" i="28"/>
  <c r="B45" i="28"/>
  <c r="J45" i="28"/>
  <c r="F46" i="28"/>
  <c r="B47" i="28"/>
  <c r="J47" i="28"/>
  <c r="B49" i="28"/>
  <c r="J49" i="28"/>
  <c r="F50" i="28"/>
  <c r="B51" i="28"/>
  <c r="J51" i="28"/>
  <c r="F52" i="28"/>
  <c r="B53" i="28"/>
  <c r="J53" i="28"/>
  <c r="F54" i="28"/>
  <c r="B55" i="28"/>
  <c r="J55" i="28"/>
  <c r="F31" i="28"/>
  <c r="J36" i="28"/>
  <c r="F45" i="28"/>
  <c r="J66" i="28"/>
  <c r="G30" i="28"/>
  <c r="C31" i="28"/>
  <c r="K31" i="28"/>
  <c r="G32" i="28"/>
  <c r="C33" i="28"/>
  <c r="K33" i="28"/>
  <c r="C35" i="28"/>
  <c r="K35" i="28"/>
  <c r="G36" i="28"/>
  <c r="C37" i="28"/>
  <c r="K37" i="28"/>
  <c r="G38" i="28"/>
  <c r="C39" i="28"/>
  <c r="K39" i="28"/>
  <c r="G40" i="28"/>
  <c r="C41" i="28"/>
  <c r="K41" i="28"/>
  <c r="G44" i="28"/>
  <c r="C45" i="28"/>
  <c r="K45" i="28"/>
  <c r="G46" i="28"/>
  <c r="C47" i="28"/>
  <c r="K47" i="28"/>
  <c r="C49" i="28"/>
  <c r="K49" i="28"/>
  <c r="G50" i="28"/>
  <c r="C51" i="28"/>
  <c r="K51" i="28"/>
  <c r="G52" i="28"/>
  <c r="C53" i="28"/>
  <c r="K53" i="28"/>
  <c r="G54" i="28"/>
  <c r="C55" i="28"/>
  <c r="K55" i="28"/>
  <c r="J30" i="28"/>
  <c r="B32" i="28"/>
  <c r="F35" i="28"/>
  <c r="F37" i="28"/>
  <c r="F39" i="28"/>
  <c r="B44" i="28"/>
  <c r="B46" i="28"/>
  <c r="B50" i="28"/>
  <c r="J50" i="28"/>
  <c r="F51" i="28"/>
  <c r="B52" i="28"/>
  <c r="J54" i="28"/>
  <c r="J58" i="28"/>
  <c r="B64" i="28"/>
  <c r="H30" i="28"/>
  <c r="D31" i="28"/>
  <c r="L31" i="28"/>
  <c r="H32" i="28"/>
  <c r="D33" i="28"/>
  <c r="L33" i="28"/>
  <c r="D35" i="28"/>
  <c r="L35" i="28"/>
  <c r="H36" i="28"/>
  <c r="D37" i="28"/>
  <c r="L37" i="28"/>
  <c r="H38" i="28"/>
  <c r="D39" i="28"/>
  <c r="L39" i="28"/>
  <c r="H40" i="28"/>
  <c r="D41" i="28"/>
  <c r="L41" i="28"/>
  <c r="H44" i="28"/>
  <c r="D45" i="28"/>
  <c r="L45" i="28"/>
  <c r="H46" i="28"/>
  <c r="D47" i="28"/>
  <c r="L47" i="28"/>
  <c r="D49" i="28"/>
  <c r="L49" i="28"/>
  <c r="H50" i="28"/>
  <c r="D51" i="28"/>
  <c r="L51" i="28"/>
  <c r="H52" i="28"/>
  <c r="D53" i="28"/>
  <c r="L53" i="28"/>
  <c r="H54" i="28"/>
  <c r="D55" i="28"/>
  <c r="L55" i="28"/>
  <c r="J32" i="28"/>
  <c r="B38" i="28"/>
  <c r="J46" i="28"/>
  <c r="I30" i="28"/>
  <c r="E31" i="28"/>
  <c r="M31" i="28"/>
  <c r="I32" i="28"/>
  <c r="E33" i="28"/>
  <c r="M33" i="28"/>
  <c r="E35" i="28"/>
  <c r="M35" i="28"/>
  <c r="I36" i="28"/>
  <c r="E37" i="28"/>
  <c r="M37" i="28"/>
  <c r="I38" i="28"/>
  <c r="E39" i="28"/>
  <c r="M39" i="28"/>
  <c r="I40" i="28"/>
  <c r="E41" i="28"/>
  <c r="M41" i="28"/>
  <c r="I44" i="28"/>
  <c r="E45" i="28"/>
  <c r="M45" i="28"/>
  <c r="I46" i="28"/>
  <c r="E47" i="28"/>
  <c r="M47" i="28"/>
  <c r="E49" i="28"/>
  <c r="M49" i="28"/>
  <c r="I50" i="28"/>
  <c r="E51" i="28"/>
  <c r="M51" i="28"/>
  <c r="I52" i="28"/>
  <c r="E53" i="28"/>
  <c r="M53" i="28"/>
  <c r="I54" i="28"/>
  <c r="E55" i="28"/>
  <c r="M55" i="28"/>
  <c r="B30" i="27"/>
  <c r="B32" i="27"/>
  <c r="J36" i="27"/>
  <c r="J38" i="27"/>
  <c r="J40" i="27"/>
  <c r="J44" i="27"/>
  <c r="J46" i="27"/>
  <c r="B50" i="27"/>
  <c r="F51" i="27"/>
  <c r="F53" i="27"/>
  <c r="F55" i="27"/>
  <c r="J58" i="27"/>
  <c r="B60" i="27"/>
  <c r="F61" i="27"/>
  <c r="F63" i="27"/>
  <c r="B64" i="27"/>
  <c r="J64" i="27"/>
  <c r="F65" i="27"/>
  <c r="F69" i="27"/>
  <c r="C30" i="27"/>
  <c r="K30" i="27"/>
  <c r="G31" i="27"/>
  <c r="C32" i="27"/>
  <c r="K32" i="27"/>
  <c r="G33" i="27"/>
  <c r="G35" i="27"/>
  <c r="C36" i="27"/>
  <c r="K36" i="27"/>
  <c r="G37" i="27"/>
  <c r="C38" i="27"/>
  <c r="K38" i="27"/>
  <c r="G39" i="27"/>
  <c r="C40" i="27"/>
  <c r="K40" i="27"/>
  <c r="G41" i="27"/>
  <c r="C44" i="27"/>
  <c r="K44" i="27"/>
  <c r="G45" i="27"/>
  <c r="C46" i="27"/>
  <c r="K46" i="27"/>
  <c r="G47" i="27"/>
  <c r="G49" i="27"/>
  <c r="C50" i="27"/>
  <c r="K50" i="27"/>
  <c r="G51" i="27"/>
  <c r="C52" i="27"/>
  <c r="K52" i="27"/>
  <c r="G53" i="27"/>
  <c r="C54" i="27"/>
  <c r="K54" i="27"/>
  <c r="G55" i="27"/>
  <c r="F31" i="27"/>
  <c r="F33" i="27"/>
  <c r="F35" i="27"/>
  <c r="B38" i="27"/>
  <c r="B40" i="27"/>
  <c r="B44" i="27"/>
  <c r="B52" i="27"/>
  <c r="J52" i="27"/>
  <c r="B54" i="27"/>
  <c r="J54" i="27"/>
  <c r="F59" i="27"/>
  <c r="J60" i="27"/>
  <c r="D30" i="27"/>
  <c r="L30" i="27"/>
  <c r="H31" i="27"/>
  <c r="D32" i="27"/>
  <c r="L32" i="27"/>
  <c r="H33" i="27"/>
  <c r="H35" i="27"/>
  <c r="D36" i="27"/>
  <c r="L36" i="27"/>
  <c r="H37" i="27"/>
  <c r="D38" i="27"/>
  <c r="L38" i="27"/>
  <c r="H39" i="27"/>
  <c r="D40" i="27"/>
  <c r="L40" i="27"/>
  <c r="H41" i="27"/>
  <c r="D44" i="27"/>
  <c r="L44" i="27"/>
  <c r="H45" i="27"/>
  <c r="D46" i="27"/>
  <c r="L46" i="27"/>
  <c r="H47" i="27"/>
  <c r="H49" i="27"/>
  <c r="D50" i="27"/>
  <c r="L50" i="27"/>
  <c r="H51" i="27"/>
  <c r="D52" i="27"/>
  <c r="L52" i="27"/>
  <c r="H53" i="27"/>
  <c r="D54" i="27"/>
  <c r="L54" i="27"/>
  <c r="H55" i="27"/>
  <c r="F39" i="27"/>
  <c r="E30" i="27"/>
  <c r="M30" i="27"/>
  <c r="I31" i="27"/>
  <c r="E32" i="27"/>
  <c r="M32" i="27"/>
  <c r="I33" i="27"/>
  <c r="I35" i="27"/>
  <c r="E36" i="27"/>
  <c r="M36" i="27"/>
  <c r="I37" i="27"/>
  <c r="E38" i="27"/>
  <c r="M38" i="27"/>
  <c r="I39" i="27"/>
  <c r="E40" i="27"/>
  <c r="M40" i="27"/>
  <c r="I41" i="27"/>
  <c r="E44" i="27"/>
  <c r="M44" i="27"/>
  <c r="I45" i="27"/>
  <c r="E46" i="27"/>
  <c r="M46" i="27"/>
  <c r="I47" i="27"/>
  <c r="I49" i="27"/>
  <c r="E50" i="27"/>
  <c r="M50" i="27"/>
  <c r="I51" i="27"/>
  <c r="E52" i="27"/>
  <c r="M52" i="27"/>
  <c r="I53" i="27"/>
  <c r="E54" i="27"/>
  <c r="M54" i="27"/>
  <c r="I55" i="27"/>
  <c r="F30" i="27"/>
  <c r="B31" i="27"/>
  <c r="J31" i="27"/>
  <c r="F32" i="27"/>
  <c r="B33" i="27"/>
  <c r="J33" i="27"/>
  <c r="B35" i="27"/>
  <c r="J35" i="27"/>
  <c r="F36" i="27"/>
  <c r="B37" i="27"/>
  <c r="J37" i="27"/>
  <c r="F38" i="27"/>
  <c r="B39" i="27"/>
  <c r="J39" i="27"/>
  <c r="F40" i="27"/>
  <c r="B41" i="27"/>
  <c r="J41" i="27"/>
  <c r="F44" i="27"/>
  <c r="B45" i="27"/>
  <c r="J45" i="27"/>
  <c r="F46" i="27"/>
  <c r="B47" i="27"/>
  <c r="J47" i="27"/>
  <c r="B49" i="27"/>
  <c r="J49" i="27"/>
  <c r="F50" i="27"/>
  <c r="B51" i="27"/>
  <c r="J51" i="27"/>
  <c r="F52" i="27"/>
  <c r="B53" i="27"/>
  <c r="J53" i="27"/>
  <c r="F54" i="27"/>
  <c r="B55" i="27"/>
  <c r="J55" i="27"/>
  <c r="G30" i="27"/>
  <c r="C31" i="27"/>
  <c r="K31" i="27"/>
  <c r="G32" i="27"/>
  <c r="C33" i="27"/>
  <c r="K33" i="27"/>
  <c r="C35" i="27"/>
  <c r="K35" i="27"/>
  <c r="G36" i="27"/>
  <c r="C37" i="27"/>
  <c r="K37" i="27"/>
  <c r="G38" i="27"/>
  <c r="C39" i="27"/>
  <c r="K39" i="27"/>
  <c r="G40" i="27"/>
  <c r="C41" i="27"/>
  <c r="K41" i="27"/>
  <c r="G44" i="27"/>
  <c r="C45" i="27"/>
  <c r="K45" i="27"/>
  <c r="G46" i="27"/>
  <c r="C47" i="27"/>
  <c r="K47" i="27"/>
  <c r="C49" i="27"/>
  <c r="K49" i="27"/>
  <c r="G50" i="27"/>
  <c r="C51" i="27"/>
  <c r="K51" i="27"/>
  <c r="G52" i="27"/>
  <c r="C53" i="27"/>
  <c r="K53" i="27"/>
  <c r="G54" i="27"/>
  <c r="C55" i="27"/>
  <c r="K55" i="27"/>
  <c r="H30" i="27"/>
  <c r="D31" i="27"/>
  <c r="L31" i="27"/>
  <c r="H32" i="27"/>
  <c r="D33" i="27"/>
  <c r="L33" i="27"/>
  <c r="D35" i="27"/>
  <c r="L35" i="27"/>
  <c r="H36" i="27"/>
  <c r="D37" i="27"/>
  <c r="L37" i="27"/>
  <c r="H38" i="27"/>
  <c r="D39" i="27"/>
  <c r="L39" i="27"/>
  <c r="H40" i="27"/>
  <c r="D41" i="27"/>
  <c r="L41" i="27"/>
  <c r="H44" i="27"/>
  <c r="D45" i="27"/>
  <c r="L45" i="27"/>
  <c r="H46" i="27"/>
  <c r="D47" i="27"/>
  <c r="L47" i="27"/>
  <c r="D49" i="27"/>
  <c r="L49" i="27"/>
  <c r="H50" i="27"/>
  <c r="D51" i="27"/>
  <c r="L51" i="27"/>
  <c r="H52" i="27"/>
  <c r="D53" i="27"/>
  <c r="L53" i="27"/>
  <c r="H54" i="27"/>
  <c r="D55" i="27"/>
  <c r="L55" i="27"/>
  <c r="I30" i="27"/>
  <c r="E31" i="27"/>
  <c r="M31" i="27"/>
  <c r="I32" i="27"/>
  <c r="E33" i="27"/>
  <c r="M33" i="27"/>
  <c r="E35" i="27"/>
  <c r="M35" i="27"/>
  <c r="I36" i="27"/>
  <c r="E37" i="27"/>
  <c r="M37" i="27"/>
  <c r="I38" i="27"/>
  <c r="E39" i="27"/>
  <c r="M39" i="27"/>
  <c r="I40" i="27"/>
  <c r="E41" i="27"/>
  <c r="M41" i="27"/>
  <c r="I44" i="27"/>
  <c r="E45" i="27"/>
  <c r="M45" i="27"/>
  <c r="I46" i="27"/>
  <c r="E47" i="27"/>
  <c r="M47" i="27"/>
  <c r="E49" i="27"/>
  <c r="M49" i="27"/>
  <c r="I50" i="27"/>
  <c r="E51" i="27"/>
  <c r="M51" i="27"/>
  <c r="I52" i="27"/>
  <c r="E53" i="27"/>
  <c r="M53" i="27"/>
  <c r="I54" i="27"/>
  <c r="E55" i="27"/>
  <c r="M55" i="27"/>
  <c r="J30" i="26"/>
  <c r="B32" i="26"/>
  <c r="F33" i="26"/>
  <c r="B36" i="26"/>
  <c r="F37" i="26"/>
  <c r="J38" i="26"/>
  <c r="B40" i="26"/>
  <c r="F41" i="26"/>
  <c r="J44" i="26"/>
  <c r="B46" i="26"/>
  <c r="F47" i="26"/>
  <c r="B50" i="26"/>
  <c r="F51" i="26"/>
  <c r="J52" i="26"/>
  <c r="B54" i="26"/>
  <c r="B58" i="26"/>
  <c r="F59" i="26"/>
  <c r="J60" i="26"/>
  <c r="F63" i="26"/>
  <c r="J64" i="26"/>
  <c r="B66" i="26"/>
  <c r="F69" i="26"/>
  <c r="C30" i="26"/>
  <c r="K30" i="26"/>
  <c r="G31" i="26"/>
  <c r="C32" i="26"/>
  <c r="K32" i="26"/>
  <c r="G33" i="26"/>
  <c r="G35" i="26"/>
  <c r="C36" i="26"/>
  <c r="K36" i="26"/>
  <c r="G37" i="26"/>
  <c r="C38" i="26"/>
  <c r="K38" i="26"/>
  <c r="G39" i="26"/>
  <c r="C40" i="26"/>
  <c r="K40" i="26"/>
  <c r="G41" i="26"/>
  <c r="C44" i="26"/>
  <c r="K44" i="26"/>
  <c r="G45" i="26"/>
  <c r="C46" i="26"/>
  <c r="K46" i="26"/>
  <c r="G47" i="26"/>
  <c r="G49" i="26"/>
  <c r="C50" i="26"/>
  <c r="K50" i="26"/>
  <c r="G51" i="26"/>
  <c r="C52" i="26"/>
  <c r="K52" i="26"/>
  <c r="G53" i="26"/>
  <c r="C54" i="26"/>
  <c r="K54" i="26"/>
  <c r="G55" i="26"/>
  <c r="B30" i="26"/>
  <c r="F31" i="26"/>
  <c r="J32" i="26"/>
  <c r="F35" i="26"/>
  <c r="J36" i="26"/>
  <c r="B38" i="26"/>
  <c r="F39" i="26"/>
  <c r="J40" i="26"/>
  <c r="F53" i="26"/>
  <c r="J54" i="26"/>
  <c r="D30" i="26"/>
  <c r="L30" i="26"/>
  <c r="H31" i="26"/>
  <c r="D32" i="26"/>
  <c r="L32" i="26"/>
  <c r="H33" i="26"/>
  <c r="H35" i="26"/>
  <c r="D36" i="26"/>
  <c r="L36" i="26"/>
  <c r="H37" i="26"/>
  <c r="D38" i="26"/>
  <c r="L38" i="26"/>
  <c r="H39" i="26"/>
  <c r="D40" i="26"/>
  <c r="L40" i="26"/>
  <c r="H41" i="26"/>
  <c r="D44" i="26"/>
  <c r="L44" i="26"/>
  <c r="H45" i="26"/>
  <c r="D46" i="26"/>
  <c r="L46" i="26"/>
  <c r="H47" i="26"/>
  <c r="H49" i="26"/>
  <c r="D50" i="26"/>
  <c r="L50" i="26"/>
  <c r="H51" i="26"/>
  <c r="D52" i="26"/>
  <c r="L52" i="26"/>
  <c r="H53" i="26"/>
  <c r="D54" i="26"/>
  <c r="L54" i="26"/>
  <c r="H55" i="26"/>
  <c r="E30" i="26"/>
  <c r="M30" i="26"/>
  <c r="I31" i="26"/>
  <c r="E32" i="26"/>
  <c r="M32" i="26"/>
  <c r="I33" i="26"/>
  <c r="I35" i="26"/>
  <c r="E36" i="26"/>
  <c r="M36" i="26"/>
  <c r="I37" i="26"/>
  <c r="E38" i="26"/>
  <c r="M38" i="26"/>
  <c r="I39" i="26"/>
  <c r="E40" i="26"/>
  <c r="M40" i="26"/>
  <c r="I41" i="26"/>
  <c r="E44" i="26"/>
  <c r="M44" i="26"/>
  <c r="I45" i="26"/>
  <c r="E46" i="26"/>
  <c r="M46" i="26"/>
  <c r="I47" i="26"/>
  <c r="I49" i="26"/>
  <c r="E50" i="26"/>
  <c r="M50" i="26"/>
  <c r="I51" i="26"/>
  <c r="E52" i="26"/>
  <c r="M52" i="26"/>
  <c r="I53" i="26"/>
  <c r="E54" i="26"/>
  <c r="M54" i="26"/>
  <c r="I55" i="26"/>
  <c r="F30" i="26"/>
  <c r="B31" i="26"/>
  <c r="J31" i="26"/>
  <c r="F32" i="26"/>
  <c r="B33" i="26"/>
  <c r="J33" i="26"/>
  <c r="B35" i="26"/>
  <c r="J35" i="26"/>
  <c r="F36" i="26"/>
  <c r="B37" i="26"/>
  <c r="J37" i="26"/>
  <c r="F38" i="26"/>
  <c r="B39" i="26"/>
  <c r="J39" i="26"/>
  <c r="F40" i="26"/>
  <c r="B41" i="26"/>
  <c r="J41" i="26"/>
  <c r="F44" i="26"/>
  <c r="B45" i="26"/>
  <c r="J45" i="26"/>
  <c r="F46" i="26"/>
  <c r="B47" i="26"/>
  <c r="J47" i="26"/>
  <c r="B49" i="26"/>
  <c r="J49" i="26"/>
  <c r="F50" i="26"/>
  <c r="B51" i="26"/>
  <c r="J51" i="26"/>
  <c r="F52" i="26"/>
  <c r="B53" i="26"/>
  <c r="J53" i="26"/>
  <c r="F54" i="26"/>
  <c r="B55" i="26"/>
  <c r="J55" i="26"/>
  <c r="G30" i="26"/>
  <c r="C31" i="26"/>
  <c r="K31" i="26"/>
  <c r="G32" i="26"/>
  <c r="C33" i="26"/>
  <c r="K33" i="26"/>
  <c r="C35" i="26"/>
  <c r="K35" i="26"/>
  <c r="G36" i="26"/>
  <c r="C37" i="26"/>
  <c r="K37" i="26"/>
  <c r="G38" i="26"/>
  <c r="C39" i="26"/>
  <c r="K39" i="26"/>
  <c r="G40" i="26"/>
  <c r="C41" i="26"/>
  <c r="K41" i="26"/>
  <c r="G44" i="26"/>
  <c r="C45" i="26"/>
  <c r="K45" i="26"/>
  <c r="G46" i="26"/>
  <c r="C47" i="26"/>
  <c r="K47" i="26"/>
  <c r="C49" i="26"/>
  <c r="K49" i="26"/>
  <c r="G50" i="26"/>
  <c r="C51" i="26"/>
  <c r="K51" i="26"/>
  <c r="G52" i="26"/>
  <c r="C53" i="26"/>
  <c r="K53" i="26"/>
  <c r="G54" i="26"/>
  <c r="C55" i="26"/>
  <c r="K55" i="26"/>
  <c r="H30" i="26"/>
  <c r="D31" i="26"/>
  <c r="L31" i="26"/>
  <c r="H32" i="26"/>
  <c r="D33" i="26"/>
  <c r="L33" i="26"/>
  <c r="D35" i="26"/>
  <c r="L35" i="26"/>
  <c r="H36" i="26"/>
  <c r="D37" i="26"/>
  <c r="L37" i="26"/>
  <c r="H38" i="26"/>
  <c r="D39" i="26"/>
  <c r="L39" i="26"/>
  <c r="H40" i="26"/>
  <c r="D41" i="26"/>
  <c r="L41" i="26"/>
  <c r="H44" i="26"/>
  <c r="D45" i="26"/>
  <c r="L45" i="26"/>
  <c r="H46" i="26"/>
  <c r="D47" i="26"/>
  <c r="L47" i="26"/>
  <c r="D49" i="26"/>
  <c r="L49" i="26"/>
  <c r="H50" i="26"/>
  <c r="D51" i="26"/>
  <c r="L51" i="26"/>
  <c r="H52" i="26"/>
  <c r="D53" i="26"/>
  <c r="L53" i="26"/>
  <c r="H54" i="26"/>
  <c r="D55" i="26"/>
  <c r="L55" i="26"/>
  <c r="I30" i="26"/>
  <c r="E31" i="26"/>
  <c r="M31" i="26"/>
  <c r="I32" i="26"/>
  <c r="E33" i="26"/>
  <c r="M33" i="26"/>
  <c r="E35" i="26"/>
  <c r="M35" i="26"/>
  <c r="I36" i="26"/>
  <c r="E37" i="26"/>
  <c r="M37" i="26"/>
  <c r="I38" i="26"/>
  <c r="E39" i="26"/>
  <c r="M39" i="26"/>
  <c r="I40" i="26"/>
  <c r="E41" i="26"/>
  <c r="M41" i="26"/>
  <c r="I44" i="26"/>
  <c r="E45" i="26"/>
  <c r="M45" i="26"/>
  <c r="I46" i="26"/>
  <c r="E47" i="26"/>
  <c r="M47" i="26"/>
  <c r="E49" i="26"/>
  <c r="M49" i="26"/>
  <c r="I50" i="26"/>
  <c r="E51" i="26"/>
  <c r="M51" i="26"/>
  <c r="I52" i="26"/>
  <c r="E53" i="26"/>
  <c r="M53" i="26"/>
  <c r="I54" i="26"/>
  <c r="E55" i="26"/>
  <c r="M55" i="26"/>
  <c r="F61" i="25"/>
  <c r="F47" i="25"/>
  <c r="F63" i="25"/>
  <c r="F49" i="25"/>
  <c r="B64" i="25"/>
  <c r="B50" i="25"/>
  <c r="J64" i="25"/>
  <c r="J50" i="25"/>
  <c r="F65" i="25"/>
  <c r="F51" i="25"/>
  <c r="B66" i="25"/>
  <c r="B52" i="25"/>
  <c r="J66" i="25"/>
  <c r="J52" i="25"/>
  <c r="F67" i="25"/>
  <c r="F53" i="25"/>
  <c r="B68" i="25"/>
  <c r="B54" i="25"/>
  <c r="J68" i="25"/>
  <c r="J54" i="25"/>
  <c r="F69" i="25"/>
  <c r="F55" i="25"/>
  <c r="B30" i="25"/>
  <c r="F35" i="25"/>
  <c r="J40" i="25"/>
  <c r="D44" i="25"/>
  <c r="D30" i="25"/>
  <c r="D58" i="25"/>
  <c r="L58" i="25"/>
  <c r="L44" i="25"/>
  <c r="L30" i="25"/>
  <c r="H45" i="25"/>
  <c r="H31" i="25"/>
  <c r="H59" i="25"/>
  <c r="D60" i="25"/>
  <c r="D46" i="25"/>
  <c r="D32" i="25"/>
  <c r="L46" i="25"/>
  <c r="L32" i="25"/>
  <c r="L60" i="25"/>
  <c r="H61" i="25"/>
  <c r="H47" i="25"/>
  <c r="H33" i="25"/>
  <c r="H49" i="25"/>
  <c r="H35" i="25"/>
  <c r="H63" i="25"/>
  <c r="D64" i="25"/>
  <c r="D50" i="25"/>
  <c r="D36" i="25"/>
  <c r="L50" i="25"/>
  <c r="L36" i="25"/>
  <c r="L64" i="25"/>
  <c r="H65" i="25"/>
  <c r="H51" i="25"/>
  <c r="H37" i="25"/>
  <c r="F31" i="25"/>
  <c r="J36" i="25"/>
  <c r="B44" i="25"/>
  <c r="B32" i="25"/>
  <c r="F37" i="25"/>
  <c r="J44" i="25"/>
  <c r="J32" i="25"/>
  <c r="B38" i="25"/>
  <c r="F45" i="25"/>
  <c r="F33" i="25"/>
  <c r="J38" i="25"/>
  <c r="B46" i="25"/>
  <c r="F39" i="25"/>
  <c r="J46" i="25"/>
  <c r="C30" i="25"/>
  <c r="K30" i="25"/>
  <c r="G31" i="25"/>
  <c r="C32" i="25"/>
  <c r="K32" i="25"/>
  <c r="G33" i="25"/>
  <c r="G35" i="25"/>
  <c r="C36" i="25"/>
  <c r="K36" i="25"/>
  <c r="G37" i="25"/>
  <c r="C38" i="25"/>
  <c r="K38" i="25"/>
  <c r="G39" i="25"/>
  <c r="C40" i="25"/>
  <c r="K40" i="25"/>
  <c r="G41" i="25"/>
  <c r="C44" i="25"/>
  <c r="K44" i="25"/>
  <c r="G45" i="25"/>
  <c r="C46" i="25"/>
  <c r="K46" i="25"/>
  <c r="G47" i="25"/>
  <c r="G49" i="25"/>
  <c r="C50" i="25"/>
  <c r="K50" i="25"/>
  <c r="G51" i="25"/>
  <c r="C52" i="25"/>
  <c r="K52" i="25"/>
  <c r="G53" i="25"/>
  <c r="C54" i="25"/>
  <c r="K54" i="25"/>
  <c r="G55" i="25"/>
  <c r="L68" i="25"/>
  <c r="E30" i="25"/>
  <c r="M30" i="25"/>
  <c r="I31" i="25"/>
  <c r="E32" i="25"/>
  <c r="M32" i="25"/>
  <c r="I33" i="25"/>
  <c r="I35" i="25"/>
  <c r="E36" i="25"/>
  <c r="M36" i="25"/>
  <c r="I37" i="25"/>
  <c r="E38" i="25"/>
  <c r="M38" i="25"/>
  <c r="I39" i="25"/>
  <c r="E40" i="25"/>
  <c r="M40" i="25"/>
  <c r="I41" i="25"/>
  <c r="E44" i="25"/>
  <c r="M44" i="25"/>
  <c r="I45" i="25"/>
  <c r="E46" i="25"/>
  <c r="M46" i="25"/>
  <c r="I47" i="25"/>
  <c r="I49" i="25"/>
  <c r="E50" i="25"/>
  <c r="M50" i="25"/>
  <c r="I51" i="25"/>
  <c r="E52" i="25"/>
  <c r="M52" i="25"/>
  <c r="I53" i="25"/>
  <c r="E54" i="25"/>
  <c r="M54" i="25"/>
  <c r="I55" i="25"/>
  <c r="H69" i="25"/>
  <c r="F30" i="25"/>
  <c r="B31" i="25"/>
  <c r="J31" i="25"/>
  <c r="F32" i="25"/>
  <c r="B33" i="25"/>
  <c r="J33" i="25"/>
  <c r="B35" i="25"/>
  <c r="J35" i="25"/>
  <c r="F36" i="25"/>
  <c r="B37" i="25"/>
  <c r="J37" i="25"/>
  <c r="F38" i="25"/>
  <c r="B39" i="25"/>
  <c r="J39" i="25"/>
  <c r="F40" i="25"/>
  <c r="B41" i="25"/>
  <c r="J41" i="25"/>
  <c r="F44" i="25"/>
  <c r="B45" i="25"/>
  <c r="J45" i="25"/>
  <c r="F46" i="25"/>
  <c r="B47" i="25"/>
  <c r="J47" i="25"/>
  <c r="B49" i="25"/>
  <c r="J49" i="25"/>
  <c r="F50" i="25"/>
  <c r="B51" i="25"/>
  <c r="J51" i="25"/>
  <c r="F52" i="25"/>
  <c r="B53" i="25"/>
  <c r="J53" i="25"/>
  <c r="F54" i="25"/>
  <c r="B55" i="25"/>
  <c r="J55" i="25"/>
  <c r="L38" i="25"/>
  <c r="D40" i="25"/>
  <c r="H41" i="25"/>
  <c r="L52" i="25"/>
  <c r="D54" i="25"/>
  <c r="G30" i="25"/>
  <c r="C31" i="25"/>
  <c r="K31" i="25"/>
  <c r="G32" i="25"/>
  <c r="C33" i="25"/>
  <c r="K33" i="25"/>
  <c r="C35" i="25"/>
  <c r="K35" i="25"/>
  <c r="G36" i="25"/>
  <c r="C37" i="25"/>
  <c r="K37" i="25"/>
  <c r="G38" i="25"/>
  <c r="C39" i="25"/>
  <c r="K39" i="25"/>
  <c r="G40" i="25"/>
  <c r="C41" i="25"/>
  <c r="K41" i="25"/>
  <c r="G44" i="25"/>
  <c r="C45" i="25"/>
  <c r="K45" i="25"/>
  <c r="G46" i="25"/>
  <c r="C47" i="25"/>
  <c r="K47" i="25"/>
  <c r="C49" i="25"/>
  <c r="K49" i="25"/>
  <c r="G50" i="25"/>
  <c r="C51" i="25"/>
  <c r="K51" i="25"/>
  <c r="G52" i="25"/>
  <c r="C53" i="25"/>
  <c r="K53" i="25"/>
  <c r="G54" i="25"/>
  <c r="C55" i="25"/>
  <c r="K55" i="25"/>
  <c r="H30" i="25"/>
  <c r="D31" i="25"/>
  <c r="L31" i="25"/>
  <c r="H32" i="25"/>
  <c r="D33" i="25"/>
  <c r="L33" i="25"/>
  <c r="D35" i="25"/>
  <c r="L35" i="25"/>
  <c r="H36" i="25"/>
  <c r="D37" i="25"/>
  <c r="L37" i="25"/>
  <c r="H38" i="25"/>
  <c r="D39" i="25"/>
  <c r="L39" i="25"/>
  <c r="H40" i="25"/>
  <c r="D41" i="25"/>
  <c r="L41" i="25"/>
  <c r="H44" i="25"/>
  <c r="D45" i="25"/>
  <c r="L45" i="25"/>
  <c r="H46" i="25"/>
  <c r="D47" i="25"/>
  <c r="L47" i="25"/>
  <c r="D49" i="25"/>
  <c r="L49" i="25"/>
  <c r="H50" i="25"/>
  <c r="D51" i="25"/>
  <c r="L51" i="25"/>
  <c r="H52" i="25"/>
  <c r="D53" i="25"/>
  <c r="L53" i="25"/>
  <c r="H54" i="25"/>
  <c r="D55" i="25"/>
  <c r="L55" i="25"/>
  <c r="D38" i="25"/>
  <c r="H39" i="25"/>
  <c r="L40" i="25"/>
  <c r="D52" i="25"/>
  <c r="H53" i="25"/>
  <c r="I30" i="25"/>
  <c r="E31" i="25"/>
  <c r="M31" i="25"/>
  <c r="I32" i="25"/>
  <c r="E33" i="25"/>
  <c r="M33" i="25"/>
  <c r="E35" i="25"/>
  <c r="M35" i="25"/>
  <c r="I36" i="25"/>
  <c r="E37" i="25"/>
  <c r="M37" i="25"/>
  <c r="I38" i="25"/>
  <c r="E39" i="25"/>
  <c r="M39" i="25"/>
  <c r="I40" i="25"/>
  <c r="E41" i="25"/>
  <c r="M41" i="25"/>
  <c r="I44" i="25"/>
  <c r="E45" i="25"/>
  <c r="M45" i="25"/>
  <c r="I46" i="25"/>
  <c r="E47" i="25"/>
  <c r="M47" i="25"/>
  <c r="E49" i="25"/>
  <c r="M49" i="25"/>
  <c r="I50" i="25"/>
  <c r="E51" i="25"/>
  <c r="M51" i="25"/>
  <c r="I52" i="25"/>
  <c r="E53" i="25"/>
  <c r="M53" i="25"/>
  <c r="I54" i="25"/>
  <c r="E55" i="25"/>
  <c r="M55" i="25"/>
  <c r="B30" i="24"/>
  <c r="J32" i="24"/>
  <c r="J36" i="24"/>
  <c r="J38" i="24"/>
  <c r="J40" i="24"/>
  <c r="J44" i="24"/>
  <c r="J46" i="24"/>
  <c r="J50" i="24"/>
  <c r="F53" i="24"/>
  <c r="B58" i="24"/>
  <c r="B60" i="24"/>
  <c r="B64" i="24"/>
  <c r="B66" i="24"/>
  <c r="F69" i="24"/>
  <c r="C30" i="24"/>
  <c r="K30" i="24"/>
  <c r="G31" i="24"/>
  <c r="C32" i="24"/>
  <c r="K32" i="24"/>
  <c r="G33" i="24"/>
  <c r="G35" i="24"/>
  <c r="C36" i="24"/>
  <c r="K36" i="24"/>
  <c r="G37" i="24"/>
  <c r="C38" i="24"/>
  <c r="K38" i="24"/>
  <c r="G39" i="24"/>
  <c r="C40" i="24"/>
  <c r="K40" i="24"/>
  <c r="G41" i="24"/>
  <c r="C44" i="24"/>
  <c r="K44" i="24"/>
  <c r="G45" i="24"/>
  <c r="C46" i="24"/>
  <c r="K46" i="24"/>
  <c r="G47" i="24"/>
  <c r="G49" i="24"/>
  <c r="C50" i="24"/>
  <c r="K50" i="24"/>
  <c r="G51" i="24"/>
  <c r="C52" i="24"/>
  <c r="K52" i="24"/>
  <c r="G53" i="24"/>
  <c r="C54" i="24"/>
  <c r="K54" i="24"/>
  <c r="G55" i="24"/>
  <c r="F31" i="24"/>
  <c r="F33" i="24"/>
  <c r="F35" i="24"/>
  <c r="F37" i="24"/>
  <c r="F39" i="24"/>
  <c r="F41" i="24"/>
  <c r="F45" i="24"/>
  <c r="F47" i="24"/>
  <c r="F49" i="24"/>
  <c r="B52" i="24"/>
  <c r="J54" i="24"/>
  <c r="J58" i="24"/>
  <c r="J66" i="24"/>
  <c r="D30" i="24"/>
  <c r="L30" i="24"/>
  <c r="H31" i="24"/>
  <c r="D32" i="24"/>
  <c r="L32" i="24"/>
  <c r="H33" i="24"/>
  <c r="H35" i="24"/>
  <c r="D36" i="24"/>
  <c r="L36" i="24"/>
  <c r="H37" i="24"/>
  <c r="D38" i="24"/>
  <c r="L38" i="24"/>
  <c r="H39" i="24"/>
  <c r="D40" i="24"/>
  <c r="L40" i="24"/>
  <c r="H41" i="24"/>
  <c r="D44" i="24"/>
  <c r="L44" i="24"/>
  <c r="H45" i="24"/>
  <c r="D46" i="24"/>
  <c r="L46" i="24"/>
  <c r="H47" i="24"/>
  <c r="H49" i="24"/>
  <c r="D50" i="24"/>
  <c r="L50" i="24"/>
  <c r="H51" i="24"/>
  <c r="D52" i="24"/>
  <c r="L52" i="24"/>
  <c r="H53" i="24"/>
  <c r="D54" i="24"/>
  <c r="L54" i="24"/>
  <c r="H55" i="24"/>
  <c r="B68" i="24"/>
  <c r="E30" i="24"/>
  <c r="M30" i="24"/>
  <c r="I31" i="24"/>
  <c r="E32" i="24"/>
  <c r="M32" i="24"/>
  <c r="I33" i="24"/>
  <c r="I35" i="24"/>
  <c r="E36" i="24"/>
  <c r="M36" i="24"/>
  <c r="I37" i="24"/>
  <c r="E38" i="24"/>
  <c r="M38" i="24"/>
  <c r="I39" i="24"/>
  <c r="E40" i="24"/>
  <c r="M40" i="24"/>
  <c r="I41" i="24"/>
  <c r="E44" i="24"/>
  <c r="M44" i="24"/>
  <c r="I45" i="24"/>
  <c r="E46" i="24"/>
  <c r="M46" i="24"/>
  <c r="I47" i="24"/>
  <c r="I49" i="24"/>
  <c r="E50" i="24"/>
  <c r="M50" i="24"/>
  <c r="I51" i="24"/>
  <c r="E52" i="24"/>
  <c r="M52" i="24"/>
  <c r="I53" i="24"/>
  <c r="E54" i="24"/>
  <c r="M54" i="24"/>
  <c r="I55" i="24"/>
  <c r="B32" i="24"/>
  <c r="B36" i="24"/>
  <c r="B40" i="24"/>
  <c r="F51" i="24"/>
  <c r="F30" i="24"/>
  <c r="B31" i="24"/>
  <c r="J31" i="24"/>
  <c r="F32" i="24"/>
  <c r="B33" i="24"/>
  <c r="J33" i="24"/>
  <c r="B35" i="24"/>
  <c r="J35" i="24"/>
  <c r="F36" i="24"/>
  <c r="B37" i="24"/>
  <c r="J37" i="24"/>
  <c r="F38" i="24"/>
  <c r="B39" i="24"/>
  <c r="J39" i="24"/>
  <c r="F40" i="24"/>
  <c r="B41" i="24"/>
  <c r="J41" i="24"/>
  <c r="F44" i="24"/>
  <c r="B45" i="24"/>
  <c r="J45" i="24"/>
  <c r="F46" i="24"/>
  <c r="B47" i="24"/>
  <c r="J47" i="24"/>
  <c r="B49" i="24"/>
  <c r="J49" i="24"/>
  <c r="F50" i="24"/>
  <c r="B51" i="24"/>
  <c r="J51" i="24"/>
  <c r="F52" i="24"/>
  <c r="B53" i="24"/>
  <c r="J53" i="24"/>
  <c r="F54" i="24"/>
  <c r="B55" i="24"/>
  <c r="J55" i="24"/>
  <c r="G30" i="24"/>
  <c r="C31" i="24"/>
  <c r="K31" i="24"/>
  <c r="G32" i="24"/>
  <c r="C33" i="24"/>
  <c r="K33" i="24"/>
  <c r="C35" i="24"/>
  <c r="K35" i="24"/>
  <c r="G36" i="24"/>
  <c r="C37" i="24"/>
  <c r="K37" i="24"/>
  <c r="G38" i="24"/>
  <c r="C39" i="24"/>
  <c r="K39" i="24"/>
  <c r="G40" i="24"/>
  <c r="C41" i="24"/>
  <c r="K41" i="24"/>
  <c r="G44" i="24"/>
  <c r="C45" i="24"/>
  <c r="K45" i="24"/>
  <c r="G46" i="24"/>
  <c r="C47" i="24"/>
  <c r="K47" i="24"/>
  <c r="C49" i="24"/>
  <c r="K49" i="24"/>
  <c r="G50" i="24"/>
  <c r="C51" i="24"/>
  <c r="K51" i="24"/>
  <c r="G52" i="24"/>
  <c r="C53" i="24"/>
  <c r="K53" i="24"/>
  <c r="G54" i="24"/>
  <c r="C55" i="24"/>
  <c r="K55" i="24"/>
  <c r="H30" i="24"/>
  <c r="D31" i="24"/>
  <c r="L31" i="24"/>
  <c r="H32" i="24"/>
  <c r="D33" i="24"/>
  <c r="L33" i="24"/>
  <c r="D35" i="24"/>
  <c r="L35" i="24"/>
  <c r="H36" i="24"/>
  <c r="D37" i="24"/>
  <c r="L37" i="24"/>
  <c r="H38" i="24"/>
  <c r="D39" i="24"/>
  <c r="L39" i="24"/>
  <c r="H40" i="24"/>
  <c r="D41" i="24"/>
  <c r="L41" i="24"/>
  <c r="H44" i="24"/>
  <c r="D45" i="24"/>
  <c r="L45" i="24"/>
  <c r="H46" i="24"/>
  <c r="D47" i="24"/>
  <c r="L47" i="24"/>
  <c r="D49" i="24"/>
  <c r="L49" i="24"/>
  <c r="H50" i="24"/>
  <c r="D51" i="24"/>
  <c r="L51" i="24"/>
  <c r="H52" i="24"/>
  <c r="D53" i="24"/>
  <c r="L53" i="24"/>
  <c r="H54" i="24"/>
  <c r="D55" i="24"/>
  <c r="L55" i="24"/>
  <c r="I30" i="24"/>
  <c r="E31" i="24"/>
  <c r="M31" i="24"/>
  <c r="I32" i="24"/>
  <c r="E33" i="24"/>
  <c r="M33" i="24"/>
  <c r="E35" i="24"/>
  <c r="M35" i="24"/>
  <c r="I36" i="24"/>
  <c r="E37" i="24"/>
  <c r="M37" i="24"/>
  <c r="I38" i="24"/>
  <c r="E39" i="24"/>
  <c r="M39" i="24"/>
  <c r="I40" i="24"/>
  <c r="E41" i="24"/>
  <c r="M41" i="24"/>
  <c r="I44" i="24"/>
  <c r="E45" i="24"/>
  <c r="M45" i="24"/>
  <c r="I46" i="24"/>
  <c r="E47" i="24"/>
  <c r="M47" i="24"/>
  <c r="E49" i="24"/>
  <c r="M49" i="24"/>
  <c r="I50" i="24"/>
  <c r="E51" i="24"/>
  <c r="M51" i="24"/>
  <c r="I52" i="24"/>
  <c r="E53" i="24"/>
  <c r="M53" i="24"/>
  <c r="I54" i="24"/>
  <c r="E55" i="24"/>
  <c r="M55" i="24"/>
  <c r="H58" i="23"/>
  <c r="H44" i="23"/>
  <c r="H30" i="23"/>
  <c r="D59" i="23"/>
  <c r="D45" i="23"/>
  <c r="D31" i="23"/>
  <c r="L59" i="23"/>
  <c r="L45" i="23"/>
  <c r="L31" i="23"/>
  <c r="H60" i="23"/>
  <c r="H46" i="23"/>
  <c r="H32" i="23"/>
  <c r="D61" i="23"/>
  <c r="D47" i="23"/>
  <c r="D33" i="23"/>
  <c r="L61" i="23"/>
  <c r="L47" i="23"/>
  <c r="L33" i="23"/>
  <c r="D63" i="23"/>
  <c r="D49" i="23"/>
  <c r="D35" i="23"/>
  <c r="L63" i="23"/>
  <c r="L49" i="23"/>
  <c r="L35" i="23"/>
  <c r="H64" i="23"/>
  <c r="H50" i="23"/>
  <c r="H36" i="23"/>
  <c r="D65" i="23"/>
  <c r="D51" i="23"/>
  <c r="D37" i="23"/>
  <c r="L65" i="23"/>
  <c r="L51" i="23"/>
  <c r="L37" i="23"/>
  <c r="H66" i="23"/>
  <c r="H52" i="23"/>
  <c r="H38" i="23"/>
  <c r="D67" i="23"/>
  <c r="D53" i="23"/>
  <c r="D39" i="23"/>
  <c r="L67" i="23"/>
  <c r="L53" i="23"/>
  <c r="L39" i="23"/>
  <c r="F39" i="23"/>
  <c r="J58" i="23"/>
  <c r="J44" i="23"/>
  <c r="F59" i="23"/>
  <c r="F45" i="23"/>
  <c r="B60" i="23"/>
  <c r="B46" i="23"/>
  <c r="J60" i="23"/>
  <c r="J46" i="23"/>
  <c r="F61" i="23"/>
  <c r="F47" i="23"/>
  <c r="F63" i="23"/>
  <c r="F49" i="23"/>
  <c r="B64" i="23"/>
  <c r="B50" i="23"/>
  <c r="J64" i="23"/>
  <c r="J50" i="23"/>
  <c r="F65" i="23"/>
  <c r="F51" i="23"/>
  <c r="B66" i="23"/>
  <c r="B52" i="23"/>
  <c r="B68" i="23"/>
  <c r="B54" i="23"/>
  <c r="J68" i="23"/>
  <c r="J54" i="23"/>
  <c r="F55" i="23"/>
  <c r="F69" i="23"/>
  <c r="B30" i="23"/>
  <c r="F35" i="23"/>
  <c r="J40" i="23"/>
  <c r="J30" i="23"/>
  <c r="B36" i="23"/>
  <c r="F41" i="23"/>
  <c r="F31" i="23"/>
  <c r="J36" i="23"/>
  <c r="B44" i="23"/>
  <c r="B32" i="23"/>
  <c r="F37" i="23"/>
  <c r="J32" i="23"/>
  <c r="C30" i="23"/>
  <c r="K30" i="23"/>
  <c r="G31" i="23"/>
  <c r="C32" i="23"/>
  <c r="K32" i="23"/>
  <c r="G33" i="23"/>
  <c r="G35" i="23"/>
  <c r="C36" i="23"/>
  <c r="K36" i="23"/>
  <c r="G37" i="23"/>
  <c r="C38" i="23"/>
  <c r="K38" i="23"/>
  <c r="G39" i="23"/>
  <c r="C40" i="23"/>
  <c r="K40" i="23"/>
  <c r="G41" i="23"/>
  <c r="C44" i="23"/>
  <c r="K44" i="23"/>
  <c r="G45" i="23"/>
  <c r="C46" i="23"/>
  <c r="K46" i="23"/>
  <c r="G47" i="23"/>
  <c r="G49" i="23"/>
  <c r="C50" i="23"/>
  <c r="K50" i="23"/>
  <c r="G51" i="23"/>
  <c r="C52" i="23"/>
  <c r="K52" i="23"/>
  <c r="G53" i="23"/>
  <c r="C54" i="23"/>
  <c r="K54" i="23"/>
  <c r="G55" i="23"/>
  <c r="D30" i="23"/>
  <c r="L30" i="23"/>
  <c r="H31" i="23"/>
  <c r="D32" i="23"/>
  <c r="L32" i="23"/>
  <c r="H33" i="23"/>
  <c r="H35" i="23"/>
  <c r="D36" i="23"/>
  <c r="L36" i="23"/>
  <c r="H37" i="23"/>
  <c r="D38" i="23"/>
  <c r="L38" i="23"/>
  <c r="H39" i="23"/>
  <c r="D40" i="23"/>
  <c r="L40" i="23"/>
  <c r="H41" i="23"/>
  <c r="D44" i="23"/>
  <c r="L44" i="23"/>
  <c r="H45" i="23"/>
  <c r="D46" i="23"/>
  <c r="L46" i="23"/>
  <c r="H47" i="23"/>
  <c r="H49" i="23"/>
  <c r="D50" i="23"/>
  <c r="L50" i="23"/>
  <c r="H51" i="23"/>
  <c r="D52" i="23"/>
  <c r="L52" i="23"/>
  <c r="H53" i="23"/>
  <c r="D54" i="23"/>
  <c r="L54" i="23"/>
  <c r="H55" i="23"/>
  <c r="E30" i="23"/>
  <c r="M30" i="23"/>
  <c r="I31" i="23"/>
  <c r="E32" i="23"/>
  <c r="M32" i="23"/>
  <c r="I33" i="23"/>
  <c r="I35" i="23"/>
  <c r="E36" i="23"/>
  <c r="M36" i="23"/>
  <c r="I37" i="23"/>
  <c r="E38" i="23"/>
  <c r="M38" i="23"/>
  <c r="I39" i="23"/>
  <c r="E40" i="23"/>
  <c r="M40" i="23"/>
  <c r="I41" i="23"/>
  <c r="E44" i="23"/>
  <c r="M44" i="23"/>
  <c r="I45" i="23"/>
  <c r="E46" i="23"/>
  <c r="M46" i="23"/>
  <c r="I47" i="23"/>
  <c r="I49" i="23"/>
  <c r="E50" i="23"/>
  <c r="M50" i="23"/>
  <c r="I51" i="23"/>
  <c r="E52" i="23"/>
  <c r="M52" i="23"/>
  <c r="I53" i="23"/>
  <c r="E54" i="23"/>
  <c r="M54" i="23"/>
  <c r="I55" i="23"/>
  <c r="F30" i="23"/>
  <c r="B31" i="23"/>
  <c r="J31" i="23"/>
  <c r="F32" i="23"/>
  <c r="B33" i="23"/>
  <c r="J33" i="23"/>
  <c r="B35" i="23"/>
  <c r="J35" i="23"/>
  <c r="F36" i="23"/>
  <c r="B37" i="23"/>
  <c r="J37" i="23"/>
  <c r="F38" i="23"/>
  <c r="B39" i="23"/>
  <c r="J39" i="23"/>
  <c r="F40" i="23"/>
  <c r="B41" i="23"/>
  <c r="J41" i="23"/>
  <c r="F44" i="23"/>
  <c r="B45" i="23"/>
  <c r="J45" i="23"/>
  <c r="F46" i="23"/>
  <c r="B47" i="23"/>
  <c r="J47" i="23"/>
  <c r="B49" i="23"/>
  <c r="J49" i="23"/>
  <c r="F50" i="23"/>
  <c r="B51" i="23"/>
  <c r="J51" i="23"/>
  <c r="F52" i="23"/>
  <c r="B53" i="23"/>
  <c r="J53" i="23"/>
  <c r="F54" i="23"/>
  <c r="B55" i="23"/>
  <c r="J55" i="23"/>
  <c r="G30" i="23"/>
  <c r="C31" i="23"/>
  <c r="K31" i="23"/>
  <c r="G32" i="23"/>
  <c r="C33" i="23"/>
  <c r="K33" i="23"/>
  <c r="C35" i="23"/>
  <c r="K35" i="23"/>
  <c r="G36" i="23"/>
  <c r="C37" i="23"/>
  <c r="K37" i="23"/>
  <c r="G38" i="23"/>
  <c r="C39" i="23"/>
  <c r="K39" i="23"/>
  <c r="G40" i="23"/>
  <c r="C41" i="23"/>
  <c r="K41" i="23"/>
  <c r="G44" i="23"/>
  <c r="C45" i="23"/>
  <c r="K45" i="23"/>
  <c r="G46" i="23"/>
  <c r="C47" i="23"/>
  <c r="K47" i="23"/>
  <c r="C49" i="23"/>
  <c r="K49" i="23"/>
  <c r="G50" i="23"/>
  <c r="C51" i="23"/>
  <c r="K51" i="23"/>
  <c r="G52" i="23"/>
  <c r="C53" i="23"/>
  <c r="K53" i="23"/>
  <c r="G54" i="23"/>
  <c r="C55" i="23"/>
  <c r="K55" i="23"/>
  <c r="H40" i="23"/>
  <c r="D41" i="23"/>
  <c r="L41" i="23"/>
  <c r="H54" i="23"/>
  <c r="D55" i="23"/>
  <c r="L55" i="23"/>
  <c r="I30" i="23"/>
  <c r="E31" i="23"/>
  <c r="M31" i="23"/>
  <c r="I32" i="23"/>
  <c r="E33" i="23"/>
  <c r="M33" i="23"/>
  <c r="E35" i="23"/>
  <c r="M35" i="23"/>
  <c r="I36" i="23"/>
  <c r="E37" i="23"/>
  <c r="M37" i="23"/>
  <c r="I38" i="23"/>
  <c r="E39" i="23"/>
  <c r="M39" i="23"/>
  <c r="I40" i="23"/>
  <c r="E41" i="23"/>
  <c r="M41" i="23"/>
  <c r="I44" i="23"/>
  <c r="E45" i="23"/>
  <c r="M45" i="23"/>
  <c r="I46" i="23"/>
  <c r="E47" i="23"/>
  <c r="M47" i="23"/>
  <c r="E49" i="23"/>
  <c r="M49" i="23"/>
  <c r="I50" i="23"/>
  <c r="E51" i="23"/>
  <c r="M51" i="23"/>
  <c r="I52" i="23"/>
  <c r="E53" i="23"/>
  <c r="M53" i="23"/>
  <c r="I54" i="23"/>
  <c r="E55" i="23"/>
  <c r="M55" i="23"/>
  <c r="B32" i="22"/>
  <c r="J44" i="22"/>
  <c r="D40" i="22"/>
  <c r="L44" i="22"/>
  <c r="F63" i="22"/>
  <c r="F49" i="22"/>
  <c r="B64" i="22"/>
  <c r="B50" i="22"/>
  <c r="B66" i="22"/>
  <c r="B52" i="22"/>
  <c r="F69" i="22"/>
  <c r="F55" i="22"/>
  <c r="F45" i="22"/>
  <c r="D30" i="22"/>
  <c r="L40" i="22"/>
  <c r="B46" i="22"/>
  <c r="F61" i="22"/>
  <c r="F47" i="22"/>
  <c r="J64" i="22"/>
  <c r="J50" i="22"/>
  <c r="J66" i="22"/>
  <c r="J52" i="22"/>
  <c r="B68" i="22"/>
  <c r="B54" i="22"/>
  <c r="H59" i="22"/>
  <c r="H45" i="22"/>
  <c r="D60" i="22"/>
  <c r="D46" i="22"/>
  <c r="L60" i="22"/>
  <c r="L46" i="22"/>
  <c r="H61" i="22"/>
  <c r="H47" i="22"/>
  <c r="H63" i="22"/>
  <c r="H49" i="22"/>
  <c r="D64" i="22"/>
  <c r="D50" i="22"/>
  <c r="L64" i="22"/>
  <c r="L50" i="22"/>
  <c r="H65" i="22"/>
  <c r="H51" i="22"/>
  <c r="D66" i="22"/>
  <c r="D52" i="22"/>
  <c r="L66" i="22"/>
  <c r="AN12" i="42" s="1"/>
  <c r="L52" i="22"/>
  <c r="H69" i="22"/>
  <c r="H55" i="22"/>
  <c r="J30" i="22"/>
  <c r="F33" i="22"/>
  <c r="B36" i="22"/>
  <c r="J38" i="22"/>
  <c r="F41" i="22"/>
  <c r="J46" i="22"/>
  <c r="F67" i="22"/>
  <c r="F53" i="22"/>
  <c r="B38" i="22"/>
  <c r="L30" i="22"/>
  <c r="H33" i="22"/>
  <c r="D36" i="22"/>
  <c r="L38" i="22"/>
  <c r="H41" i="22"/>
  <c r="H67" i="22"/>
  <c r="AJ13" i="42" s="1"/>
  <c r="F65" i="22"/>
  <c r="F51" i="22"/>
  <c r="J68" i="22"/>
  <c r="J54" i="22"/>
  <c r="B30" i="22"/>
  <c r="J32" i="22"/>
  <c r="F35" i="22"/>
  <c r="F31" i="22"/>
  <c r="J36" i="22"/>
  <c r="F39" i="22"/>
  <c r="B44" i="22"/>
  <c r="D68" i="22"/>
  <c r="H31" i="22"/>
  <c r="L36" i="22"/>
  <c r="H39" i="22"/>
  <c r="D44" i="22"/>
  <c r="L68" i="22"/>
  <c r="C30" i="22"/>
  <c r="K30" i="22"/>
  <c r="G31" i="22"/>
  <c r="C32" i="22"/>
  <c r="K32" i="22"/>
  <c r="G33" i="22"/>
  <c r="G35" i="22"/>
  <c r="C36" i="22"/>
  <c r="K36" i="22"/>
  <c r="G37" i="22"/>
  <c r="C38" i="22"/>
  <c r="K38" i="22"/>
  <c r="G39" i="22"/>
  <c r="C40" i="22"/>
  <c r="K40" i="22"/>
  <c r="G41" i="22"/>
  <c r="C44" i="22"/>
  <c r="K44" i="22"/>
  <c r="G45" i="22"/>
  <c r="C46" i="22"/>
  <c r="K46" i="22"/>
  <c r="G47" i="22"/>
  <c r="G49" i="22"/>
  <c r="C50" i="22"/>
  <c r="K50" i="22"/>
  <c r="G51" i="22"/>
  <c r="C52" i="22"/>
  <c r="K52" i="22"/>
  <c r="G53" i="22"/>
  <c r="C54" i="22"/>
  <c r="K54" i="22"/>
  <c r="G55" i="22"/>
  <c r="E30" i="22"/>
  <c r="M30" i="22"/>
  <c r="I31" i="22"/>
  <c r="E32" i="22"/>
  <c r="M32" i="22"/>
  <c r="I33" i="22"/>
  <c r="I35" i="22"/>
  <c r="E36" i="22"/>
  <c r="M36" i="22"/>
  <c r="I37" i="22"/>
  <c r="E38" i="22"/>
  <c r="M38" i="22"/>
  <c r="I39" i="22"/>
  <c r="E40" i="22"/>
  <c r="M40" i="22"/>
  <c r="I41" i="22"/>
  <c r="E44" i="22"/>
  <c r="M44" i="22"/>
  <c r="I45" i="22"/>
  <c r="E46" i="22"/>
  <c r="M46" i="22"/>
  <c r="I47" i="22"/>
  <c r="I49" i="22"/>
  <c r="E50" i="22"/>
  <c r="M50" i="22"/>
  <c r="I51" i="22"/>
  <c r="E52" i="22"/>
  <c r="M52" i="22"/>
  <c r="I53" i="22"/>
  <c r="E54" i="22"/>
  <c r="M54" i="22"/>
  <c r="I55" i="22"/>
  <c r="F30" i="22"/>
  <c r="B31" i="22"/>
  <c r="J31" i="22"/>
  <c r="F32" i="22"/>
  <c r="B33" i="22"/>
  <c r="J33" i="22"/>
  <c r="B35" i="22"/>
  <c r="J35" i="22"/>
  <c r="F36" i="22"/>
  <c r="B37" i="22"/>
  <c r="J37" i="22"/>
  <c r="F38" i="22"/>
  <c r="B39" i="22"/>
  <c r="J39" i="22"/>
  <c r="F40" i="22"/>
  <c r="B41" i="22"/>
  <c r="J41" i="22"/>
  <c r="F44" i="22"/>
  <c r="B45" i="22"/>
  <c r="J45" i="22"/>
  <c r="F46" i="22"/>
  <c r="B47" i="22"/>
  <c r="J47" i="22"/>
  <c r="B49" i="22"/>
  <c r="J49" i="22"/>
  <c r="F50" i="22"/>
  <c r="B51" i="22"/>
  <c r="J51" i="22"/>
  <c r="F52" i="22"/>
  <c r="B53" i="22"/>
  <c r="J53" i="22"/>
  <c r="F54" i="22"/>
  <c r="B55" i="22"/>
  <c r="J55" i="22"/>
  <c r="G30" i="22"/>
  <c r="C31" i="22"/>
  <c r="K31" i="22"/>
  <c r="G32" i="22"/>
  <c r="C33" i="22"/>
  <c r="K33" i="22"/>
  <c r="C35" i="22"/>
  <c r="K35" i="22"/>
  <c r="G36" i="22"/>
  <c r="C37" i="22"/>
  <c r="K37" i="22"/>
  <c r="G38" i="22"/>
  <c r="C39" i="22"/>
  <c r="K39" i="22"/>
  <c r="G40" i="22"/>
  <c r="C41" i="22"/>
  <c r="K41" i="22"/>
  <c r="G44" i="22"/>
  <c r="C45" i="22"/>
  <c r="K45" i="22"/>
  <c r="G46" i="22"/>
  <c r="C47" i="22"/>
  <c r="K47" i="22"/>
  <c r="C49" i="22"/>
  <c r="K49" i="22"/>
  <c r="G50" i="22"/>
  <c r="C51" i="22"/>
  <c r="K51" i="22"/>
  <c r="G52" i="22"/>
  <c r="C53" i="22"/>
  <c r="K53" i="22"/>
  <c r="G54" i="22"/>
  <c r="C55" i="22"/>
  <c r="K55" i="22"/>
  <c r="H30" i="22"/>
  <c r="D31" i="22"/>
  <c r="L31" i="22"/>
  <c r="H32" i="22"/>
  <c r="D33" i="22"/>
  <c r="L33" i="22"/>
  <c r="D35" i="22"/>
  <c r="L35" i="22"/>
  <c r="H36" i="22"/>
  <c r="D37" i="22"/>
  <c r="L37" i="22"/>
  <c r="H38" i="22"/>
  <c r="D39" i="22"/>
  <c r="L39" i="22"/>
  <c r="H40" i="22"/>
  <c r="D41" i="22"/>
  <c r="L41" i="22"/>
  <c r="H44" i="22"/>
  <c r="D45" i="22"/>
  <c r="L45" i="22"/>
  <c r="H46" i="22"/>
  <c r="D47" i="22"/>
  <c r="L47" i="22"/>
  <c r="D49" i="22"/>
  <c r="L49" i="22"/>
  <c r="H50" i="22"/>
  <c r="D51" i="22"/>
  <c r="L51" i="22"/>
  <c r="H52" i="22"/>
  <c r="D53" i="22"/>
  <c r="L53" i="22"/>
  <c r="H54" i="22"/>
  <c r="D55" i="22"/>
  <c r="L55" i="22"/>
  <c r="I30" i="22"/>
  <c r="E31" i="22"/>
  <c r="M31" i="22"/>
  <c r="I32" i="22"/>
  <c r="E33" i="22"/>
  <c r="M33" i="22"/>
  <c r="E35" i="22"/>
  <c r="M35" i="22"/>
  <c r="I36" i="22"/>
  <c r="E37" i="22"/>
  <c r="M37" i="22"/>
  <c r="I38" i="22"/>
  <c r="E39" i="22"/>
  <c r="M39" i="22"/>
  <c r="I40" i="22"/>
  <c r="E41" i="22"/>
  <c r="M41" i="22"/>
  <c r="I44" i="22"/>
  <c r="E45" i="22"/>
  <c r="M45" i="22"/>
  <c r="I46" i="22"/>
  <c r="E47" i="22"/>
  <c r="M47" i="22"/>
  <c r="E49" i="22"/>
  <c r="M49" i="22"/>
  <c r="I50" i="22"/>
  <c r="E51" i="22"/>
  <c r="M51" i="22"/>
  <c r="I52" i="22"/>
  <c r="E53" i="22"/>
  <c r="M53" i="22"/>
  <c r="I54" i="22"/>
  <c r="E55" i="22"/>
  <c r="M55" i="22"/>
  <c r="B32" i="21"/>
  <c r="B38" i="21"/>
  <c r="B40" i="21"/>
  <c r="J46" i="21"/>
  <c r="B68" i="21"/>
  <c r="C30" i="21"/>
  <c r="G31" i="21"/>
  <c r="G33" i="21"/>
  <c r="G35" i="21"/>
  <c r="K36" i="21"/>
  <c r="C38" i="21"/>
  <c r="G39" i="21"/>
  <c r="C44" i="21"/>
  <c r="G45" i="21"/>
  <c r="K46" i="21"/>
  <c r="G49" i="21"/>
  <c r="K50" i="21"/>
  <c r="C52" i="21"/>
  <c r="G53" i="21"/>
  <c r="K54" i="21"/>
  <c r="K60" i="21"/>
  <c r="G69" i="21"/>
  <c r="D30" i="21"/>
  <c r="L30" i="21"/>
  <c r="H31" i="21"/>
  <c r="D32" i="21"/>
  <c r="L32" i="21"/>
  <c r="H33" i="21"/>
  <c r="H35" i="21"/>
  <c r="D36" i="21"/>
  <c r="L36" i="21"/>
  <c r="H37" i="21"/>
  <c r="D38" i="21"/>
  <c r="L38" i="21"/>
  <c r="H39" i="21"/>
  <c r="D40" i="21"/>
  <c r="L40" i="21"/>
  <c r="H41" i="21"/>
  <c r="D44" i="21"/>
  <c r="L44" i="21"/>
  <c r="H45" i="21"/>
  <c r="D46" i="21"/>
  <c r="L46" i="21"/>
  <c r="H47" i="21"/>
  <c r="H49" i="21"/>
  <c r="D50" i="21"/>
  <c r="L50" i="21"/>
  <c r="H51" i="21"/>
  <c r="D52" i="21"/>
  <c r="L52" i="21"/>
  <c r="H53" i="21"/>
  <c r="D54" i="21"/>
  <c r="L54" i="21"/>
  <c r="H55" i="21"/>
  <c r="B30" i="21"/>
  <c r="F33" i="21"/>
  <c r="B36" i="21"/>
  <c r="J38" i="21"/>
  <c r="B44" i="21"/>
  <c r="F45" i="21"/>
  <c r="F47" i="21"/>
  <c r="F49" i="21"/>
  <c r="J50" i="21"/>
  <c r="B52" i="21"/>
  <c r="F53" i="21"/>
  <c r="J54" i="21"/>
  <c r="F59" i="21"/>
  <c r="J60" i="21"/>
  <c r="F63" i="21"/>
  <c r="J64" i="21"/>
  <c r="F69" i="21"/>
  <c r="C40" i="21"/>
  <c r="E30" i="21"/>
  <c r="M30" i="21"/>
  <c r="I31" i="21"/>
  <c r="E32" i="21"/>
  <c r="M32" i="21"/>
  <c r="I33" i="21"/>
  <c r="I35" i="21"/>
  <c r="E36" i="21"/>
  <c r="M36" i="21"/>
  <c r="I37" i="21"/>
  <c r="E38" i="21"/>
  <c r="M38" i="21"/>
  <c r="I39" i="21"/>
  <c r="E40" i="21"/>
  <c r="M40" i="21"/>
  <c r="I41" i="21"/>
  <c r="E44" i="21"/>
  <c r="M44" i="21"/>
  <c r="I45" i="21"/>
  <c r="E46" i="21"/>
  <c r="M46" i="21"/>
  <c r="I47" i="21"/>
  <c r="I49" i="21"/>
  <c r="E50" i="21"/>
  <c r="M50" i="21"/>
  <c r="I51" i="21"/>
  <c r="E52" i="21"/>
  <c r="M52" i="21"/>
  <c r="I53" i="21"/>
  <c r="E54" i="21"/>
  <c r="M54" i="21"/>
  <c r="I55" i="21"/>
  <c r="J30" i="21"/>
  <c r="F37" i="21"/>
  <c r="J40" i="21"/>
  <c r="K30" i="21"/>
  <c r="C32" i="21"/>
  <c r="C36" i="21"/>
  <c r="G37" i="21"/>
  <c r="K38" i="21"/>
  <c r="G41" i="21"/>
  <c r="K44" i="21"/>
  <c r="C46" i="21"/>
  <c r="G47" i="21"/>
  <c r="C50" i="21"/>
  <c r="G51" i="21"/>
  <c r="K52" i="21"/>
  <c r="C54" i="21"/>
  <c r="K68" i="21"/>
  <c r="F30" i="21"/>
  <c r="B31" i="21"/>
  <c r="J31" i="21"/>
  <c r="F32" i="21"/>
  <c r="B33" i="21"/>
  <c r="J33" i="21"/>
  <c r="B35" i="21"/>
  <c r="J35" i="21"/>
  <c r="F36" i="21"/>
  <c r="B37" i="21"/>
  <c r="J37" i="21"/>
  <c r="F38" i="21"/>
  <c r="B39" i="21"/>
  <c r="J39" i="21"/>
  <c r="F40" i="21"/>
  <c r="B41" i="21"/>
  <c r="J41" i="21"/>
  <c r="F44" i="21"/>
  <c r="B45" i="21"/>
  <c r="J45" i="21"/>
  <c r="F46" i="21"/>
  <c r="B47" i="21"/>
  <c r="J47" i="21"/>
  <c r="B49" i="21"/>
  <c r="J49" i="21"/>
  <c r="F50" i="21"/>
  <c r="B51" i="21"/>
  <c r="J51" i="21"/>
  <c r="F52" i="21"/>
  <c r="B53" i="21"/>
  <c r="J53" i="21"/>
  <c r="F54" i="21"/>
  <c r="B55" i="21"/>
  <c r="J55" i="21"/>
  <c r="F39" i="21"/>
  <c r="F41" i="21"/>
  <c r="J44" i="21"/>
  <c r="B46" i="21"/>
  <c r="B50" i="21"/>
  <c r="F51" i="21"/>
  <c r="J52" i="21"/>
  <c r="G30" i="21"/>
  <c r="C31" i="21"/>
  <c r="K31" i="21"/>
  <c r="G32" i="21"/>
  <c r="C33" i="21"/>
  <c r="K33" i="21"/>
  <c r="C35" i="21"/>
  <c r="K35" i="21"/>
  <c r="G36" i="21"/>
  <c r="C37" i="21"/>
  <c r="K37" i="21"/>
  <c r="G38" i="21"/>
  <c r="C39" i="21"/>
  <c r="K39" i="21"/>
  <c r="G40" i="21"/>
  <c r="C41" i="21"/>
  <c r="K41" i="21"/>
  <c r="G44" i="21"/>
  <c r="C45" i="21"/>
  <c r="K45" i="21"/>
  <c r="G46" i="21"/>
  <c r="C47" i="21"/>
  <c r="K47" i="21"/>
  <c r="C49" i="21"/>
  <c r="K49" i="21"/>
  <c r="G50" i="21"/>
  <c r="C51" i="21"/>
  <c r="K51" i="21"/>
  <c r="G52" i="21"/>
  <c r="C53" i="21"/>
  <c r="K53" i="21"/>
  <c r="G54" i="21"/>
  <c r="C55" i="21"/>
  <c r="K55" i="21"/>
  <c r="H30" i="21"/>
  <c r="D31" i="21"/>
  <c r="L31" i="21"/>
  <c r="H32" i="21"/>
  <c r="D33" i="21"/>
  <c r="L33" i="21"/>
  <c r="D35" i="21"/>
  <c r="L35" i="21"/>
  <c r="H36" i="21"/>
  <c r="D37" i="21"/>
  <c r="L37" i="21"/>
  <c r="H38" i="21"/>
  <c r="D39" i="21"/>
  <c r="L39" i="21"/>
  <c r="H40" i="21"/>
  <c r="D41" i="21"/>
  <c r="L41" i="21"/>
  <c r="H44" i="21"/>
  <c r="D45" i="21"/>
  <c r="L45" i="21"/>
  <c r="H46" i="21"/>
  <c r="D47" i="21"/>
  <c r="L47" i="21"/>
  <c r="D49" i="21"/>
  <c r="L49" i="21"/>
  <c r="H50" i="21"/>
  <c r="D51" i="21"/>
  <c r="L51" i="21"/>
  <c r="H52" i="21"/>
  <c r="D53" i="21"/>
  <c r="L53" i="21"/>
  <c r="H54" i="21"/>
  <c r="D55" i="21"/>
  <c r="L55" i="21"/>
  <c r="I30" i="21"/>
  <c r="E31" i="21"/>
  <c r="M31" i="21"/>
  <c r="I32" i="21"/>
  <c r="E33" i="21"/>
  <c r="M33" i="21"/>
  <c r="E35" i="21"/>
  <c r="M35" i="21"/>
  <c r="I36" i="21"/>
  <c r="E37" i="21"/>
  <c r="M37" i="21"/>
  <c r="I38" i="21"/>
  <c r="E39" i="21"/>
  <c r="M39" i="21"/>
  <c r="I40" i="21"/>
  <c r="E41" i="21"/>
  <c r="M41" i="21"/>
  <c r="I44" i="21"/>
  <c r="E45" i="21"/>
  <c r="M45" i="21"/>
  <c r="I46" i="21"/>
  <c r="E47" i="21"/>
  <c r="M47" i="21"/>
  <c r="E49" i="21"/>
  <c r="M49" i="21"/>
  <c r="I50" i="21"/>
  <c r="E51" i="21"/>
  <c r="M51" i="21"/>
  <c r="I52" i="21"/>
  <c r="E53" i="21"/>
  <c r="M53" i="21"/>
  <c r="I54" i="21"/>
  <c r="E55" i="21"/>
  <c r="M55" i="21"/>
  <c r="F61" i="20"/>
  <c r="F47" i="20"/>
  <c r="F63" i="20"/>
  <c r="F49" i="20"/>
  <c r="B64" i="20"/>
  <c r="B50" i="20"/>
  <c r="J64" i="20"/>
  <c r="J50" i="20"/>
  <c r="F65" i="20"/>
  <c r="F51" i="20"/>
  <c r="B66" i="20"/>
  <c r="B52" i="20"/>
  <c r="J66" i="20"/>
  <c r="J52" i="20"/>
  <c r="F67" i="20"/>
  <c r="F53" i="20"/>
  <c r="B68" i="20"/>
  <c r="B54" i="20"/>
  <c r="J68" i="20"/>
  <c r="J54" i="20"/>
  <c r="F69" i="20"/>
  <c r="F55" i="20"/>
  <c r="B30" i="20"/>
  <c r="F35" i="20"/>
  <c r="J40" i="20"/>
  <c r="J30" i="20"/>
  <c r="B36" i="20"/>
  <c r="F31" i="20"/>
  <c r="J36" i="20"/>
  <c r="B44" i="20"/>
  <c r="B32" i="20"/>
  <c r="F37" i="20"/>
  <c r="J44" i="20"/>
  <c r="J32" i="20"/>
  <c r="B38" i="20"/>
  <c r="F45" i="20"/>
  <c r="F33" i="20"/>
  <c r="J38" i="20"/>
  <c r="B46" i="20"/>
  <c r="J46" i="20"/>
  <c r="C30" i="20"/>
  <c r="K30" i="20"/>
  <c r="G31" i="20"/>
  <c r="C32" i="20"/>
  <c r="K32" i="20"/>
  <c r="G33" i="20"/>
  <c r="G35" i="20"/>
  <c r="C36" i="20"/>
  <c r="K36" i="20"/>
  <c r="G37" i="20"/>
  <c r="C38" i="20"/>
  <c r="K38" i="20"/>
  <c r="G39" i="20"/>
  <c r="C40" i="20"/>
  <c r="K40" i="20"/>
  <c r="G41" i="20"/>
  <c r="C44" i="20"/>
  <c r="K44" i="20"/>
  <c r="G45" i="20"/>
  <c r="C46" i="20"/>
  <c r="K46" i="20"/>
  <c r="G47" i="20"/>
  <c r="G49" i="20"/>
  <c r="C50" i="20"/>
  <c r="K50" i="20"/>
  <c r="G51" i="20"/>
  <c r="C52" i="20"/>
  <c r="K52" i="20"/>
  <c r="G53" i="20"/>
  <c r="C54" i="20"/>
  <c r="K54" i="20"/>
  <c r="G55" i="20"/>
  <c r="D30" i="20"/>
  <c r="L30" i="20"/>
  <c r="H31" i="20"/>
  <c r="D32" i="20"/>
  <c r="L32" i="20"/>
  <c r="H33" i="20"/>
  <c r="H35" i="20"/>
  <c r="D36" i="20"/>
  <c r="L36" i="20"/>
  <c r="H37" i="20"/>
  <c r="D38" i="20"/>
  <c r="L38" i="20"/>
  <c r="H39" i="20"/>
  <c r="D40" i="20"/>
  <c r="L40" i="20"/>
  <c r="H41" i="20"/>
  <c r="D44" i="20"/>
  <c r="L44" i="20"/>
  <c r="H45" i="20"/>
  <c r="D46" i="20"/>
  <c r="L46" i="20"/>
  <c r="H47" i="20"/>
  <c r="H49" i="20"/>
  <c r="D50" i="20"/>
  <c r="L50" i="20"/>
  <c r="H51" i="20"/>
  <c r="D52" i="20"/>
  <c r="L52" i="20"/>
  <c r="H53" i="20"/>
  <c r="D54" i="20"/>
  <c r="L54" i="20"/>
  <c r="H55" i="20"/>
  <c r="E30" i="20"/>
  <c r="M30" i="20"/>
  <c r="I31" i="20"/>
  <c r="E32" i="20"/>
  <c r="M32" i="20"/>
  <c r="I33" i="20"/>
  <c r="I35" i="20"/>
  <c r="E36" i="20"/>
  <c r="M36" i="20"/>
  <c r="I37" i="20"/>
  <c r="E38" i="20"/>
  <c r="M38" i="20"/>
  <c r="I39" i="20"/>
  <c r="E40" i="20"/>
  <c r="M40" i="20"/>
  <c r="I41" i="20"/>
  <c r="E44" i="20"/>
  <c r="M44" i="20"/>
  <c r="I45" i="20"/>
  <c r="E46" i="20"/>
  <c r="M46" i="20"/>
  <c r="I47" i="20"/>
  <c r="I49" i="20"/>
  <c r="E50" i="20"/>
  <c r="M50" i="20"/>
  <c r="I51" i="20"/>
  <c r="E52" i="20"/>
  <c r="M52" i="20"/>
  <c r="I53" i="20"/>
  <c r="E54" i="20"/>
  <c r="M54" i="20"/>
  <c r="I55" i="20"/>
  <c r="F30" i="20"/>
  <c r="B31" i="20"/>
  <c r="J31" i="20"/>
  <c r="F32" i="20"/>
  <c r="B33" i="20"/>
  <c r="J33" i="20"/>
  <c r="B35" i="20"/>
  <c r="J35" i="20"/>
  <c r="F36" i="20"/>
  <c r="B37" i="20"/>
  <c r="J37" i="20"/>
  <c r="F38" i="20"/>
  <c r="B39" i="20"/>
  <c r="J39" i="20"/>
  <c r="F40" i="20"/>
  <c r="B41" i="20"/>
  <c r="J41" i="20"/>
  <c r="F44" i="20"/>
  <c r="B45" i="20"/>
  <c r="J45" i="20"/>
  <c r="F46" i="20"/>
  <c r="B47" i="20"/>
  <c r="J47" i="20"/>
  <c r="B49" i="20"/>
  <c r="J49" i="20"/>
  <c r="F50" i="20"/>
  <c r="B51" i="20"/>
  <c r="J51" i="20"/>
  <c r="F52" i="20"/>
  <c r="B53" i="20"/>
  <c r="J53" i="20"/>
  <c r="F54" i="20"/>
  <c r="B55" i="20"/>
  <c r="J55" i="20"/>
  <c r="G30" i="20"/>
  <c r="C31" i="20"/>
  <c r="K31" i="20"/>
  <c r="G32" i="20"/>
  <c r="C33" i="20"/>
  <c r="K33" i="20"/>
  <c r="C35" i="20"/>
  <c r="K35" i="20"/>
  <c r="G36" i="20"/>
  <c r="C37" i="20"/>
  <c r="K37" i="20"/>
  <c r="G38" i="20"/>
  <c r="C39" i="20"/>
  <c r="K39" i="20"/>
  <c r="G40" i="20"/>
  <c r="C41" i="20"/>
  <c r="K41" i="20"/>
  <c r="G44" i="20"/>
  <c r="C45" i="20"/>
  <c r="K45" i="20"/>
  <c r="G46" i="20"/>
  <c r="C47" i="20"/>
  <c r="K47" i="20"/>
  <c r="C49" i="20"/>
  <c r="K49" i="20"/>
  <c r="G50" i="20"/>
  <c r="C51" i="20"/>
  <c r="K51" i="20"/>
  <c r="G52" i="20"/>
  <c r="C53" i="20"/>
  <c r="K53" i="20"/>
  <c r="G54" i="20"/>
  <c r="C55" i="20"/>
  <c r="K55" i="20"/>
  <c r="H30" i="20"/>
  <c r="D31" i="20"/>
  <c r="L31" i="20"/>
  <c r="H32" i="20"/>
  <c r="D33" i="20"/>
  <c r="L33" i="20"/>
  <c r="D35" i="20"/>
  <c r="L35" i="20"/>
  <c r="H36" i="20"/>
  <c r="D37" i="20"/>
  <c r="L37" i="20"/>
  <c r="H38" i="20"/>
  <c r="D39" i="20"/>
  <c r="L39" i="20"/>
  <c r="H40" i="20"/>
  <c r="D41" i="20"/>
  <c r="L41" i="20"/>
  <c r="H44" i="20"/>
  <c r="D45" i="20"/>
  <c r="L45" i="20"/>
  <c r="H46" i="20"/>
  <c r="D47" i="20"/>
  <c r="L47" i="20"/>
  <c r="D49" i="20"/>
  <c r="L49" i="20"/>
  <c r="H50" i="20"/>
  <c r="D51" i="20"/>
  <c r="L51" i="20"/>
  <c r="H52" i="20"/>
  <c r="D53" i="20"/>
  <c r="L53" i="20"/>
  <c r="H54" i="20"/>
  <c r="D55" i="20"/>
  <c r="L55" i="20"/>
  <c r="I30" i="20"/>
  <c r="E31" i="20"/>
  <c r="M31" i="20"/>
  <c r="I32" i="20"/>
  <c r="E33" i="20"/>
  <c r="M33" i="20"/>
  <c r="E35" i="20"/>
  <c r="M35" i="20"/>
  <c r="I36" i="20"/>
  <c r="E37" i="20"/>
  <c r="M37" i="20"/>
  <c r="I38" i="20"/>
  <c r="E39" i="20"/>
  <c r="M39" i="20"/>
  <c r="I40" i="20"/>
  <c r="E41" i="20"/>
  <c r="M41" i="20"/>
  <c r="I44" i="20"/>
  <c r="E45" i="20"/>
  <c r="M45" i="20"/>
  <c r="I46" i="20"/>
  <c r="E47" i="20"/>
  <c r="M47" i="20"/>
  <c r="E49" i="20"/>
  <c r="M49" i="20"/>
  <c r="I50" i="20"/>
  <c r="E51" i="20"/>
  <c r="M51" i="20"/>
  <c r="I52" i="20"/>
  <c r="E53" i="20"/>
  <c r="M53" i="20"/>
  <c r="I54" i="20"/>
  <c r="E55" i="20"/>
  <c r="M55" i="20"/>
  <c r="F61" i="19"/>
  <c r="F47" i="19"/>
  <c r="B64" i="19"/>
  <c r="B50" i="19"/>
  <c r="J50" i="19"/>
  <c r="J64" i="19"/>
  <c r="F51" i="19"/>
  <c r="F65" i="19"/>
  <c r="J52" i="19"/>
  <c r="J66" i="19"/>
  <c r="J30" i="19"/>
  <c r="B36" i="19"/>
  <c r="B60" i="19"/>
  <c r="B46" i="19"/>
  <c r="F63" i="19"/>
  <c r="F49" i="19"/>
  <c r="F35" i="19"/>
  <c r="F31" i="19"/>
  <c r="J36" i="19"/>
  <c r="B44" i="19"/>
  <c r="B68" i="19"/>
  <c r="B54" i="19"/>
  <c r="B32" i="19"/>
  <c r="F37" i="19"/>
  <c r="J44" i="19"/>
  <c r="J54" i="19"/>
  <c r="J68" i="19"/>
  <c r="B38" i="19"/>
  <c r="F45" i="19"/>
  <c r="F69" i="19"/>
  <c r="F55" i="19"/>
  <c r="F33" i="19"/>
  <c r="J38" i="19"/>
  <c r="F53" i="19"/>
  <c r="J60" i="19"/>
  <c r="J46" i="19"/>
  <c r="B30" i="19"/>
  <c r="F39" i="19"/>
  <c r="B66" i="19"/>
  <c r="G33" i="19"/>
  <c r="C36" i="19"/>
  <c r="C38" i="19"/>
  <c r="C40" i="19"/>
  <c r="C44" i="19"/>
  <c r="C46" i="19"/>
  <c r="K50" i="19"/>
  <c r="G51" i="19"/>
  <c r="G53" i="19"/>
  <c r="C54" i="19"/>
  <c r="K54" i="19"/>
  <c r="G55" i="19"/>
  <c r="C58" i="19"/>
  <c r="K58" i="19"/>
  <c r="G59" i="19"/>
  <c r="C60" i="19"/>
  <c r="K60" i="19"/>
  <c r="G61" i="19"/>
  <c r="G63" i="19"/>
  <c r="C64" i="19"/>
  <c r="K64" i="19"/>
  <c r="G65" i="19"/>
  <c r="G69" i="19"/>
  <c r="D30" i="19"/>
  <c r="L30" i="19"/>
  <c r="H31" i="19"/>
  <c r="D32" i="19"/>
  <c r="L32" i="19"/>
  <c r="H33" i="19"/>
  <c r="H35" i="19"/>
  <c r="D36" i="19"/>
  <c r="L36" i="19"/>
  <c r="H37" i="19"/>
  <c r="D38" i="19"/>
  <c r="L38" i="19"/>
  <c r="H39" i="19"/>
  <c r="D40" i="19"/>
  <c r="L40" i="19"/>
  <c r="H41" i="19"/>
  <c r="D44" i="19"/>
  <c r="L44" i="19"/>
  <c r="H45" i="19"/>
  <c r="D46" i="19"/>
  <c r="L46" i="19"/>
  <c r="H47" i="19"/>
  <c r="H49" i="19"/>
  <c r="D50" i="19"/>
  <c r="L50" i="19"/>
  <c r="H51" i="19"/>
  <c r="D52" i="19"/>
  <c r="L52" i="19"/>
  <c r="H53" i="19"/>
  <c r="D54" i="19"/>
  <c r="L54" i="19"/>
  <c r="H55" i="19"/>
  <c r="K30" i="19"/>
  <c r="K68" i="19"/>
  <c r="E30" i="19"/>
  <c r="M30" i="19"/>
  <c r="I31" i="19"/>
  <c r="E32" i="19"/>
  <c r="M32" i="19"/>
  <c r="I33" i="19"/>
  <c r="I35" i="19"/>
  <c r="E36" i="19"/>
  <c r="M36" i="19"/>
  <c r="I37" i="19"/>
  <c r="E38" i="19"/>
  <c r="M38" i="19"/>
  <c r="I39" i="19"/>
  <c r="E40" i="19"/>
  <c r="M40" i="19"/>
  <c r="I41" i="19"/>
  <c r="E44" i="19"/>
  <c r="M44" i="19"/>
  <c r="I45" i="19"/>
  <c r="E46" i="19"/>
  <c r="M46" i="19"/>
  <c r="I47" i="19"/>
  <c r="I49" i="19"/>
  <c r="E50" i="19"/>
  <c r="M50" i="19"/>
  <c r="I51" i="19"/>
  <c r="E52" i="19"/>
  <c r="M52" i="19"/>
  <c r="I53" i="19"/>
  <c r="E54" i="19"/>
  <c r="M54" i="19"/>
  <c r="I55" i="19"/>
  <c r="G35" i="19"/>
  <c r="G39" i="19"/>
  <c r="G45" i="19"/>
  <c r="K52" i="19"/>
  <c r="K66" i="19"/>
  <c r="F30" i="19"/>
  <c r="B31" i="19"/>
  <c r="J31" i="19"/>
  <c r="F32" i="19"/>
  <c r="B33" i="19"/>
  <c r="J33" i="19"/>
  <c r="B35" i="19"/>
  <c r="J35" i="19"/>
  <c r="F36" i="19"/>
  <c r="B37" i="19"/>
  <c r="J37" i="19"/>
  <c r="F38" i="19"/>
  <c r="B39" i="19"/>
  <c r="J39" i="19"/>
  <c r="F40" i="19"/>
  <c r="B41" i="19"/>
  <c r="J41" i="19"/>
  <c r="F44" i="19"/>
  <c r="B45" i="19"/>
  <c r="J45" i="19"/>
  <c r="F46" i="19"/>
  <c r="B47" i="19"/>
  <c r="J47" i="19"/>
  <c r="B49" i="19"/>
  <c r="J49" i="19"/>
  <c r="F50" i="19"/>
  <c r="B51" i="19"/>
  <c r="J51" i="19"/>
  <c r="F52" i="19"/>
  <c r="B53" i="19"/>
  <c r="J53" i="19"/>
  <c r="F54" i="19"/>
  <c r="B55" i="19"/>
  <c r="J55" i="19"/>
  <c r="G30" i="19"/>
  <c r="C31" i="19"/>
  <c r="K31" i="19"/>
  <c r="G32" i="19"/>
  <c r="C33" i="19"/>
  <c r="K33" i="19"/>
  <c r="C35" i="19"/>
  <c r="K35" i="19"/>
  <c r="G36" i="19"/>
  <c r="C37" i="19"/>
  <c r="K37" i="19"/>
  <c r="G38" i="19"/>
  <c r="C39" i="19"/>
  <c r="K39" i="19"/>
  <c r="G40" i="19"/>
  <c r="C41" i="19"/>
  <c r="K41" i="19"/>
  <c r="G44" i="19"/>
  <c r="C45" i="19"/>
  <c r="K45" i="19"/>
  <c r="G46" i="19"/>
  <c r="C47" i="19"/>
  <c r="K47" i="19"/>
  <c r="C49" i="19"/>
  <c r="K49" i="19"/>
  <c r="G50" i="19"/>
  <c r="C51" i="19"/>
  <c r="K51" i="19"/>
  <c r="G52" i="19"/>
  <c r="C53" i="19"/>
  <c r="K53" i="19"/>
  <c r="G54" i="19"/>
  <c r="C55" i="19"/>
  <c r="K55" i="19"/>
  <c r="C66" i="19"/>
  <c r="H30" i="19"/>
  <c r="D31" i="19"/>
  <c r="L31" i="19"/>
  <c r="H32" i="19"/>
  <c r="D33" i="19"/>
  <c r="L33" i="19"/>
  <c r="D35" i="19"/>
  <c r="L35" i="19"/>
  <c r="H36" i="19"/>
  <c r="D37" i="19"/>
  <c r="L37" i="19"/>
  <c r="H38" i="19"/>
  <c r="D39" i="19"/>
  <c r="L39" i="19"/>
  <c r="H40" i="19"/>
  <c r="D41" i="19"/>
  <c r="L41" i="19"/>
  <c r="H44" i="19"/>
  <c r="D45" i="19"/>
  <c r="L45" i="19"/>
  <c r="H46" i="19"/>
  <c r="D47" i="19"/>
  <c r="L47" i="19"/>
  <c r="D49" i="19"/>
  <c r="L49" i="19"/>
  <c r="H50" i="19"/>
  <c r="D51" i="19"/>
  <c r="L51" i="19"/>
  <c r="H52" i="19"/>
  <c r="D53" i="19"/>
  <c r="L53" i="19"/>
  <c r="H54" i="19"/>
  <c r="D55" i="19"/>
  <c r="L55" i="19"/>
  <c r="K32" i="19"/>
  <c r="I30" i="19"/>
  <c r="E31" i="19"/>
  <c r="M31" i="19"/>
  <c r="I32" i="19"/>
  <c r="E33" i="19"/>
  <c r="M33" i="19"/>
  <c r="E35" i="19"/>
  <c r="M35" i="19"/>
  <c r="I36" i="19"/>
  <c r="E37" i="19"/>
  <c r="M37" i="19"/>
  <c r="I38" i="19"/>
  <c r="E39" i="19"/>
  <c r="M39" i="19"/>
  <c r="I40" i="19"/>
  <c r="E41" i="19"/>
  <c r="M41" i="19"/>
  <c r="I44" i="19"/>
  <c r="E45" i="19"/>
  <c r="M45" i="19"/>
  <c r="I46" i="19"/>
  <c r="E47" i="19"/>
  <c r="M47" i="19"/>
  <c r="E49" i="19"/>
  <c r="M49" i="19"/>
  <c r="I50" i="19"/>
  <c r="E51" i="19"/>
  <c r="M51" i="19"/>
  <c r="I52" i="19"/>
  <c r="E53" i="19"/>
  <c r="M53" i="19"/>
  <c r="I54" i="19"/>
  <c r="E55" i="19"/>
  <c r="M55" i="19"/>
  <c r="B60" i="18"/>
  <c r="B46" i="18"/>
  <c r="J60" i="18"/>
  <c r="J46" i="18"/>
  <c r="F61" i="18"/>
  <c r="F47" i="18"/>
  <c r="F63" i="18"/>
  <c r="F49" i="18"/>
  <c r="B64" i="18"/>
  <c r="B50" i="18"/>
  <c r="J64" i="18"/>
  <c r="J50" i="18"/>
  <c r="F65" i="18"/>
  <c r="F51" i="18"/>
  <c r="B66" i="18"/>
  <c r="B52" i="18"/>
  <c r="J66" i="18"/>
  <c r="J52" i="18"/>
  <c r="F67" i="18"/>
  <c r="F53" i="18"/>
  <c r="B68" i="18"/>
  <c r="B54" i="18"/>
  <c r="F69" i="18"/>
  <c r="F55" i="18"/>
  <c r="B30" i="18"/>
  <c r="F35" i="18"/>
  <c r="J40" i="18"/>
  <c r="J30" i="18"/>
  <c r="B36" i="18"/>
  <c r="F31" i="18"/>
  <c r="J36" i="18"/>
  <c r="B44" i="18"/>
  <c r="B32" i="18"/>
  <c r="F37" i="18"/>
  <c r="J44" i="18"/>
  <c r="F58" i="18"/>
  <c r="AH4" i="42" s="1"/>
  <c r="F44" i="18"/>
  <c r="F30" i="18"/>
  <c r="B59" i="18"/>
  <c r="B45" i="18"/>
  <c r="B31" i="18"/>
  <c r="J59" i="18"/>
  <c r="J45" i="18"/>
  <c r="J31" i="18"/>
  <c r="F60" i="18"/>
  <c r="F46" i="18"/>
  <c r="F32" i="18"/>
  <c r="B61" i="18"/>
  <c r="B47" i="18"/>
  <c r="B33" i="18"/>
  <c r="J61" i="18"/>
  <c r="J47" i="18"/>
  <c r="J33" i="18"/>
  <c r="B63" i="18"/>
  <c r="AD9" i="42" s="1"/>
  <c r="B49" i="18"/>
  <c r="B35" i="18"/>
  <c r="F66" i="18"/>
  <c r="F52" i="18"/>
  <c r="F38" i="18"/>
  <c r="J32" i="18"/>
  <c r="B38" i="18"/>
  <c r="F45" i="18"/>
  <c r="F33" i="18"/>
  <c r="J38" i="18"/>
  <c r="C30" i="18"/>
  <c r="K30" i="18"/>
  <c r="G31" i="18"/>
  <c r="C32" i="18"/>
  <c r="K32" i="18"/>
  <c r="G33" i="18"/>
  <c r="G35" i="18"/>
  <c r="C36" i="18"/>
  <c r="K36" i="18"/>
  <c r="G37" i="18"/>
  <c r="C38" i="18"/>
  <c r="K38" i="18"/>
  <c r="G39" i="18"/>
  <c r="C40" i="18"/>
  <c r="K40" i="18"/>
  <c r="G41" i="18"/>
  <c r="C44" i="18"/>
  <c r="K44" i="18"/>
  <c r="G45" i="18"/>
  <c r="C46" i="18"/>
  <c r="K46" i="18"/>
  <c r="G47" i="18"/>
  <c r="G49" i="18"/>
  <c r="C50" i="18"/>
  <c r="K50" i="18"/>
  <c r="G51" i="18"/>
  <c r="C52" i="18"/>
  <c r="K52" i="18"/>
  <c r="G53" i="18"/>
  <c r="C54" i="18"/>
  <c r="K54" i="18"/>
  <c r="G55" i="18"/>
  <c r="D30" i="18"/>
  <c r="L30" i="18"/>
  <c r="H31" i="18"/>
  <c r="D32" i="18"/>
  <c r="L32" i="18"/>
  <c r="H33" i="18"/>
  <c r="H35" i="18"/>
  <c r="D36" i="18"/>
  <c r="L36" i="18"/>
  <c r="H37" i="18"/>
  <c r="D38" i="18"/>
  <c r="L38" i="18"/>
  <c r="H39" i="18"/>
  <c r="D40" i="18"/>
  <c r="L40" i="18"/>
  <c r="H41" i="18"/>
  <c r="D44" i="18"/>
  <c r="L44" i="18"/>
  <c r="H45" i="18"/>
  <c r="D46" i="18"/>
  <c r="L46" i="18"/>
  <c r="H47" i="18"/>
  <c r="H49" i="18"/>
  <c r="D50" i="18"/>
  <c r="L50" i="18"/>
  <c r="H51" i="18"/>
  <c r="D52" i="18"/>
  <c r="L52" i="18"/>
  <c r="H53" i="18"/>
  <c r="D54" i="18"/>
  <c r="L54" i="18"/>
  <c r="H55" i="18"/>
  <c r="E30" i="18"/>
  <c r="M30" i="18"/>
  <c r="I31" i="18"/>
  <c r="E32" i="18"/>
  <c r="M32" i="18"/>
  <c r="I33" i="18"/>
  <c r="I35" i="18"/>
  <c r="E36" i="18"/>
  <c r="M36" i="18"/>
  <c r="I37" i="18"/>
  <c r="E38" i="18"/>
  <c r="M38" i="18"/>
  <c r="I39" i="18"/>
  <c r="E40" i="18"/>
  <c r="M40" i="18"/>
  <c r="I41" i="18"/>
  <c r="E44" i="18"/>
  <c r="M44" i="18"/>
  <c r="I45" i="18"/>
  <c r="E46" i="18"/>
  <c r="M46" i="18"/>
  <c r="I47" i="18"/>
  <c r="I49" i="18"/>
  <c r="E50" i="18"/>
  <c r="M50" i="18"/>
  <c r="I51" i="18"/>
  <c r="E52" i="18"/>
  <c r="M52" i="18"/>
  <c r="I53" i="18"/>
  <c r="E54" i="18"/>
  <c r="M54" i="18"/>
  <c r="I55" i="18"/>
  <c r="J35" i="18"/>
  <c r="F36" i="18"/>
  <c r="B37" i="18"/>
  <c r="J37" i="18"/>
  <c r="B39" i="18"/>
  <c r="J39" i="18"/>
  <c r="F40" i="18"/>
  <c r="B41" i="18"/>
  <c r="J41" i="18"/>
  <c r="J49" i="18"/>
  <c r="F50" i="18"/>
  <c r="B51" i="18"/>
  <c r="J51" i="18"/>
  <c r="B53" i="18"/>
  <c r="J53" i="18"/>
  <c r="F54" i="18"/>
  <c r="B55" i="18"/>
  <c r="J55" i="18"/>
  <c r="G30" i="18"/>
  <c r="C31" i="18"/>
  <c r="K31" i="18"/>
  <c r="G32" i="18"/>
  <c r="C33" i="18"/>
  <c r="K33" i="18"/>
  <c r="C35" i="18"/>
  <c r="K35" i="18"/>
  <c r="G36" i="18"/>
  <c r="C37" i="18"/>
  <c r="K37" i="18"/>
  <c r="G38" i="18"/>
  <c r="C39" i="18"/>
  <c r="K39" i="18"/>
  <c r="G40" i="18"/>
  <c r="C41" i="18"/>
  <c r="K41" i="18"/>
  <c r="G44" i="18"/>
  <c r="C45" i="18"/>
  <c r="K45" i="18"/>
  <c r="G46" i="18"/>
  <c r="C47" i="18"/>
  <c r="K47" i="18"/>
  <c r="C49" i="18"/>
  <c r="K49" i="18"/>
  <c r="G50" i="18"/>
  <c r="C51" i="18"/>
  <c r="K51" i="18"/>
  <c r="G52" i="18"/>
  <c r="C53" i="18"/>
  <c r="K53" i="18"/>
  <c r="G54" i="18"/>
  <c r="C55" i="18"/>
  <c r="K55" i="18"/>
  <c r="H30" i="18"/>
  <c r="D31" i="18"/>
  <c r="L31" i="18"/>
  <c r="H32" i="18"/>
  <c r="D33" i="18"/>
  <c r="L33" i="18"/>
  <c r="D35" i="18"/>
  <c r="L35" i="18"/>
  <c r="H36" i="18"/>
  <c r="D37" i="18"/>
  <c r="L37" i="18"/>
  <c r="H38" i="18"/>
  <c r="D39" i="18"/>
  <c r="L39" i="18"/>
  <c r="H40" i="18"/>
  <c r="D41" i="18"/>
  <c r="L41" i="18"/>
  <c r="H44" i="18"/>
  <c r="D45" i="18"/>
  <c r="L45" i="18"/>
  <c r="H46" i="18"/>
  <c r="D47" i="18"/>
  <c r="L47" i="18"/>
  <c r="D49" i="18"/>
  <c r="L49" i="18"/>
  <c r="H50" i="18"/>
  <c r="D51" i="18"/>
  <c r="L51" i="18"/>
  <c r="H52" i="18"/>
  <c r="D53" i="18"/>
  <c r="L53" i="18"/>
  <c r="H54" i="18"/>
  <c r="D55" i="18"/>
  <c r="L55" i="18"/>
  <c r="I30" i="18"/>
  <c r="E31" i="18"/>
  <c r="M31" i="18"/>
  <c r="I32" i="18"/>
  <c r="E33" i="18"/>
  <c r="M33" i="18"/>
  <c r="E35" i="18"/>
  <c r="M35" i="18"/>
  <c r="I36" i="18"/>
  <c r="E37" i="18"/>
  <c r="M37" i="18"/>
  <c r="I38" i="18"/>
  <c r="E39" i="18"/>
  <c r="M39" i="18"/>
  <c r="I40" i="18"/>
  <c r="E41" i="18"/>
  <c r="M41" i="18"/>
  <c r="I44" i="18"/>
  <c r="E45" i="18"/>
  <c r="M45" i="18"/>
  <c r="I46" i="18"/>
  <c r="E47" i="18"/>
  <c r="M47" i="18"/>
  <c r="E49" i="18"/>
  <c r="M49" i="18"/>
  <c r="I50" i="18"/>
  <c r="E51" i="18"/>
  <c r="M51" i="18"/>
  <c r="I52" i="18"/>
  <c r="E53" i="18"/>
  <c r="M53" i="18"/>
  <c r="I54" i="18"/>
  <c r="E55" i="18"/>
  <c r="M55" i="18"/>
  <c r="B30" i="17"/>
  <c r="J38" i="17"/>
  <c r="J46" i="17"/>
  <c r="F69" i="17"/>
  <c r="C30" i="17"/>
  <c r="K30" i="17"/>
  <c r="G31" i="17"/>
  <c r="C32" i="17"/>
  <c r="K32" i="17"/>
  <c r="G33" i="17"/>
  <c r="G35" i="17"/>
  <c r="C36" i="17"/>
  <c r="K36" i="17"/>
  <c r="G37" i="17"/>
  <c r="C38" i="17"/>
  <c r="K38" i="17"/>
  <c r="G39" i="17"/>
  <c r="C40" i="17"/>
  <c r="K40" i="17"/>
  <c r="G41" i="17"/>
  <c r="C44" i="17"/>
  <c r="K44" i="17"/>
  <c r="G45" i="17"/>
  <c r="C46" i="17"/>
  <c r="K46" i="17"/>
  <c r="G47" i="17"/>
  <c r="G49" i="17"/>
  <c r="C50" i="17"/>
  <c r="K50" i="17"/>
  <c r="G51" i="17"/>
  <c r="C52" i="17"/>
  <c r="K52" i="17"/>
  <c r="G53" i="17"/>
  <c r="C54" i="17"/>
  <c r="K54" i="17"/>
  <c r="G55" i="17"/>
  <c r="J68" i="17"/>
  <c r="D30" i="17"/>
  <c r="L30" i="17"/>
  <c r="H31" i="17"/>
  <c r="D32" i="17"/>
  <c r="L32" i="17"/>
  <c r="H33" i="17"/>
  <c r="H35" i="17"/>
  <c r="D36" i="17"/>
  <c r="L36" i="17"/>
  <c r="H37" i="17"/>
  <c r="D38" i="17"/>
  <c r="L38" i="17"/>
  <c r="H39" i="17"/>
  <c r="D40" i="17"/>
  <c r="L40" i="17"/>
  <c r="H41" i="17"/>
  <c r="D44" i="17"/>
  <c r="L44" i="17"/>
  <c r="H45" i="17"/>
  <c r="D46" i="17"/>
  <c r="L46" i="17"/>
  <c r="H47" i="17"/>
  <c r="H49" i="17"/>
  <c r="D50" i="17"/>
  <c r="L50" i="17"/>
  <c r="H51" i="17"/>
  <c r="D52" i="17"/>
  <c r="L52" i="17"/>
  <c r="H53" i="17"/>
  <c r="D54" i="17"/>
  <c r="L54" i="17"/>
  <c r="H55" i="17"/>
  <c r="F35" i="17"/>
  <c r="B40" i="17"/>
  <c r="B50" i="17"/>
  <c r="B68" i="17"/>
  <c r="E30" i="17"/>
  <c r="M30" i="17"/>
  <c r="I31" i="17"/>
  <c r="E32" i="17"/>
  <c r="M32" i="17"/>
  <c r="I33" i="17"/>
  <c r="I35" i="17"/>
  <c r="E36" i="17"/>
  <c r="M36" i="17"/>
  <c r="I37" i="17"/>
  <c r="E38" i="17"/>
  <c r="M38" i="17"/>
  <c r="I39" i="17"/>
  <c r="E40" i="17"/>
  <c r="M40" i="17"/>
  <c r="I41" i="17"/>
  <c r="E44" i="17"/>
  <c r="M44" i="17"/>
  <c r="I45" i="17"/>
  <c r="E46" i="17"/>
  <c r="M46" i="17"/>
  <c r="I47" i="17"/>
  <c r="I49" i="17"/>
  <c r="E50" i="17"/>
  <c r="M50" i="17"/>
  <c r="I51" i="17"/>
  <c r="E52" i="17"/>
  <c r="M52" i="17"/>
  <c r="I53" i="17"/>
  <c r="E54" i="17"/>
  <c r="M54" i="17"/>
  <c r="I55" i="17"/>
  <c r="B32" i="17"/>
  <c r="F33" i="17"/>
  <c r="J36" i="17"/>
  <c r="B38" i="17"/>
  <c r="F41" i="17"/>
  <c r="J44" i="17"/>
  <c r="B46" i="17"/>
  <c r="J50" i="17"/>
  <c r="B52" i="17"/>
  <c r="F53" i="17"/>
  <c r="J54" i="17"/>
  <c r="J58" i="17"/>
  <c r="F61" i="17"/>
  <c r="B64" i="17"/>
  <c r="J66" i="17"/>
  <c r="F30" i="17"/>
  <c r="B31" i="17"/>
  <c r="J31" i="17"/>
  <c r="F32" i="17"/>
  <c r="B33" i="17"/>
  <c r="J33" i="17"/>
  <c r="B35" i="17"/>
  <c r="J35" i="17"/>
  <c r="F36" i="17"/>
  <c r="B37" i="17"/>
  <c r="J37" i="17"/>
  <c r="F38" i="17"/>
  <c r="B39" i="17"/>
  <c r="J39" i="17"/>
  <c r="F40" i="17"/>
  <c r="B41" i="17"/>
  <c r="J41" i="17"/>
  <c r="F44" i="17"/>
  <c r="B45" i="17"/>
  <c r="J45" i="17"/>
  <c r="F46" i="17"/>
  <c r="B47" i="17"/>
  <c r="J47" i="17"/>
  <c r="B49" i="17"/>
  <c r="J49" i="17"/>
  <c r="F50" i="17"/>
  <c r="B51" i="17"/>
  <c r="J51" i="17"/>
  <c r="F52" i="17"/>
  <c r="B53" i="17"/>
  <c r="J53" i="17"/>
  <c r="F54" i="17"/>
  <c r="B55" i="17"/>
  <c r="J55" i="17"/>
  <c r="F39" i="17"/>
  <c r="G30" i="17"/>
  <c r="C31" i="17"/>
  <c r="K31" i="17"/>
  <c r="G32" i="17"/>
  <c r="C33" i="17"/>
  <c r="K33" i="17"/>
  <c r="C35" i="17"/>
  <c r="K35" i="17"/>
  <c r="G36" i="17"/>
  <c r="C37" i="17"/>
  <c r="K37" i="17"/>
  <c r="G38" i="17"/>
  <c r="C39" i="17"/>
  <c r="K39" i="17"/>
  <c r="G40" i="17"/>
  <c r="C41" i="17"/>
  <c r="K41" i="17"/>
  <c r="G44" i="17"/>
  <c r="C45" i="17"/>
  <c r="K45" i="17"/>
  <c r="G46" i="17"/>
  <c r="C47" i="17"/>
  <c r="K47" i="17"/>
  <c r="C49" i="17"/>
  <c r="K49" i="17"/>
  <c r="G50" i="17"/>
  <c r="C51" i="17"/>
  <c r="K51" i="17"/>
  <c r="G52" i="17"/>
  <c r="C53" i="17"/>
  <c r="K53" i="17"/>
  <c r="G54" i="17"/>
  <c r="C55" i="17"/>
  <c r="K55" i="17"/>
  <c r="F31" i="17"/>
  <c r="J32" i="17"/>
  <c r="F37" i="17"/>
  <c r="B44" i="17"/>
  <c r="F45" i="17"/>
  <c r="F49" i="17"/>
  <c r="F51" i="17"/>
  <c r="H30" i="17"/>
  <c r="D31" i="17"/>
  <c r="L31" i="17"/>
  <c r="H32" i="17"/>
  <c r="D33" i="17"/>
  <c r="L33" i="17"/>
  <c r="D35" i="17"/>
  <c r="L35" i="17"/>
  <c r="H36" i="17"/>
  <c r="D37" i="17"/>
  <c r="L37" i="17"/>
  <c r="H38" i="17"/>
  <c r="D39" i="17"/>
  <c r="L39" i="17"/>
  <c r="H40" i="17"/>
  <c r="D41" i="17"/>
  <c r="L41" i="17"/>
  <c r="H44" i="17"/>
  <c r="D45" i="17"/>
  <c r="L45" i="17"/>
  <c r="H46" i="17"/>
  <c r="D47" i="17"/>
  <c r="L47" i="17"/>
  <c r="D49" i="17"/>
  <c r="L49" i="17"/>
  <c r="H50" i="17"/>
  <c r="D51" i="17"/>
  <c r="L51" i="17"/>
  <c r="H52" i="17"/>
  <c r="D53" i="17"/>
  <c r="L53" i="17"/>
  <c r="H54" i="17"/>
  <c r="D55" i="17"/>
  <c r="L55" i="17"/>
  <c r="I30" i="17"/>
  <c r="E31" i="17"/>
  <c r="M31" i="17"/>
  <c r="I32" i="17"/>
  <c r="E33" i="17"/>
  <c r="M33" i="17"/>
  <c r="E35" i="17"/>
  <c r="M35" i="17"/>
  <c r="I36" i="17"/>
  <c r="E37" i="17"/>
  <c r="M37" i="17"/>
  <c r="I38" i="17"/>
  <c r="E39" i="17"/>
  <c r="M39" i="17"/>
  <c r="I40" i="17"/>
  <c r="E41" i="17"/>
  <c r="M41" i="17"/>
  <c r="I44" i="17"/>
  <c r="E45" i="17"/>
  <c r="M45" i="17"/>
  <c r="I46" i="17"/>
  <c r="E47" i="17"/>
  <c r="M47" i="17"/>
  <c r="E49" i="17"/>
  <c r="M49" i="17"/>
  <c r="I50" i="17"/>
  <c r="E51" i="17"/>
  <c r="M51" i="17"/>
  <c r="I52" i="17"/>
  <c r="E53" i="17"/>
  <c r="M53" i="17"/>
  <c r="I54" i="17"/>
  <c r="E55" i="17"/>
  <c r="M55" i="17"/>
  <c r="H44" i="16"/>
  <c r="H58" i="16"/>
  <c r="D45" i="16"/>
  <c r="D59" i="16"/>
  <c r="L45" i="16"/>
  <c r="L59" i="16"/>
  <c r="H46" i="16"/>
  <c r="H32" i="16"/>
  <c r="H60" i="16"/>
  <c r="D47" i="16"/>
  <c r="D33" i="16"/>
  <c r="D61" i="16"/>
  <c r="L47" i="16"/>
  <c r="L33" i="16"/>
  <c r="L61" i="16"/>
  <c r="D49" i="16"/>
  <c r="D35" i="16"/>
  <c r="D63" i="16"/>
  <c r="L49" i="16"/>
  <c r="L35" i="16"/>
  <c r="L63" i="16"/>
  <c r="H50" i="16"/>
  <c r="H36" i="16"/>
  <c r="H64" i="16"/>
  <c r="D51" i="16"/>
  <c r="D37" i="16"/>
  <c r="D65" i="16"/>
  <c r="L51" i="16"/>
  <c r="L37" i="16"/>
  <c r="L65" i="16"/>
  <c r="H52" i="16"/>
  <c r="H38" i="16"/>
  <c r="H66" i="16"/>
  <c r="D53" i="16"/>
  <c r="D39" i="16"/>
  <c r="D67" i="16"/>
  <c r="L53" i="16"/>
  <c r="L39" i="16"/>
  <c r="L67" i="16"/>
  <c r="H54" i="16"/>
  <c r="H40" i="16"/>
  <c r="H68" i="16"/>
  <c r="D41" i="16"/>
  <c r="D69" i="16"/>
  <c r="AF15" i="42" s="1"/>
  <c r="D55" i="16"/>
  <c r="L41" i="16"/>
  <c r="L69" i="16"/>
  <c r="AN15" i="42" s="1"/>
  <c r="L55" i="16"/>
  <c r="B44" i="16"/>
  <c r="B30" i="16"/>
  <c r="B58" i="16"/>
  <c r="J58" i="16"/>
  <c r="J44" i="16"/>
  <c r="J30" i="16"/>
  <c r="F45" i="16"/>
  <c r="F31" i="16"/>
  <c r="F59" i="16"/>
  <c r="B60" i="16"/>
  <c r="B46" i="16"/>
  <c r="B32" i="16"/>
  <c r="J46" i="16"/>
  <c r="J32" i="16"/>
  <c r="J60" i="16"/>
  <c r="F61" i="16"/>
  <c r="F47" i="16"/>
  <c r="F33" i="16"/>
  <c r="H30" i="16"/>
  <c r="D31" i="16"/>
  <c r="L31" i="16"/>
  <c r="B36" i="16"/>
  <c r="F37" i="16"/>
  <c r="J38" i="16"/>
  <c r="B40" i="16"/>
  <c r="F41" i="16"/>
  <c r="B50" i="16"/>
  <c r="F51" i="16"/>
  <c r="F63" i="16"/>
  <c r="F69" i="16"/>
  <c r="C30" i="16"/>
  <c r="K30" i="16"/>
  <c r="G31" i="16"/>
  <c r="C32" i="16"/>
  <c r="K32" i="16"/>
  <c r="G33" i="16"/>
  <c r="G35" i="16"/>
  <c r="C36" i="16"/>
  <c r="K36" i="16"/>
  <c r="G37" i="16"/>
  <c r="C38" i="16"/>
  <c r="K38" i="16"/>
  <c r="G39" i="16"/>
  <c r="C40" i="16"/>
  <c r="K40" i="16"/>
  <c r="G41" i="16"/>
  <c r="C44" i="16"/>
  <c r="K44" i="16"/>
  <c r="G45" i="16"/>
  <c r="C46" i="16"/>
  <c r="K46" i="16"/>
  <c r="G47" i="16"/>
  <c r="G49" i="16"/>
  <c r="C50" i="16"/>
  <c r="K50" i="16"/>
  <c r="G51" i="16"/>
  <c r="C52" i="16"/>
  <c r="K52" i="16"/>
  <c r="G53" i="16"/>
  <c r="C54" i="16"/>
  <c r="K54" i="16"/>
  <c r="G55" i="16"/>
  <c r="F35" i="16"/>
  <c r="J36" i="16"/>
  <c r="B38" i="16"/>
  <c r="F39" i="16"/>
  <c r="J40" i="16"/>
  <c r="J50" i="16"/>
  <c r="B52" i="16"/>
  <c r="F53" i="16"/>
  <c r="J54" i="16"/>
  <c r="D30" i="16"/>
  <c r="L30" i="16"/>
  <c r="H31" i="16"/>
  <c r="D32" i="16"/>
  <c r="L32" i="16"/>
  <c r="H33" i="16"/>
  <c r="H35" i="16"/>
  <c r="D36" i="16"/>
  <c r="L36" i="16"/>
  <c r="H37" i="16"/>
  <c r="D38" i="16"/>
  <c r="L38" i="16"/>
  <c r="H39" i="16"/>
  <c r="D40" i="16"/>
  <c r="L40" i="16"/>
  <c r="H41" i="16"/>
  <c r="D44" i="16"/>
  <c r="L44" i="16"/>
  <c r="H45" i="16"/>
  <c r="D46" i="16"/>
  <c r="L46" i="16"/>
  <c r="H47" i="16"/>
  <c r="H49" i="16"/>
  <c r="D50" i="16"/>
  <c r="L50" i="16"/>
  <c r="H51" i="16"/>
  <c r="D52" i="16"/>
  <c r="L52" i="16"/>
  <c r="H53" i="16"/>
  <c r="D54" i="16"/>
  <c r="L54" i="16"/>
  <c r="H55" i="16"/>
  <c r="E30" i="16"/>
  <c r="M30" i="16"/>
  <c r="I31" i="16"/>
  <c r="E32" i="16"/>
  <c r="M32" i="16"/>
  <c r="I33" i="16"/>
  <c r="I35" i="16"/>
  <c r="E36" i="16"/>
  <c r="M36" i="16"/>
  <c r="I37" i="16"/>
  <c r="E38" i="16"/>
  <c r="M38" i="16"/>
  <c r="I39" i="16"/>
  <c r="E40" i="16"/>
  <c r="M40" i="16"/>
  <c r="I41" i="16"/>
  <c r="E44" i="16"/>
  <c r="M44" i="16"/>
  <c r="I45" i="16"/>
  <c r="E46" i="16"/>
  <c r="M46" i="16"/>
  <c r="I47" i="16"/>
  <c r="I49" i="16"/>
  <c r="E50" i="16"/>
  <c r="M50" i="16"/>
  <c r="I51" i="16"/>
  <c r="E52" i="16"/>
  <c r="M52" i="16"/>
  <c r="I53" i="16"/>
  <c r="E54" i="16"/>
  <c r="M54" i="16"/>
  <c r="I55" i="16"/>
  <c r="F30" i="16"/>
  <c r="B31" i="16"/>
  <c r="J31" i="16"/>
  <c r="F32" i="16"/>
  <c r="B33" i="16"/>
  <c r="J33" i="16"/>
  <c r="B35" i="16"/>
  <c r="J35" i="16"/>
  <c r="F36" i="16"/>
  <c r="B37" i="16"/>
  <c r="J37" i="16"/>
  <c r="F38" i="16"/>
  <c r="B39" i="16"/>
  <c r="J39" i="16"/>
  <c r="F40" i="16"/>
  <c r="B41" i="16"/>
  <c r="J41" i="16"/>
  <c r="F44" i="16"/>
  <c r="B45" i="16"/>
  <c r="J45" i="16"/>
  <c r="F46" i="16"/>
  <c r="B47" i="16"/>
  <c r="J47" i="16"/>
  <c r="B49" i="16"/>
  <c r="J49" i="16"/>
  <c r="F50" i="16"/>
  <c r="B51" i="16"/>
  <c r="J51" i="16"/>
  <c r="F52" i="16"/>
  <c r="B53" i="16"/>
  <c r="J53" i="16"/>
  <c r="F54" i="16"/>
  <c r="B55" i="16"/>
  <c r="J55" i="16"/>
  <c r="G30" i="16"/>
  <c r="C31" i="16"/>
  <c r="K31" i="16"/>
  <c r="G32" i="16"/>
  <c r="C33" i="16"/>
  <c r="K33" i="16"/>
  <c r="C35" i="16"/>
  <c r="K35" i="16"/>
  <c r="G36" i="16"/>
  <c r="C37" i="16"/>
  <c r="K37" i="16"/>
  <c r="G38" i="16"/>
  <c r="C39" i="16"/>
  <c r="K39" i="16"/>
  <c r="G40" i="16"/>
  <c r="C41" i="16"/>
  <c r="K41" i="16"/>
  <c r="G44" i="16"/>
  <c r="C45" i="16"/>
  <c r="K45" i="16"/>
  <c r="G46" i="16"/>
  <c r="C47" i="16"/>
  <c r="K47" i="16"/>
  <c r="C49" i="16"/>
  <c r="K49" i="16"/>
  <c r="G50" i="16"/>
  <c r="C51" i="16"/>
  <c r="K51" i="16"/>
  <c r="G52" i="16"/>
  <c r="C53" i="16"/>
  <c r="K53" i="16"/>
  <c r="G54" i="16"/>
  <c r="C55" i="16"/>
  <c r="K55" i="16"/>
  <c r="I30" i="16"/>
  <c r="E31" i="16"/>
  <c r="M31" i="16"/>
  <c r="I32" i="16"/>
  <c r="E33" i="16"/>
  <c r="M33" i="16"/>
  <c r="E35" i="16"/>
  <c r="M35" i="16"/>
  <c r="I36" i="16"/>
  <c r="E37" i="16"/>
  <c r="M37" i="16"/>
  <c r="I38" i="16"/>
  <c r="E39" i="16"/>
  <c r="M39" i="16"/>
  <c r="I40" i="16"/>
  <c r="E41" i="16"/>
  <c r="M41" i="16"/>
  <c r="I44" i="16"/>
  <c r="E45" i="16"/>
  <c r="M45" i="16"/>
  <c r="I46" i="16"/>
  <c r="E47" i="16"/>
  <c r="M47" i="16"/>
  <c r="E49" i="16"/>
  <c r="M49" i="16"/>
  <c r="I50" i="16"/>
  <c r="E51" i="16"/>
  <c r="M51" i="16"/>
  <c r="I52" i="16"/>
  <c r="E53" i="16"/>
  <c r="M53" i="16"/>
  <c r="I54" i="16"/>
  <c r="E55" i="16"/>
  <c r="M55" i="16"/>
  <c r="J30" i="15"/>
  <c r="B32" i="15"/>
  <c r="F33" i="15"/>
  <c r="F37" i="15"/>
  <c r="J38" i="15"/>
  <c r="B40" i="15"/>
  <c r="F41" i="15"/>
  <c r="J44" i="15"/>
  <c r="B46" i="15"/>
  <c r="F47" i="15"/>
  <c r="B50" i="15"/>
  <c r="F51" i="15"/>
  <c r="J52" i="15"/>
  <c r="B54" i="15"/>
  <c r="B58" i="15"/>
  <c r="F59" i="15"/>
  <c r="J60" i="15"/>
  <c r="F63" i="15"/>
  <c r="F69" i="15"/>
  <c r="C30" i="15"/>
  <c r="K30" i="15"/>
  <c r="G31" i="15"/>
  <c r="C32" i="15"/>
  <c r="K32" i="15"/>
  <c r="G33" i="15"/>
  <c r="G35" i="15"/>
  <c r="C36" i="15"/>
  <c r="K36" i="15"/>
  <c r="G37" i="15"/>
  <c r="C38" i="15"/>
  <c r="K38" i="15"/>
  <c r="G39" i="15"/>
  <c r="C40" i="15"/>
  <c r="K40" i="15"/>
  <c r="G41" i="15"/>
  <c r="C44" i="15"/>
  <c r="K44" i="15"/>
  <c r="G45" i="15"/>
  <c r="C46" i="15"/>
  <c r="K46" i="15"/>
  <c r="G47" i="15"/>
  <c r="G49" i="15"/>
  <c r="C50" i="15"/>
  <c r="K50" i="15"/>
  <c r="G51" i="15"/>
  <c r="C52" i="15"/>
  <c r="K52" i="15"/>
  <c r="G53" i="15"/>
  <c r="C54" i="15"/>
  <c r="K54" i="15"/>
  <c r="G55" i="15"/>
  <c r="B30" i="15"/>
  <c r="F31" i="15"/>
  <c r="J32" i="15"/>
  <c r="B36" i="15"/>
  <c r="B38" i="15"/>
  <c r="F39" i="15"/>
  <c r="J40" i="15"/>
  <c r="F49" i="15"/>
  <c r="J50" i="15"/>
  <c r="B52" i="15"/>
  <c r="F53" i="15"/>
  <c r="J54" i="15"/>
  <c r="J64" i="15"/>
  <c r="D30" i="15"/>
  <c r="L30" i="15"/>
  <c r="H31" i="15"/>
  <c r="D32" i="15"/>
  <c r="L32" i="15"/>
  <c r="H33" i="15"/>
  <c r="H35" i="15"/>
  <c r="D36" i="15"/>
  <c r="L36" i="15"/>
  <c r="H37" i="15"/>
  <c r="D38" i="15"/>
  <c r="L38" i="15"/>
  <c r="H39" i="15"/>
  <c r="D40" i="15"/>
  <c r="L40" i="15"/>
  <c r="H41" i="15"/>
  <c r="D44" i="15"/>
  <c r="L44" i="15"/>
  <c r="H45" i="15"/>
  <c r="D46" i="15"/>
  <c r="L46" i="15"/>
  <c r="H47" i="15"/>
  <c r="H49" i="15"/>
  <c r="D50" i="15"/>
  <c r="L50" i="15"/>
  <c r="H51" i="15"/>
  <c r="D52" i="15"/>
  <c r="L52" i="15"/>
  <c r="H53" i="15"/>
  <c r="D54" i="15"/>
  <c r="L54" i="15"/>
  <c r="H55" i="15"/>
  <c r="E30" i="15"/>
  <c r="M30" i="15"/>
  <c r="I31" i="15"/>
  <c r="E32" i="15"/>
  <c r="M32" i="15"/>
  <c r="I33" i="15"/>
  <c r="I35" i="15"/>
  <c r="E36" i="15"/>
  <c r="M36" i="15"/>
  <c r="I37" i="15"/>
  <c r="E38" i="15"/>
  <c r="M38" i="15"/>
  <c r="I39" i="15"/>
  <c r="E40" i="15"/>
  <c r="M40" i="15"/>
  <c r="I41" i="15"/>
  <c r="E44" i="15"/>
  <c r="M44" i="15"/>
  <c r="I45" i="15"/>
  <c r="E46" i="15"/>
  <c r="M46" i="15"/>
  <c r="I47" i="15"/>
  <c r="I49" i="15"/>
  <c r="E50" i="15"/>
  <c r="M50" i="15"/>
  <c r="I51" i="15"/>
  <c r="E52" i="15"/>
  <c r="M52" i="15"/>
  <c r="I53" i="15"/>
  <c r="E54" i="15"/>
  <c r="M54" i="15"/>
  <c r="I55" i="15"/>
  <c r="F30" i="15"/>
  <c r="B31" i="15"/>
  <c r="J31" i="15"/>
  <c r="F32" i="15"/>
  <c r="B33" i="15"/>
  <c r="J33" i="15"/>
  <c r="B35" i="15"/>
  <c r="J35" i="15"/>
  <c r="F36" i="15"/>
  <c r="B37" i="15"/>
  <c r="J37" i="15"/>
  <c r="F38" i="15"/>
  <c r="B39" i="15"/>
  <c r="J39" i="15"/>
  <c r="F40" i="15"/>
  <c r="B41" i="15"/>
  <c r="J41" i="15"/>
  <c r="F44" i="15"/>
  <c r="B45" i="15"/>
  <c r="J45" i="15"/>
  <c r="F46" i="15"/>
  <c r="B47" i="15"/>
  <c r="J47" i="15"/>
  <c r="B49" i="15"/>
  <c r="J49" i="15"/>
  <c r="F50" i="15"/>
  <c r="B51" i="15"/>
  <c r="J51" i="15"/>
  <c r="F52" i="15"/>
  <c r="B53" i="15"/>
  <c r="J53" i="15"/>
  <c r="F54" i="15"/>
  <c r="B55" i="15"/>
  <c r="J55" i="15"/>
  <c r="G30" i="15"/>
  <c r="C31" i="15"/>
  <c r="K31" i="15"/>
  <c r="G32" i="15"/>
  <c r="C33" i="15"/>
  <c r="K33" i="15"/>
  <c r="C35" i="15"/>
  <c r="K35" i="15"/>
  <c r="G36" i="15"/>
  <c r="C37" i="15"/>
  <c r="K37" i="15"/>
  <c r="G38" i="15"/>
  <c r="C39" i="15"/>
  <c r="K39" i="15"/>
  <c r="G40" i="15"/>
  <c r="C41" i="15"/>
  <c r="K41" i="15"/>
  <c r="G44" i="15"/>
  <c r="C45" i="15"/>
  <c r="K45" i="15"/>
  <c r="G46" i="15"/>
  <c r="C47" i="15"/>
  <c r="K47" i="15"/>
  <c r="C49" i="15"/>
  <c r="K49" i="15"/>
  <c r="G50" i="15"/>
  <c r="C51" i="15"/>
  <c r="K51" i="15"/>
  <c r="G52" i="15"/>
  <c r="C53" i="15"/>
  <c r="K53" i="15"/>
  <c r="G54" i="15"/>
  <c r="C55" i="15"/>
  <c r="K55" i="15"/>
  <c r="H30" i="15"/>
  <c r="D31" i="15"/>
  <c r="L31" i="15"/>
  <c r="H32" i="15"/>
  <c r="D33" i="15"/>
  <c r="L33" i="15"/>
  <c r="D35" i="15"/>
  <c r="L35" i="15"/>
  <c r="H36" i="15"/>
  <c r="D37" i="15"/>
  <c r="L37" i="15"/>
  <c r="H38" i="15"/>
  <c r="D39" i="15"/>
  <c r="L39" i="15"/>
  <c r="H40" i="15"/>
  <c r="D41" i="15"/>
  <c r="L41" i="15"/>
  <c r="H44" i="15"/>
  <c r="D45" i="15"/>
  <c r="L45" i="15"/>
  <c r="H46" i="15"/>
  <c r="D47" i="15"/>
  <c r="L47" i="15"/>
  <c r="D49" i="15"/>
  <c r="L49" i="15"/>
  <c r="H50" i="15"/>
  <c r="D51" i="15"/>
  <c r="L51" i="15"/>
  <c r="H52" i="15"/>
  <c r="D53" i="15"/>
  <c r="L53" i="15"/>
  <c r="H54" i="15"/>
  <c r="D55" i="15"/>
  <c r="L55" i="15"/>
  <c r="I30" i="15"/>
  <c r="E31" i="15"/>
  <c r="M31" i="15"/>
  <c r="I32" i="15"/>
  <c r="E33" i="15"/>
  <c r="M33" i="15"/>
  <c r="E35" i="15"/>
  <c r="M35" i="15"/>
  <c r="I36" i="15"/>
  <c r="E37" i="15"/>
  <c r="M37" i="15"/>
  <c r="I38" i="15"/>
  <c r="E39" i="15"/>
  <c r="M39" i="15"/>
  <c r="I40" i="15"/>
  <c r="E41" i="15"/>
  <c r="M41" i="15"/>
  <c r="I44" i="15"/>
  <c r="E45" i="15"/>
  <c r="M45" i="15"/>
  <c r="I46" i="15"/>
  <c r="E47" i="15"/>
  <c r="M47" i="15"/>
  <c r="E49" i="15"/>
  <c r="M49" i="15"/>
  <c r="I50" i="15"/>
  <c r="E51" i="15"/>
  <c r="M51" i="15"/>
  <c r="I52" i="15"/>
  <c r="E53" i="15"/>
  <c r="M53" i="15"/>
  <c r="I54" i="15"/>
  <c r="E55" i="15"/>
  <c r="M55" i="15"/>
  <c r="C30" i="14"/>
  <c r="K30" i="14"/>
  <c r="G31" i="14"/>
  <c r="C32" i="14"/>
  <c r="K32" i="14"/>
  <c r="G33" i="14"/>
  <c r="G35" i="14"/>
  <c r="C36" i="14"/>
  <c r="K36" i="14"/>
  <c r="G37" i="14"/>
  <c r="C38" i="14"/>
  <c r="K38" i="14"/>
  <c r="G39" i="14"/>
  <c r="C40" i="14"/>
  <c r="K40" i="14"/>
  <c r="G41" i="14"/>
  <c r="C44" i="14"/>
  <c r="K44" i="14"/>
  <c r="G45" i="14"/>
  <c r="C46" i="14"/>
  <c r="K46" i="14"/>
  <c r="G47" i="14"/>
  <c r="G49" i="14"/>
  <c r="C50" i="14"/>
  <c r="K50" i="14"/>
  <c r="G51" i="14"/>
  <c r="C52" i="14"/>
  <c r="K52" i="14"/>
  <c r="G53" i="14"/>
  <c r="C54" i="14"/>
  <c r="K54" i="14"/>
  <c r="G55" i="14"/>
  <c r="B32" i="14"/>
  <c r="F37" i="14"/>
  <c r="F39" i="14"/>
  <c r="B44" i="14"/>
  <c r="J46" i="14"/>
  <c r="J50" i="14"/>
  <c r="B52" i="14"/>
  <c r="F53" i="14"/>
  <c r="F55" i="14"/>
  <c r="J58" i="14"/>
  <c r="B60" i="14"/>
  <c r="F61" i="14"/>
  <c r="B64" i="14"/>
  <c r="J68" i="14"/>
  <c r="D30" i="14"/>
  <c r="L30" i="14"/>
  <c r="H31" i="14"/>
  <c r="D32" i="14"/>
  <c r="L32" i="14"/>
  <c r="H33" i="14"/>
  <c r="H35" i="14"/>
  <c r="D36" i="14"/>
  <c r="L36" i="14"/>
  <c r="H37" i="14"/>
  <c r="D38" i="14"/>
  <c r="L38" i="14"/>
  <c r="H39" i="14"/>
  <c r="D40" i="14"/>
  <c r="L40" i="14"/>
  <c r="H41" i="14"/>
  <c r="D44" i="14"/>
  <c r="L44" i="14"/>
  <c r="H45" i="14"/>
  <c r="D46" i="14"/>
  <c r="L46" i="14"/>
  <c r="H47" i="14"/>
  <c r="H49" i="14"/>
  <c r="D50" i="14"/>
  <c r="L50" i="14"/>
  <c r="H51" i="14"/>
  <c r="D52" i="14"/>
  <c r="L52" i="14"/>
  <c r="H53" i="14"/>
  <c r="D54" i="14"/>
  <c r="L54" i="14"/>
  <c r="H55" i="14"/>
  <c r="B68" i="14"/>
  <c r="E30" i="14"/>
  <c r="M30" i="14"/>
  <c r="I31" i="14"/>
  <c r="E32" i="14"/>
  <c r="M32" i="14"/>
  <c r="I33" i="14"/>
  <c r="I35" i="14"/>
  <c r="E36" i="14"/>
  <c r="M36" i="14"/>
  <c r="I37" i="14"/>
  <c r="E38" i="14"/>
  <c r="M38" i="14"/>
  <c r="I39" i="14"/>
  <c r="E40" i="14"/>
  <c r="M40" i="14"/>
  <c r="I41" i="14"/>
  <c r="E44" i="14"/>
  <c r="M44" i="14"/>
  <c r="I45" i="14"/>
  <c r="E46" i="14"/>
  <c r="M46" i="14"/>
  <c r="I47" i="14"/>
  <c r="I49" i="14"/>
  <c r="E50" i="14"/>
  <c r="M50" i="14"/>
  <c r="I51" i="14"/>
  <c r="E52" i="14"/>
  <c r="M52" i="14"/>
  <c r="I53" i="14"/>
  <c r="E54" i="14"/>
  <c r="M54" i="14"/>
  <c r="I55" i="14"/>
  <c r="J30" i="14"/>
  <c r="F33" i="14"/>
  <c r="J36" i="14"/>
  <c r="B40" i="14"/>
  <c r="F45" i="14"/>
  <c r="F49" i="14"/>
  <c r="J54" i="14"/>
  <c r="F30" i="14"/>
  <c r="B31" i="14"/>
  <c r="J31" i="14"/>
  <c r="F32" i="14"/>
  <c r="B33" i="14"/>
  <c r="J33" i="14"/>
  <c r="B35" i="14"/>
  <c r="J35" i="14"/>
  <c r="F36" i="14"/>
  <c r="B37" i="14"/>
  <c r="J37" i="14"/>
  <c r="F38" i="14"/>
  <c r="B39" i="14"/>
  <c r="J39" i="14"/>
  <c r="F40" i="14"/>
  <c r="B41" i="14"/>
  <c r="J41" i="14"/>
  <c r="F44" i="14"/>
  <c r="B45" i="14"/>
  <c r="J45" i="14"/>
  <c r="F46" i="14"/>
  <c r="B47" i="14"/>
  <c r="J47" i="14"/>
  <c r="B49" i="14"/>
  <c r="J49" i="14"/>
  <c r="F50" i="14"/>
  <c r="B51" i="14"/>
  <c r="J51" i="14"/>
  <c r="F52" i="14"/>
  <c r="B53" i="14"/>
  <c r="J53" i="14"/>
  <c r="F54" i="14"/>
  <c r="B55" i="14"/>
  <c r="J55" i="14"/>
  <c r="F69" i="14"/>
  <c r="G30" i="14"/>
  <c r="C31" i="14"/>
  <c r="K31" i="14"/>
  <c r="G32" i="14"/>
  <c r="C33" i="14"/>
  <c r="K33" i="14"/>
  <c r="C35" i="14"/>
  <c r="K35" i="14"/>
  <c r="G36" i="14"/>
  <c r="C37" i="14"/>
  <c r="K37" i="14"/>
  <c r="G38" i="14"/>
  <c r="C39" i="14"/>
  <c r="K39" i="14"/>
  <c r="G40" i="14"/>
  <c r="C41" i="14"/>
  <c r="K41" i="14"/>
  <c r="G44" i="14"/>
  <c r="C45" i="14"/>
  <c r="K45" i="14"/>
  <c r="G46" i="14"/>
  <c r="C47" i="14"/>
  <c r="K47" i="14"/>
  <c r="C49" i="14"/>
  <c r="K49" i="14"/>
  <c r="G50" i="14"/>
  <c r="C51" i="14"/>
  <c r="K51" i="14"/>
  <c r="G52" i="14"/>
  <c r="C53" i="14"/>
  <c r="K53" i="14"/>
  <c r="G54" i="14"/>
  <c r="C55" i="14"/>
  <c r="K55" i="14"/>
  <c r="B30" i="14"/>
  <c r="J32" i="14"/>
  <c r="F35" i="14"/>
  <c r="B38" i="14"/>
  <c r="B50" i="14"/>
  <c r="J66" i="14"/>
  <c r="H30" i="14"/>
  <c r="D31" i="14"/>
  <c r="L31" i="14"/>
  <c r="H32" i="14"/>
  <c r="D33" i="14"/>
  <c r="L33" i="14"/>
  <c r="D35" i="14"/>
  <c r="L35" i="14"/>
  <c r="H36" i="14"/>
  <c r="D37" i="14"/>
  <c r="L37" i="14"/>
  <c r="H38" i="14"/>
  <c r="D39" i="14"/>
  <c r="L39" i="14"/>
  <c r="H40" i="14"/>
  <c r="D41" i="14"/>
  <c r="L41" i="14"/>
  <c r="H44" i="14"/>
  <c r="D45" i="14"/>
  <c r="L45" i="14"/>
  <c r="H46" i="14"/>
  <c r="D47" i="14"/>
  <c r="L47" i="14"/>
  <c r="D49" i="14"/>
  <c r="L49" i="14"/>
  <c r="H50" i="14"/>
  <c r="D51" i="14"/>
  <c r="L51" i="14"/>
  <c r="H52" i="14"/>
  <c r="D53" i="14"/>
  <c r="L53" i="14"/>
  <c r="H54" i="14"/>
  <c r="D55" i="14"/>
  <c r="L55" i="14"/>
  <c r="F31" i="14"/>
  <c r="J38" i="14"/>
  <c r="I30" i="14"/>
  <c r="E31" i="14"/>
  <c r="M31" i="14"/>
  <c r="I32" i="14"/>
  <c r="E33" i="14"/>
  <c r="M33" i="14"/>
  <c r="E35" i="14"/>
  <c r="M35" i="14"/>
  <c r="I36" i="14"/>
  <c r="E37" i="14"/>
  <c r="M37" i="14"/>
  <c r="I38" i="14"/>
  <c r="E39" i="14"/>
  <c r="M39" i="14"/>
  <c r="I40" i="14"/>
  <c r="E41" i="14"/>
  <c r="M41" i="14"/>
  <c r="I44" i="14"/>
  <c r="E45" i="14"/>
  <c r="M45" i="14"/>
  <c r="I46" i="14"/>
  <c r="E47" i="14"/>
  <c r="M47" i="14"/>
  <c r="E49" i="14"/>
  <c r="M49" i="14"/>
  <c r="I50" i="14"/>
  <c r="E51" i="14"/>
  <c r="M51" i="14"/>
  <c r="I52" i="14"/>
  <c r="E53" i="14"/>
  <c r="M53" i="14"/>
  <c r="I54" i="14"/>
  <c r="E55" i="14"/>
  <c r="M55" i="14"/>
  <c r="F31" i="13"/>
  <c r="J38" i="13"/>
  <c r="J40" i="13"/>
  <c r="F45" i="13"/>
  <c r="B50" i="13"/>
  <c r="B52" i="13"/>
  <c r="F53" i="13"/>
  <c r="F55" i="13"/>
  <c r="J58" i="13"/>
  <c r="B60" i="13"/>
  <c r="F61" i="13"/>
  <c r="B64" i="13"/>
  <c r="F69" i="13"/>
  <c r="C30" i="13"/>
  <c r="K30" i="13"/>
  <c r="G31" i="13"/>
  <c r="C32" i="13"/>
  <c r="K32" i="13"/>
  <c r="G33" i="13"/>
  <c r="G35" i="13"/>
  <c r="C36" i="13"/>
  <c r="K36" i="13"/>
  <c r="G37" i="13"/>
  <c r="C38" i="13"/>
  <c r="K38" i="13"/>
  <c r="G39" i="13"/>
  <c r="C40" i="13"/>
  <c r="K40" i="13"/>
  <c r="G41" i="13"/>
  <c r="C44" i="13"/>
  <c r="K44" i="13"/>
  <c r="G45" i="13"/>
  <c r="C46" i="13"/>
  <c r="K46" i="13"/>
  <c r="G47" i="13"/>
  <c r="G49" i="13"/>
  <c r="C50" i="13"/>
  <c r="K50" i="13"/>
  <c r="G51" i="13"/>
  <c r="C52" i="13"/>
  <c r="K52" i="13"/>
  <c r="G53" i="13"/>
  <c r="C54" i="13"/>
  <c r="K54" i="13"/>
  <c r="G55" i="13"/>
  <c r="B30" i="13"/>
  <c r="B38" i="13"/>
  <c r="B44" i="13"/>
  <c r="J46" i="13"/>
  <c r="F51" i="13"/>
  <c r="J52" i="13"/>
  <c r="J60" i="13"/>
  <c r="F63" i="13"/>
  <c r="J64" i="13"/>
  <c r="J68" i="13"/>
  <c r="D30" i="13"/>
  <c r="L30" i="13"/>
  <c r="H31" i="13"/>
  <c r="D32" i="13"/>
  <c r="L32" i="13"/>
  <c r="H33" i="13"/>
  <c r="H35" i="13"/>
  <c r="D36" i="13"/>
  <c r="L36" i="13"/>
  <c r="H37" i="13"/>
  <c r="D38" i="13"/>
  <c r="L38" i="13"/>
  <c r="H39" i="13"/>
  <c r="D40" i="13"/>
  <c r="L40" i="13"/>
  <c r="H41" i="13"/>
  <c r="D44" i="13"/>
  <c r="L44" i="13"/>
  <c r="H45" i="13"/>
  <c r="D46" i="13"/>
  <c r="L46" i="13"/>
  <c r="H47" i="13"/>
  <c r="H49" i="13"/>
  <c r="D50" i="13"/>
  <c r="L50" i="13"/>
  <c r="H51" i="13"/>
  <c r="D52" i="13"/>
  <c r="L52" i="13"/>
  <c r="H53" i="13"/>
  <c r="D54" i="13"/>
  <c r="L54" i="13"/>
  <c r="H55" i="13"/>
  <c r="E30" i="13"/>
  <c r="M30" i="13"/>
  <c r="I31" i="13"/>
  <c r="E32" i="13"/>
  <c r="M32" i="13"/>
  <c r="I33" i="13"/>
  <c r="I35" i="13"/>
  <c r="E36" i="13"/>
  <c r="M36" i="13"/>
  <c r="I37" i="13"/>
  <c r="E38" i="13"/>
  <c r="M38" i="13"/>
  <c r="I39" i="13"/>
  <c r="E40" i="13"/>
  <c r="M40" i="13"/>
  <c r="I41" i="13"/>
  <c r="E44" i="13"/>
  <c r="M44" i="13"/>
  <c r="I45" i="13"/>
  <c r="E46" i="13"/>
  <c r="M46" i="13"/>
  <c r="I47" i="13"/>
  <c r="I49" i="13"/>
  <c r="E50" i="13"/>
  <c r="M50" i="13"/>
  <c r="I51" i="13"/>
  <c r="E52" i="13"/>
  <c r="M52" i="13"/>
  <c r="I53" i="13"/>
  <c r="E54" i="13"/>
  <c r="M54" i="13"/>
  <c r="I55" i="13"/>
  <c r="B32" i="13"/>
  <c r="F35" i="13"/>
  <c r="F37" i="13"/>
  <c r="B40" i="13"/>
  <c r="J44" i="13"/>
  <c r="F47" i="13"/>
  <c r="J50" i="13"/>
  <c r="F30" i="13"/>
  <c r="B31" i="13"/>
  <c r="J31" i="13"/>
  <c r="F32" i="13"/>
  <c r="B33" i="13"/>
  <c r="J33" i="13"/>
  <c r="B35" i="13"/>
  <c r="J35" i="13"/>
  <c r="F36" i="13"/>
  <c r="B37" i="13"/>
  <c r="J37" i="13"/>
  <c r="F38" i="13"/>
  <c r="B39" i="13"/>
  <c r="J39" i="13"/>
  <c r="F40" i="13"/>
  <c r="B41" i="13"/>
  <c r="J41" i="13"/>
  <c r="F44" i="13"/>
  <c r="B45" i="13"/>
  <c r="J45" i="13"/>
  <c r="F46" i="13"/>
  <c r="B47" i="13"/>
  <c r="J47" i="13"/>
  <c r="B49" i="13"/>
  <c r="J49" i="13"/>
  <c r="F50" i="13"/>
  <c r="B51" i="13"/>
  <c r="J51" i="13"/>
  <c r="F52" i="13"/>
  <c r="B53" i="13"/>
  <c r="J53" i="13"/>
  <c r="F54" i="13"/>
  <c r="B55" i="13"/>
  <c r="J55" i="13"/>
  <c r="G30" i="13"/>
  <c r="C31" i="13"/>
  <c r="K31" i="13"/>
  <c r="G32" i="13"/>
  <c r="C33" i="13"/>
  <c r="K33" i="13"/>
  <c r="C35" i="13"/>
  <c r="K35" i="13"/>
  <c r="G36" i="13"/>
  <c r="C37" i="13"/>
  <c r="K37" i="13"/>
  <c r="G38" i="13"/>
  <c r="C39" i="13"/>
  <c r="K39" i="13"/>
  <c r="G40" i="13"/>
  <c r="C41" i="13"/>
  <c r="K41" i="13"/>
  <c r="G44" i="13"/>
  <c r="C45" i="13"/>
  <c r="K45" i="13"/>
  <c r="G46" i="13"/>
  <c r="C47" i="13"/>
  <c r="K47" i="13"/>
  <c r="C49" i="13"/>
  <c r="K49" i="13"/>
  <c r="G50" i="13"/>
  <c r="C51" i="13"/>
  <c r="K51" i="13"/>
  <c r="G52" i="13"/>
  <c r="C53" i="13"/>
  <c r="K53" i="13"/>
  <c r="G54" i="13"/>
  <c r="C55" i="13"/>
  <c r="K55" i="13"/>
  <c r="H30" i="13"/>
  <c r="D31" i="13"/>
  <c r="L31" i="13"/>
  <c r="H32" i="13"/>
  <c r="D33" i="13"/>
  <c r="L33" i="13"/>
  <c r="D35" i="13"/>
  <c r="L35" i="13"/>
  <c r="H36" i="13"/>
  <c r="D37" i="13"/>
  <c r="L37" i="13"/>
  <c r="H38" i="13"/>
  <c r="D39" i="13"/>
  <c r="L39" i="13"/>
  <c r="H40" i="13"/>
  <c r="D41" i="13"/>
  <c r="L41" i="13"/>
  <c r="H44" i="13"/>
  <c r="D45" i="13"/>
  <c r="L45" i="13"/>
  <c r="H46" i="13"/>
  <c r="D47" i="13"/>
  <c r="L47" i="13"/>
  <c r="D49" i="13"/>
  <c r="L49" i="13"/>
  <c r="H50" i="13"/>
  <c r="D51" i="13"/>
  <c r="L51" i="13"/>
  <c r="H52" i="13"/>
  <c r="D53" i="13"/>
  <c r="L53" i="13"/>
  <c r="H54" i="13"/>
  <c r="D55" i="13"/>
  <c r="L55" i="13"/>
  <c r="I30" i="13"/>
  <c r="E31" i="13"/>
  <c r="M31" i="13"/>
  <c r="I32" i="13"/>
  <c r="E33" i="13"/>
  <c r="M33" i="13"/>
  <c r="E35" i="13"/>
  <c r="M35" i="13"/>
  <c r="I36" i="13"/>
  <c r="E37" i="13"/>
  <c r="M37" i="13"/>
  <c r="I38" i="13"/>
  <c r="E39" i="13"/>
  <c r="M39" i="13"/>
  <c r="I40" i="13"/>
  <c r="E41" i="13"/>
  <c r="M41" i="13"/>
  <c r="I44" i="13"/>
  <c r="E45" i="13"/>
  <c r="M45" i="13"/>
  <c r="I46" i="13"/>
  <c r="E47" i="13"/>
  <c r="M47" i="13"/>
  <c r="E49" i="13"/>
  <c r="M49" i="13"/>
  <c r="I50" i="13"/>
  <c r="E51" i="13"/>
  <c r="M51" i="13"/>
  <c r="I52" i="13"/>
  <c r="E53" i="13"/>
  <c r="M53" i="13"/>
  <c r="I54" i="13"/>
  <c r="E55" i="13"/>
  <c r="M55" i="13"/>
  <c r="B58" i="12"/>
  <c r="B44" i="12"/>
  <c r="J58" i="12"/>
  <c r="J44" i="12"/>
  <c r="F59" i="12"/>
  <c r="F45" i="12"/>
  <c r="B60" i="12"/>
  <c r="B46" i="12"/>
  <c r="J60" i="12"/>
  <c r="J46" i="12"/>
  <c r="F61" i="12"/>
  <c r="F47" i="12"/>
  <c r="F63" i="12"/>
  <c r="F49" i="12"/>
  <c r="B64" i="12"/>
  <c r="B50" i="12"/>
  <c r="J64" i="12"/>
  <c r="J50" i="12"/>
  <c r="F65" i="12"/>
  <c r="F51" i="12"/>
  <c r="F69" i="12"/>
  <c r="F55" i="12"/>
  <c r="B30" i="12"/>
  <c r="F35" i="12"/>
  <c r="J40" i="12"/>
  <c r="J30" i="12"/>
  <c r="B36" i="12"/>
  <c r="F41" i="12"/>
  <c r="F31" i="12"/>
  <c r="J36" i="12"/>
  <c r="B66" i="12"/>
  <c r="B32" i="12"/>
  <c r="F37" i="12"/>
  <c r="J66" i="12"/>
  <c r="J32" i="12"/>
  <c r="B38" i="12"/>
  <c r="F67" i="12"/>
  <c r="F33" i="12"/>
  <c r="J38" i="12"/>
  <c r="C30" i="12"/>
  <c r="K30" i="12"/>
  <c r="G31" i="12"/>
  <c r="C32" i="12"/>
  <c r="K32" i="12"/>
  <c r="G33" i="12"/>
  <c r="G35" i="12"/>
  <c r="C36" i="12"/>
  <c r="K36" i="12"/>
  <c r="G37" i="12"/>
  <c r="C38" i="12"/>
  <c r="K38" i="12"/>
  <c r="G39" i="12"/>
  <c r="C40" i="12"/>
  <c r="K40" i="12"/>
  <c r="G41" i="12"/>
  <c r="C44" i="12"/>
  <c r="K44" i="12"/>
  <c r="G45" i="12"/>
  <c r="C46" i="12"/>
  <c r="K46" i="12"/>
  <c r="G47" i="12"/>
  <c r="G49" i="12"/>
  <c r="C50" i="12"/>
  <c r="K50" i="12"/>
  <c r="G51" i="12"/>
  <c r="C52" i="12"/>
  <c r="K52" i="12"/>
  <c r="G53" i="12"/>
  <c r="C54" i="12"/>
  <c r="K54" i="12"/>
  <c r="G55" i="12"/>
  <c r="D30" i="12"/>
  <c r="L30" i="12"/>
  <c r="H31" i="12"/>
  <c r="D32" i="12"/>
  <c r="L32" i="12"/>
  <c r="H33" i="12"/>
  <c r="H35" i="12"/>
  <c r="D36" i="12"/>
  <c r="L36" i="12"/>
  <c r="H37" i="12"/>
  <c r="D38" i="12"/>
  <c r="L38" i="12"/>
  <c r="H39" i="12"/>
  <c r="D40" i="12"/>
  <c r="L40" i="12"/>
  <c r="H41" i="12"/>
  <c r="D44" i="12"/>
  <c r="L44" i="12"/>
  <c r="H45" i="12"/>
  <c r="D46" i="12"/>
  <c r="L46" i="12"/>
  <c r="H47" i="12"/>
  <c r="H49" i="12"/>
  <c r="D50" i="12"/>
  <c r="L50" i="12"/>
  <c r="H51" i="12"/>
  <c r="D52" i="12"/>
  <c r="L52" i="12"/>
  <c r="H53" i="12"/>
  <c r="D54" i="12"/>
  <c r="L54" i="12"/>
  <c r="H55" i="12"/>
  <c r="E30" i="12"/>
  <c r="M30" i="12"/>
  <c r="I31" i="12"/>
  <c r="E32" i="12"/>
  <c r="M32" i="12"/>
  <c r="I33" i="12"/>
  <c r="I35" i="12"/>
  <c r="E36" i="12"/>
  <c r="M36" i="12"/>
  <c r="I37" i="12"/>
  <c r="E38" i="12"/>
  <c r="M38" i="12"/>
  <c r="I39" i="12"/>
  <c r="E40" i="12"/>
  <c r="M40" i="12"/>
  <c r="I41" i="12"/>
  <c r="E44" i="12"/>
  <c r="M44" i="12"/>
  <c r="I45" i="12"/>
  <c r="E46" i="12"/>
  <c r="M46" i="12"/>
  <c r="I47" i="12"/>
  <c r="I49" i="12"/>
  <c r="E50" i="12"/>
  <c r="M50" i="12"/>
  <c r="I51" i="12"/>
  <c r="E52" i="12"/>
  <c r="M52" i="12"/>
  <c r="I53" i="12"/>
  <c r="E54" i="12"/>
  <c r="M54" i="12"/>
  <c r="I55" i="12"/>
  <c r="F30" i="12"/>
  <c r="B31" i="12"/>
  <c r="J31" i="12"/>
  <c r="F32" i="12"/>
  <c r="B33" i="12"/>
  <c r="J33" i="12"/>
  <c r="B35" i="12"/>
  <c r="J35" i="12"/>
  <c r="F36" i="12"/>
  <c r="B37" i="12"/>
  <c r="J37" i="12"/>
  <c r="F38" i="12"/>
  <c r="B39" i="12"/>
  <c r="J39" i="12"/>
  <c r="F40" i="12"/>
  <c r="B41" i="12"/>
  <c r="J41" i="12"/>
  <c r="F44" i="12"/>
  <c r="B45" i="12"/>
  <c r="J45" i="12"/>
  <c r="F46" i="12"/>
  <c r="B47" i="12"/>
  <c r="J47" i="12"/>
  <c r="B49" i="12"/>
  <c r="J49" i="12"/>
  <c r="F50" i="12"/>
  <c r="B51" i="12"/>
  <c r="J51" i="12"/>
  <c r="F52" i="12"/>
  <c r="B53" i="12"/>
  <c r="J53" i="12"/>
  <c r="F54" i="12"/>
  <c r="B55" i="12"/>
  <c r="J55" i="12"/>
  <c r="G30" i="12"/>
  <c r="C31" i="12"/>
  <c r="K31" i="12"/>
  <c r="G32" i="12"/>
  <c r="C33" i="12"/>
  <c r="K33" i="12"/>
  <c r="C35" i="12"/>
  <c r="K35" i="12"/>
  <c r="G36" i="12"/>
  <c r="C37" i="12"/>
  <c r="K37" i="12"/>
  <c r="G38" i="12"/>
  <c r="C39" i="12"/>
  <c r="K39" i="12"/>
  <c r="G40" i="12"/>
  <c r="C41" i="12"/>
  <c r="K41" i="12"/>
  <c r="G44" i="12"/>
  <c r="C45" i="12"/>
  <c r="K45" i="12"/>
  <c r="G46" i="12"/>
  <c r="C47" i="12"/>
  <c r="K47" i="12"/>
  <c r="C49" i="12"/>
  <c r="K49" i="12"/>
  <c r="G50" i="12"/>
  <c r="C51" i="12"/>
  <c r="K51" i="12"/>
  <c r="G52" i="12"/>
  <c r="C53" i="12"/>
  <c r="K53" i="12"/>
  <c r="G54" i="12"/>
  <c r="C55" i="12"/>
  <c r="K55" i="12"/>
  <c r="H30" i="12"/>
  <c r="D31" i="12"/>
  <c r="L31" i="12"/>
  <c r="H32" i="12"/>
  <c r="D33" i="12"/>
  <c r="L33" i="12"/>
  <c r="D35" i="12"/>
  <c r="L35" i="12"/>
  <c r="H36" i="12"/>
  <c r="D37" i="12"/>
  <c r="L37" i="12"/>
  <c r="H38" i="12"/>
  <c r="D39" i="12"/>
  <c r="L39" i="12"/>
  <c r="H40" i="12"/>
  <c r="D41" i="12"/>
  <c r="L41" i="12"/>
  <c r="H44" i="12"/>
  <c r="D45" i="12"/>
  <c r="L45" i="12"/>
  <c r="H46" i="12"/>
  <c r="D47" i="12"/>
  <c r="L47" i="12"/>
  <c r="D49" i="12"/>
  <c r="L49" i="12"/>
  <c r="H50" i="12"/>
  <c r="D51" i="12"/>
  <c r="L51" i="12"/>
  <c r="H52" i="12"/>
  <c r="D53" i="12"/>
  <c r="L53" i="12"/>
  <c r="H54" i="12"/>
  <c r="D55" i="12"/>
  <c r="L55" i="12"/>
  <c r="I30" i="12"/>
  <c r="E31" i="12"/>
  <c r="M31" i="12"/>
  <c r="I32" i="12"/>
  <c r="E33" i="12"/>
  <c r="M33" i="12"/>
  <c r="E35" i="12"/>
  <c r="M35" i="12"/>
  <c r="I36" i="12"/>
  <c r="E37" i="12"/>
  <c r="M37" i="12"/>
  <c r="I38" i="12"/>
  <c r="E39" i="12"/>
  <c r="M39" i="12"/>
  <c r="I40" i="12"/>
  <c r="E41" i="12"/>
  <c r="M41" i="12"/>
  <c r="I44" i="12"/>
  <c r="E45" i="12"/>
  <c r="M45" i="12"/>
  <c r="I46" i="12"/>
  <c r="E47" i="12"/>
  <c r="M47" i="12"/>
  <c r="E49" i="12"/>
  <c r="M49" i="12"/>
  <c r="I50" i="12"/>
  <c r="E51" i="12"/>
  <c r="M51" i="12"/>
  <c r="I52" i="12"/>
  <c r="E53" i="12"/>
  <c r="M53" i="12"/>
  <c r="I54" i="12"/>
  <c r="E55" i="12"/>
  <c r="M55" i="12"/>
  <c r="F39" i="11"/>
  <c r="B44" i="11"/>
  <c r="B58" i="11"/>
  <c r="J58" i="11"/>
  <c r="J44" i="11"/>
  <c r="F59" i="11"/>
  <c r="F45" i="11"/>
  <c r="B60" i="11"/>
  <c r="B46" i="11"/>
  <c r="J60" i="11"/>
  <c r="J46" i="11"/>
  <c r="F61" i="11"/>
  <c r="F47" i="11"/>
  <c r="F63" i="11"/>
  <c r="F49" i="11"/>
  <c r="B64" i="11"/>
  <c r="B50" i="11"/>
  <c r="J64" i="11"/>
  <c r="J50" i="11"/>
  <c r="B68" i="11"/>
  <c r="B54" i="11"/>
  <c r="J54" i="11"/>
  <c r="J40" i="11"/>
  <c r="F69" i="11"/>
  <c r="F55" i="11"/>
  <c r="F41" i="11"/>
  <c r="B30" i="11"/>
  <c r="F35" i="11"/>
  <c r="F65" i="11"/>
  <c r="J30" i="11"/>
  <c r="B36" i="11"/>
  <c r="B66" i="11"/>
  <c r="F31" i="11"/>
  <c r="J36" i="11"/>
  <c r="J66" i="11"/>
  <c r="B32" i="11"/>
  <c r="F37" i="11"/>
  <c r="F67" i="11"/>
  <c r="J32" i="11"/>
  <c r="B38" i="11"/>
  <c r="C30" i="11"/>
  <c r="K30" i="11"/>
  <c r="G31" i="11"/>
  <c r="C32" i="11"/>
  <c r="K32" i="11"/>
  <c r="G33" i="11"/>
  <c r="G35" i="11"/>
  <c r="C36" i="11"/>
  <c r="K36" i="11"/>
  <c r="G37" i="11"/>
  <c r="C38" i="11"/>
  <c r="K38" i="11"/>
  <c r="G39" i="11"/>
  <c r="C40" i="11"/>
  <c r="K40" i="11"/>
  <c r="G41" i="11"/>
  <c r="C44" i="11"/>
  <c r="K44" i="11"/>
  <c r="G45" i="11"/>
  <c r="C46" i="11"/>
  <c r="K46" i="11"/>
  <c r="G47" i="11"/>
  <c r="G49" i="11"/>
  <c r="C50" i="11"/>
  <c r="K50" i="11"/>
  <c r="G51" i="11"/>
  <c r="C52" i="11"/>
  <c r="K52" i="11"/>
  <c r="G53" i="11"/>
  <c r="C54" i="11"/>
  <c r="K54" i="11"/>
  <c r="G55" i="11"/>
  <c r="D30" i="11"/>
  <c r="L30" i="11"/>
  <c r="H31" i="11"/>
  <c r="D32" i="11"/>
  <c r="L32" i="11"/>
  <c r="H33" i="11"/>
  <c r="H35" i="11"/>
  <c r="D36" i="11"/>
  <c r="L36" i="11"/>
  <c r="H37" i="11"/>
  <c r="D38" i="11"/>
  <c r="L38" i="11"/>
  <c r="H39" i="11"/>
  <c r="D40" i="11"/>
  <c r="L40" i="11"/>
  <c r="H41" i="11"/>
  <c r="D44" i="11"/>
  <c r="L44" i="11"/>
  <c r="H45" i="11"/>
  <c r="D46" i="11"/>
  <c r="L46" i="11"/>
  <c r="H47" i="11"/>
  <c r="H49" i="11"/>
  <c r="D50" i="11"/>
  <c r="L50" i="11"/>
  <c r="H51" i="11"/>
  <c r="D52" i="11"/>
  <c r="L52" i="11"/>
  <c r="H53" i="11"/>
  <c r="D54" i="11"/>
  <c r="L54" i="11"/>
  <c r="H55" i="11"/>
  <c r="E30" i="11"/>
  <c r="M30" i="11"/>
  <c r="I31" i="11"/>
  <c r="E32" i="11"/>
  <c r="M32" i="11"/>
  <c r="I33" i="11"/>
  <c r="I35" i="11"/>
  <c r="E36" i="11"/>
  <c r="M36" i="11"/>
  <c r="I37" i="11"/>
  <c r="E38" i="11"/>
  <c r="M38" i="11"/>
  <c r="I39" i="11"/>
  <c r="E40" i="11"/>
  <c r="M40" i="11"/>
  <c r="I41" i="11"/>
  <c r="E44" i="11"/>
  <c r="M44" i="11"/>
  <c r="I45" i="11"/>
  <c r="E46" i="11"/>
  <c r="M46" i="11"/>
  <c r="I47" i="11"/>
  <c r="I49" i="11"/>
  <c r="E50" i="11"/>
  <c r="M50" i="11"/>
  <c r="I51" i="11"/>
  <c r="E52" i="11"/>
  <c r="M52" i="11"/>
  <c r="I53" i="11"/>
  <c r="E54" i="11"/>
  <c r="M54" i="11"/>
  <c r="I55" i="11"/>
  <c r="F30" i="11"/>
  <c r="B31" i="11"/>
  <c r="J31" i="11"/>
  <c r="F32" i="11"/>
  <c r="B33" i="11"/>
  <c r="J33" i="11"/>
  <c r="B35" i="11"/>
  <c r="J35" i="11"/>
  <c r="F36" i="11"/>
  <c r="B37" i="11"/>
  <c r="J37" i="11"/>
  <c r="F38" i="11"/>
  <c r="B39" i="11"/>
  <c r="J39" i="11"/>
  <c r="F40" i="11"/>
  <c r="B41" i="11"/>
  <c r="J41" i="11"/>
  <c r="F44" i="11"/>
  <c r="B45" i="11"/>
  <c r="J45" i="11"/>
  <c r="F46" i="11"/>
  <c r="B47" i="11"/>
  <c r="J47" i="11"/>
  <c r="B49" i="11"/>
  <c r="J49" i="11"/>
  <c r="F50" i="11"/>
  <c r="B51" i="11"/>
  <c r="J51" i="11"/>
  <c r="F52" i="11"/>
  <c r="B53" i="11"/>
  <c r="J53" i="11"/>
  <c r="F54" i="11"/>
  <c r="B55" i="11"/>
  <c r="J55" i="11"/>
  <c r="G30" i="11"/>
  <c r="C31" i="11"/>
  <c r="K31" i="11"/>
  <c r="G32" i="11"/>
  <c r="C33" i="11"/>
  <c r="K33" i="11"/>
  <c r="C35" i="11"/>
  <c r="K35" i="11"/>
  <c r="G36" i="11"/>
  <c r="C37" i="11"/>
  <c r="K37" i="11"/>
  <c r="G38" i="11"/>
  <c r="C39" i="11"/>
  <c r="K39" i="11"/>
  <c r="G40" i="11"/>
  <c r="C41" i="11"/>
  <c r="K41" i="11"/>
  <c r="G44" i="11"/>
  <c r="C45" i="11"/>
  <c r="K45" i="11"/>
  <c r="G46" i="11"/>
  <c r="C47" i="11"/>
  <c r="K47" i="11"/>
  <c r="C49" i="11"/>
  <c r="K49" i="11"/>
  <c r="G50" i="11"/>
  <c r="C51" i="11"/>
  <c r="K51" i="11"/>
  <c r="G52" i="11"/>
  <c r="C53" i="11"/>
  <c r="K53" i="11"/>
  <c r="G54" i="11"/>
  <c r="C55" i="11"/>
  <c r="K55" i="11"/>
  <c r="H30" i="11"/>
  <c r="D31" i="11"/>
  <c r="L31" i="11"/>
  <c r="H32" i="11"/>
  <c r="D33" i="11"/>
  <c r="L33" i="11"/>
  <c r="D35" i="11"/>
  <c r="L35" i="11"/>
  <c r="H36" i="11"/>
  <c r="D37" i="11"/>
  <c r="L37" i="11"/>
  <c r="H38" i="11"/>
  <c r="D39" i="11"/>
  <c r="L39" i="11"/>
  <c r="H40" i="11"/>
  <c r="D41" i="11"/>
  <c r="L41" i="11"/>
  <c r="H44" i="11"/>
  <c r="D45" i="11"/>
  <c r="L45" i="11"/>
  <c r="H46" i="11"/>
  <c r="D47" i="11"/>
  <c r="L47" i="11"/>
  <c r="D49" i="11"/>
  <c r="L49" i="11"/>
  <c r="H50" i="11"/>
  <c r="D51" i="11"/>
  <c r="L51" i="11"/>
  <c r="H52" i="11"/>
  <c r="D53" i="11"/>
  <c r="L53" i="11"/>
  <c r="H54" i="11"/>
  <c r="D55" i="11"/>
  <c r="L55" i="11"/>
  <c r="I30" i="11"/>
  <c r="E31" i="11"/>
  <c r="M31" i="11"/>
  <c r="I32" i="11"/>
  <c r="E33" i="11"/>
  <c r="M33" i="11"/>
  <c r="E35" i="11"/>
  <c r="M35" i="11"/>
  <c r="I36" i="11"/>
  <c r="E37" i="11"/>
  <c r="M37" i="11"/>
  <c r="I38" i="11"/>
  <c r="E39" i="11"/>
  <c r="M39" i="11"/>
  <c r="I40" i="11"/>
  <c r="E41" i="11"/>
  <c r="M41" i="11"/>
  <c r="I44" i="11"/>
  <c r="E45" i="11"/>
  <c r="M45" i="11"/>
  <c r="I46" i="11"/>
  <c r="E47" i="11"/>
  <c r="M47" i="11"/>
  <c r="E49" i="11"/>
  <c r="M49" i="11"/>
  <c r="I50" i="11"/>
  <c r="E51" i="11"/>
  <c r="M51" i="11"/>
  <c r="I52" i="11"/>
  <c r="E53" i="11"/>
  <c r="M53" i="11"/>
  <c r="I54" i="11"/>
  <c r="E55" i="11"/>
  <c r="M55" i="11"/>
  <c r="B30" i="10"/>
  <c r="F31" i="10"/>
  <c r="J32" i="10"/>
  <c r="F35" i="10"/>
  <c r="J36" i="10"/>
  <c r="B38" i="10"/>
  <c r="F39" i="10"/>
  <c r="J40" i="10"/>
  <c r="F41" i="10"/>
  <c r="J44" i="10"/>
  <c r="B46" i="10"/>
  <c r="F47" i="10"/>
  <c r="B50" i="10"/>
  <c r="F51" i="10"/>
  <c r="J52" i="10"/>
  <c r="B54" i="10"/>
  <c r="B58" i="10"/>
  <c r="F59" i="10"/>
  <c r="J60" i="10"/>
  <c r="B64" i="10"/>
  <c r="J68" i="10"/>
  <c r="C30" i="10"/>
  <c r="K30" i="10"/>
  <c r="G31" i="10"/>
  <c r="C32" i="10"/>
  <c r="K32" i="10"/>
  <c r="G33" i="10"/>
  <c r="G35" i="10"/>
  <c r="C36" i="10"/>
  <c r="K36" i="10"/>
  <c r="G37" i="10"/>
  <c r="C38" i="10"/>
  <c r="K38" i="10"/>
  <c r="G39" i="10"/>
  <c r="C40" i="10"/>
  <c r="K40" i="10"/>
  <c r="G41" i="10"/>
  <c r="C44" i="10"/>
  <c r="K44" i="10"/>
  <c r="G45" i="10"/>
  <c r="C46" i="10"/>
  <c r="K46" i="10"/>
  <c r="G47" i="10"/>
  <c r="G49" i="10"/>
  <c r="C50" i="10"/>
  <c r="K50" i="10"/>
  <c r="G51" i="10"/>
  <c r="C52" i="10"/>
  <c r="K52" i="10"/>
  <c r="G53" i="10"/>
  <c r="C54" i="10"/>
  <c r="K54" i="10"/>
  <c r="G55" i="10"/>
  <c r="F69" i="10"/>
  <c r="D30" i="10"/>
  <c r="L30" i="10"/>
  <c r="H31" i="10"/>
  <c r="D32" i="10"/>
  <c r="L32" i="10"/>
  <c r="H33" i="10"/>
  <c r="H35" i="10"/>
  <c r="D36" i="10"/>
  <c r="L36" i="10"/>
  <c r="H37" i="10"/>
  <c r="D38" i="10"/>
  <c r="L38" i="10"/>
  <c r="H39" i="10"/>
  <c r="D40" i="10"/>
  <c r="L40" i="10"/>
  <c r="H41" i="10"/>
  <c r="D44" i="10"/>
  <c r="L44" i="10"/>
  <c r="H45" i="10"/>
  <c r="D46" i="10"/>
  <c r="L46" i="10"/>
  <c r="H47" i="10"/>
  <c r="H49" i="10"/>
  <c r="D50" i="10"/>
  <c r="L50" i="10"/>
  <c r="H51" i="10"/>
  <c r="D52" i="10"/>
  <c r="L52" i="10"/>
  <c r="H53" i="10"/>
  <c r="D54" i="10"/>
  <c r="L54" i="10"/>
  <c r="H55" i="10"/>
  <c r="F67" i="10"/>
  <c r="E30" i="10"/>
  <c r="M30" i="10"/>
  <c r="I31" i="10"/>
  <c r="E32" i="10"/>
  <c r="M32" i="10"/>
  <c r="I33" i="10"/>
  <c r="I35" i="10"/>
  <c r="E36" i="10"/>
  <c r="M36" i="10"/>
  <c r="I37" i="10"/>
  <c r="E38" i="10"/>
  <c r="M38" i="10"/>
  <c r="I39" i="10"/>
  <c r="E40" i="10"/>
  <c r="M40" i="10"/>
  <c r="I41" i="10"/>
  <c r="E44" i="10"/>
  <c r="M44" i="10"/>
  <c r="I45" i="10"/>
  <c r="E46" i="10"/>
  <c r="M46" i="10"/>
  <c r="I47" i="10"/>
  <c r="I49" i="10"/>
  <c r="E50" i="10"/>
  <c r="M50" i="10"/>
  <c r="I51" i="10"/>
  <c r="E52" i="10"/>
  <c r="M52" i="10"/>
  <c r="I53" i="10"/>
  <c r="E54" i="10"/>
  <c r="M54" i="10"/>
  <c r="I55" i="10"/>
  <c r="J30" i="10"/>
  <c r="B32" i="10"/>
  <c r="F33" i="10"/>
  <c r="B40" i="10"/>
  <c r="F49" i="10"/>
  <c r="J50" i="10"/>
  <c r="F30" i="10"/>
  <c r="B31" i="10"/>
  <c r="J31" i="10"/>
  <c r="F32" i="10"/>
  <c r="B33" i="10"/>
  <c r="J33" i="10"/>
  <c r="B35" i="10"/>
  <c r="J35" i="10"/>
  <c r="F36" i="10"/>
  <c r="B37" i="10"/>
  <c r="J37" i="10"/>
  <c r="F38" i="10"/>
  <c r="B39" i="10"/>
  <c r="J39" i="10"/>
  <c r="F40" i="10"/>
  <c r="B41" i="10"/>
  <c r="J41" i="10"/>
  <c r="F44" i="10"/>
  <c r="B45" i="10"/>
  <c r="J45" i="10"/>
  <c r="F46" i="10"/>
  <c r="B47" i="10"/>
  <c r="J47" i="10"/>
  <c r="B49" i="10"/>
  <c r="J49" i="10"/>
  <c r="F50" i="10"/>
  <c r="B51" i="10"/>
  <c r="J51" i="10"/>
  <c r="F52" i="10"/>
  <c r="B53" i="10"/>
  <c r="J53" i="10"/>
  <c r="F54" i="10"/>
  <c r="B55" i="10"/>
  <c r="J55" i="10"/>
  <c r="G30" i="10"/>
  <c r="C31" i="10"/>
  <c r="K31" i="10"/>
  <c r="G32" i="10"/>
  <c r="C33" i="10"/>
  <c r="K33" i="10"/>
  <c r="C35" i="10"/>
  <c r="K35" i="10"/>
  <c r="G36" i="10"/>
  <c r="C37" i="10"/>
  <c r="K37" i="10"/>
  <c r="G38" i="10"/>
  <c r="C39" i="10"/>
  <c r="K39" i="10"/>
  <c r="G40" i="10"/>
  <c r="C41" i="10"/>
  <c r="K41" i="10"/>
  <c r="G44" i="10"/>
  <c r="C45" i="10"/>
  <c r="K45" i="10"/>
  <c r="G46" i="10"/>
  <c r="C47" i="10"/>
  <c r="K47" i="10"/>
  <c r="C49" i="10"/>
  <c r="K49" i="10"/>
  <c r="G50" i="10"/>
  <c r="C51" i="10"/>
  <c r="K51" i="10"/>
  <c r="G52" i="10"/>
  <c r="C53" i="10"/>
  <c r="K53" i="10"/>
  <c r="G54" i="10"/>
  <c r="C55" i="10"/>
  <c r="K55" i="10"/>
  <c r="H30" i="10"/>
  <c r="D31" i="10"/>
  <c r="L31" i="10"/>
  <c r="H32" i="10"/>
  <c r="D33" i="10"/>
  <c r="L33" i="10"/>
  <c r="D35" i="10"/>
  <c r="L35" i="10"/>
  <c r="H36" i="10"/>
  <c r="D37" i="10"/>
  <c r="L37" i="10"/>
  <c r="H38" i="10"/>
  <c r="D39" i="10"/>
  <c r="L39" i="10"/>
  <c r="H40" i="10"/>
  <c r="D41" i="10"/>
  <c r="L41" i="10"/>
  <c r="H44" i="10"/>
  <c r="D45" i="10"/>
  <c r="L45" i="10"/>
  <c r="H46" i="10"/>
  <c r="D47" i="10"/>
  <c r="L47" i="10"/>
  <c r="D49" i="10"/>
  <c r="L49" i="10"/>
  <c r="H50" i="10"/>
  <c r="D51" i="10"/>
  <c r="L51" i="10"/>
  <c r="H52" i="10"/>
  <c r="D53" i="10"/>
  <c r="L53" i="10"/>
  <c r="H54" i="10"/>
  <c r="D55" i="10"/>
  <c r="L55" i="10"/>
  <c r="I30" i="10"/>
  <c r="E31" i="10"/>
  <c r="M31" i="10"/>
  <c r="I32" i="10"/>
  <c r="E33" i="10"/>
  <c r="M33" i="10"/>
  <c r="E35" i="10"/>
  <c r="M35" i="10"/>
  <c r="I36" i="10"/>
  <c r="E37" i="10"/>
  <c r="M37" i="10"/>
  <c r="I38" i="10"/>
  <c r="E39" i="10"/>
  <c r="M39" i="10"/>
  <c r="I40" i="10"/>
  <c r="E41" i="10"/>
  <c r="M41" i="10"/>
  <c r="I44" i="10"/>
  <c r="E45" i="10"/>
  <c r="M45" i="10"/>
  <c r="I46" i="10"/>
  <c r="E47" i="10"/>
  <c r="M47" i="10"/>
  <c r="E49" i="10"/>
  <c r="M49" i="10"/>
  <c r="I50" i="10"/>
  <c r="E51" i="10"/>
  <c r="M51" i="10"/>
  <c r="I52" i="10"/>
  <c r="E53" i="10"/>
  <c r="M53" i="10"/>
  <c r="I54" i="10"/>
  <c r="E55" i="10"/>
  <c r="M55" i="10"/>
  <c r="B58" i="9"/>
  <c r="B44" i="9"/>
  <c r="J58" i="9"/>
  <c r="J44" i="9"/>
  <c r="F59" i="9"/>
  <c r="F45" i="9"/>
  <c r="B60" i="9"/>
  <c r="B46" i="9"/>
  <c r="J60" i="9"/>
  <c r="J46" i="9"/>
  <c r="F61" i="9"/>
  <c r="F47" i="9"/>
  <c r="F63" i="9"/>
  <c r="F49" i="9"/>
  <c r="B64" i="9"/>
  <c r="B50" i="9"/>
  <c r="J64" i="9"/>
  <c r="J50" i="9"/>
  <c r="F69" i="9"/>
  <c r="F55" i="9"/>
  <c r="F41" i="9"/>
  <c r="B30" i="9"/>
  <c r="F35" i="9"/>
  <c r="J40" i="9"/>
  <c r="J30" i="9"/>
  <c r="B36" i="9"/>
  <c r="F65" i="9"/>
  <c r="F31" i="9"/>
  <c r="J36" i="9"/>
  <c r="B66" i="9"/>
  <c r="B32" i="9"/>
  <c r="F37" i="9"/>
  <c r="J66" i="9"/>
  <c r="J32" i="9"/>
  <c r="B38" i="9"/>
  <c r="F67" i="9"/>
  <c r="F33" i="9"/>
  <c r="J38" i="9"/>
  <c r="F39" i="9"/>
  <c r="J68" i="9"/>
  <c r="C30" i="9"/>
  <c r="K30" i="9"/>
  <c r="G31" i="9"/>
  <c r="C32" i="9"/>
  <c r="K32" i="9"/>
  <c r="G33" i="9"/>
  <c r="G35" i="9"/>
  <c r="C36" i="9"/>
  <c r="K36" i="9"/>
  <c r="G37" i="9"/>
  <c r="C38" i="9"/>
  <c r="K38" i="9"/>
  <c r="G39" i="9"/>
  <c r="C40" i="9"/>
  <c r="K40" i="9"/>
  <c r="G41" i="9"/>
  <c r="C44" i="9"/>
  <c r="K44" i="9"/>
  <c r="G45" i="9"/>
  <c r="C46" i="9"/>
  <c r="K46" i="9"/>
  <c r="G47" i="9"/>
  <c r="G49" i="9"/>
  <c r="C50" i="9"/>
  <c r="K50" i="9"/>
  <c r="G51" i="9"/>
  <c r="C52" i="9"/>
  <c r="K52" i="9"/>
  <c r="G53" i="9"/>
  <c r="C54" i="9"/>
  <c r="K54" i="9"/>
  <c r="G55" i="9"/>
  <c r="D30" i="9"/>
  <c r="L30" i="9"/>
  <c r="H31" i="9"/>
  <c r="D32" i="9"/>
  <c r="L32" i="9"/>
  <c r="H33" i="9"/>
  <c r="H35" i="9"/>
  <c r="D36" i="9"/>
  <c r="L36" i="9"/>
  <c r="H37" i="9"/>
  <c r="D38" i="9"/>
  <c r="L38" i="9"/>
  <c r="H39" i="9"/>
  <c r="D40" i="9"/>
  <c r="L40" i="9"/>
  <c r="H41" i="9"/>
  <c r="D44" i="9"/>
  <c r="L44" i="9"/>
  <c r="H45" i="9"/>
  <c r="D46" i="9"/>
  <c r="L46" i="9"/>
  <c r="H47" i="9"/>
  <c r="H49" i="9"/>
  <c r="D50" i="9"/>
  <c r="L50" i="9"/>
  <c r="H51" i="9"/>
  <c r="D52" i="9"/>
  <c r="L52" i="9"/>
  <c r="H53" i="9"/>
  <c r="D54" i="9"/>
  <c r="L54" i="9"/>
  <c r="H55" i="9"/>
  <c r="E30" i="9"/>
  <c r="M30" i="9"/>
  <c r="I31" i="9"/>
  <c r="E32" i="9"/>
  <c r="M32" i="9"/>
  <c r="I33" i="9"/>
  <c r="I35" i="9"/>
  <c r="E36" i="9"/>
  <c r="M36" i="9"/>
  <c r="I37" i="9"/>
  <c r="E38" i="9"/>
  <c r="M38" i="9"/>
  <c r="I39" i="9"/>
  <c r="E40" i="9"/>
  <c r="M40" i="9"/>
  <c r="I41" i="9"/>
  <c r="E44" i="9"/>
  <c r="M44" i="9"/>
  <c r="I45" i="9"/>
  <c r="E46" i="9"/>
  <c r="M46" i="9"/>
  <c r="I47" i="9"/>
  <c r="I49" i="9"/>
  <c r="E50" i="9"/>
  <c r="M50" i="9"/>
  <c r="I51" i="9"/>
  <c r="E52" i="9"/>
  <c r="M52" i="9"/>
  <c r="I53" i="9"/>
  <c r="E54" i="9"/>
  <c r="M54" i="9"/>
  <c r="I55" i="9"/>
  <c r="F30" i="9"/>
  <c r="B31" i="9"/>
  <c r="J31" i="9"/>
  <c r="F32" i="9"/>
  <c r="B33" i="9"/>
  <c r="J33" i="9"/>
  <c r="B35" i="9"/>
  <c r="J35" i="9"/>
  <c r="F36" i="9"/>
  <c r="B37" i="9"/>
  <c r="J37" i="9"/>
  <c r="F38" i="9"/>
  <c r="B39" i="9"/>
  <c r="J39" i="9"/>
  <c r="F40" i="9"/>
  <c r="B41" i="9"/>
  <c r="J41" i="9"/>
  <c r="F44" i="9"/>
  <c r="B45" i="9"/>
  <c r="J45" i="9"/>
  <c r="F46" i="9"/>
  <c r="B47" i="9"/>
  <c r="J47" i="9"/>
  <c r="B49" i="9"/>
  <c r="J49" i="9"/>
  <c r="F50" i="9"/>
  <c r="B51" i="9"/>
  <c r="J51" i="9"/>
  <c r="F52" i="9"/>
  <c r="B53" i="9"/>
  <c r="J53" i="9"/>
  <c r="F54" i="9"/>
  <c r="B55" i="9"/>
  <c r="J55" i="9"/>
  <c r="G30" i="9"/>
  <c r="C31" i="9"/>
  <c r="K31" i="9"/>
  <c r="G32" i="9"/>
  <c r="C33" i="9"/>
  <c r="K33" i="9"/>
  <c r="C35" i="9"/>
  <c r="K35" i="9"/>
  <c r="G36" i="9"/>
  <c r="C37" i="9"/>
  <c r="K37" i="9"/>
  <c r="G38" i="9"/>
  <c r="C39" i="9"/>
  <c r="K39" i="9"/>
  <c r="G40" i="9"/>
  <c r="C41" i="9"/>
  <c r="K41" i="9"/>
  <c r="G44" i="9"/>
  <c r="C45" i="9"/>
  <c r="K45" i="9"/>
  <c r="G46" i="9"/>
  <c r="C47" i="9"/>
  <c r="K47" i="9"/>
  <c r="C49" i="9"/>
  <c r="K49" i="9"/>
  <c r="G50" i="9"/>
  <c r="C51" i="9"/>
  <c r="K51" i="9"/>
  <c r="G52" i="9"/>
  <c r="C53" i="9"/>
  <c r="K53" i="9"/>
  <c r="G54" i="9"/>
  <c r="C55" i="9"/>
  <c r="K55" i="9"/>
  <c r="H30" i="9"/>
  <c r="D31" i="9"/>
  <c r="L31" i="9"/>
  <c r="H32" i="9"/>
  <c r="D33" i="9"/>
  <c r="L33" i="9"/>
  <c r="D35" i="9"/>
  <c r="L35" i="9"/>
  <c r="H36" i="9"/>
  <c r="D37" i="9"/>
  <c r="L37" i="9"/>
  <c r="H38" i="9"/>
  <c r="D39" i="9"/>
  <c r="L39" i="9"/>
  <c r="H40" i="9"/>
  <c r="D41" i="9"/>
  <c r="L41" i="9"/>
  <c r="H44" i="9"/>
  <c r="D45" i="9"/>
  <c r="L45" i="9"/>
  <c r="H46" i="9"/>
  <c r="D47" i="9"/>
  <c r="L47" i="9"/>
  <c r="D49" i="9"/>
  <c r="L49" i="9"/>
  <c r="H50" i="9"/>
  <c r="D51" i="9"/>
  <c r="L51" i="9"/>
  <c r="H52" i="9"/>
  <c r="D53" i="9"/>
  <c r="L53" i="9"/>
  <c r="H54" i="9"/>
  <c r="D55" i="9"/>
  <c r="L55" i="9"/>
  <c r="I30" i="9"/>
  <c r="E31" i="9"/>
  <c r="M31" i="9"/>
  <c r="I32" i="9"/>
  <c r="E33" i="9"/>
  <c r="M33" i="9"/>
  <c r="E35" i="9"/>
  <c r="M35" i="9"/>
  <c r="I36" i="9"/>
  <c r="E37" i="9"/>
  <c r="M37" i="9"/>
  <c r="I38" i="9"/>
  <c r="E39" i="9"/>
  <c r="M39" i="9"/>
  <c r="I40" i="9"/>
  <c r="E41" i="9"/>
  <c r="M41" i="9"/>
  <c r="I44" i="9"/>
  <c r="E45" i="9"/>
  <c r="M45" i="9"/>
  <c r="I46" i="9"/>
  <c r="E47" i="9"/>
  <c r="M47" i="9"/>
  <c r="E49" i="9"/>
  <c r="M49" i="9"/>
  <c r="I50" i="9"/>
  <c r="E51" i="9"/>
  <c r="M51" i="9"/>
  <c r="I52" i="9"/>
  <c r="E53" i="9"/>
  <c r="M53" i="9"/>
  <c r="I54" i="9"/>
  <c r="E55" i="9"/>
  <c r="M55" i="9"/>
  <c r="C30" i="8"/>
  <c r="K30" i="8"/>
  <c r="G31" i="8"/>
  <c r="C32" i="8"/>
  <c r="K32" i="8"/>
  <c r="G33" i="8"/>
  <c r="G35" i="8"/>
  <c r="C36" i="8"/>
  <c r="K36" i="8"/>
  <c r="G37" i="8"/>
  <c r="C38" i="8"/>
  <c r="K38" i="8"/>
  <c r="G39" i="8"/>
  <c r="C40" i="8"/>
  <c r="K40" i="8"/>
  <c r="G41" i="8"/>
  <c r="C44" i="8"/>
  <c r="K44" i="8"/>
  <c r="G45" i="8"/>
  <c r="C46" i="8"/>
  <c r="K46" i="8"/>
  <c r="G47" i="8"/>
  <c r="G49" i="8"/>
  <c r="C50" i="8"/>
  <c r="K50" i="8"/>
  <c r="G51" i="8"/>
  <c r="C52" i="8"/>
  <c r="K52" i="8"/>
  <c r="G53" i="8"/>
  <c r="C54" i="8"/>
  <c r="K54" i="8"/>
  <c r="G55" i="8"/>
  <c r="B30" i="8"/>
  <c r="J32" i="8"/>
  <c r="B36" i="8"/>
  <c r="B38" i="8"/>
  <c r="B40" i="8"/>
  <c r="F41" i="8"/>
  <c r="J44" i="8"/>
  <c r="B46" i="8"/>
  <c r="F49" i="8"/>
  <c r="J50" i="8"/>
  <c r="F53" i="8"/>
  <c r="B58" i="8"/>
  <c r="F59" i="8"/>
  <c r="J60" i="8"/>
  <c r="F63" i="8"/>
  <c r="J64" i="8"/>
  <c r="J68" i="8"/>
  <c r="D30" i="8"/>
  <c r="L30" i="8"/>
  <c r="H31" i="8"/>
  <c r="D32" i="8"/>
  <c r="L32" i="8"/>
  <c r="H33" i="8"/>
  <c r="H35" i="8"/>
  <c r="D36" i="8"/>
  <c r="L36" i="8"/>
  <c r="H37" i="8"/>
  <c r="D38" i="8"/>
  <c r="L38" i="8"/>
  <c r="H39" i="8"/>
  <c r="D40" i="8"/>
  <c r="L40" i="8"/>
  <c r="H41" i="8"/>
  <c r="D44" i="8"/>
  <c r="L44" i="8"/>
  <c r="H45" i="8"/>
  <c r="D46" i="8"/>
  <c r="L46" i="8"/>
  <c r="H47" i="8"/>
  <c r="H49" i="8"/>
  <c r="D50" i="8"/>
  <c r="L50" i="8"/>
  <c r="H51" i="8"/>
  <c r="D52" i="8"/>
  <c r="L52" i="8"/>
  <c r="H53" i="8"/>
  <c r="D54" i="8"/>
  <c r="L54" i="8"/>
  <c r="H55" i="8"/>
  <c r="B32" i="8"/>
  <c r="J40" i="8"/>
  <c r="J66" i="8"/>
  <c r="E30" i="8"/>
  <c r="M30" i="8"/>
  <c r="I31" i="8"/>
  <c r="E32" i="8"/>
  <c r="M32" i="8"/>
  <c r="I33" i="8"/>
  <c r="I35" i="8"/>
  <c r="E36" i="8"/>
  <c r="M36" i="8"/>
  <c r="I37" i="8"/>
  <c r="E38" i="8"/>
  <c r="M38" i="8"/>
  <c r="I39" i="8"/>
  <c r="E40" i="8"/>
  <c r="M40" i="8"/>
  <c r="I41" i="8"/>
  <c r="E44" i="8"/>
  <c r="M44" i="8"/>
  <c r="I45" i="8"/>
  <c r="E46" i="8"/>
  <c r="M46" i="8"/>
  <c r="I47" i="8"/>
  <c r="I49" i="8"/>
  <c r="E50" i="8"/>
  <c r="M50" i="8"/>
  <c r="I51" i="8"/>
  <c r="E52" i="8"/>
  <c r="M52" i="8"/>
  <c r="I53" i="8"/>
  <c r="E54" i="8"/>
  <c r="M54" i="8"/>
  <c r="I55" i="8"/>
  <c r="F67" i="8"/>
  <c r="F30" i="8"/>
  <c r="B31" i="8"/>
  <c r="J31" i="8"/>
  <c r="F32" i="8"/>
  <c r="B33" i="8"/>
  <c r="J33" i="8"/>
  <c r="B35" i="8"/>
  <c r="J35" i="8"/>
  <c r="F36" i="8"/>
  <c r="B37" i="8"/>
  <c r="J37" i="8"/>
  <c r="F38" i="8"/>
  <c r="B39" i="8"/>
  <c r="J39" i="8"/>
  <c r="F40" i="8"/>
  <c r="B41" i="8"/>
  <c r="J41" i="8"/>
  <c r="F44" i="8"/>
  <c r="B45" i="8"/>
  <c r="J45" i="8"/>
  <c r="F46" i="8"/>
  <c r="B47" i="8"/>
  <c r="J47" i="8"/>
  <c r="B49" i="8"/>
  <c r="J49" i="8"/>
  <c r="F50" i="8"/>
  <c r="B51" i="8"/>
  <c r="J51" i="8"/>
  <c r="F52" i="8"/>
  <c r="B53" i="8"/>
  <c r="J53" i="8"/>
  <c r="F54" i="8"/>
  <c r="B55" i="8"/>
  <c r="J55" i="8"/>
  <c r="F31" i="8"/>
  <c r="J38" i="8"/>
  <c r="F47" i="8"/>
  <c r="F69" i="8"/>
  <c r="G30" i="8"/>
  <c r="C31" i="8"/>
  <c r="K31" i="8"/>
  <c r="G32" i="8"/>
  <c r="C33" i="8"/>
  <c r="K33" i="8"/>
  <c r="C35" i="8"/>
  <c r="K35" i="8"/>
  <c r="G36" i="8"/>
  <c r="C37" i="8"/>
  <c r="K37" i="8"/>
  <c r="G38" i="8"/>
  <c r="C39" i="8"/>
  <c r="K39" i="8"/>
  <c r="G40" i="8"/>
  <c r="C41" i="8"/>
  <c r="K41" i="8"/>
  <c r="G44" i="8"/>
  <c r="C45" i="8"/>
  <c r="K45" i="8"/>
  <c r="G46" i="8"/>
  <c r="C47" i="8"/>
  <c r="K47" i="8"/>
  <c r="C49" i="8"/>
  <c r="K49" i="8"/>
  <c r="G50" i="8"/>
  <c r="C51" i="8"/>
  <c r="K51" i="8"/>
  <c r="G52" i="8"/>
  <c r="C53" i="8"/>
  <c r="K53" i="8"/>
  <c r="G54" i="8"/>
  <c r="C55" i="8"/>
  <c r="K55" i="8"/>
  <c r="J30" i="8"/>
  <c r="F33" i="8"/>
  <c r="F37" i="8"/>
  <c r="B50" i="8"/>
  <c r="F51" i="8"/>
  <c r="B54" i="8"/>
  <c r="H30" i="8"/>
  <c r="D31" i="8"/>
  <c r="L31" i="8"/>
  <c r="H32" i="8"/>
  <c r="D33" i="8"/>
  <c r="L33" i="8"/>
  <c r="D35" i="8"/>
  <c r="L35" i="8"/>
  <c r="H36" i="8"/>
  <c r="D37" i="8"/>
  <c r="L37" i="8"/>
  <c r="H38" i="8"/>
  <c r="D39" i="8"/>
  <c r="L39" i="8"/>
  <c r="H40" i="8"/>
  <c r="D41" i="8"/>
  <c r="L41" i="8"/>
  <c r="H44" i="8"/>
  <c r="D45" i="8"/>
  <c r="L45" i="8"/>
  <c r="H46" i="8"/>
  <c r="D47" i="8"/>
  <c r="L47" i="8"/>
  <c r="D49" i="8"/>
  <c r="L49" i="8"/>
  <c r="H50" i="8"/>
  <c r="D51" i="8"/>
  <c r="L51" i="8"/>
  <c r="H52" i="8"/>
  <c r="D53" i="8"/>
  <c r="L53" i="8"/>
  <c r="H54" i="8"/>
  <c r="D55" i="8"/>
  <c r="L55" i="8"/>
  <c r="I30" i="8"/>
  <c r="E31" i="8"/>
  <c r="M31" i="8"/>
  <c r="I32" i="8"/>
  <c r="E33" i="8"/>
  <c r="M33" i="8"/>
  <c r="E35" i="8"/>
  <c r="M35" i="8"/>
  <c r="I36" i="8"/>
  <c r="E37" i="8"/>
  <c r="M37" i="8"/>
  <c r="I38" i="8"/>
  <c r="E39" i="8"/>
  <c r="M39" i="8"/>
  <c r="I40" i="8"/>
  <c r="E41" i="8"/>
  <c r="M41" i="8"/>
  <c r="I44" i="8"/>
  <c r="E45" i="8"/>
  <c r="M45" i="8"/>
  <c r="I46" i="8"/>
  <c r="E47" i="8"/>
  <c r="M47" i="8"/>
  <c r="E49" i="8"/>
  <c r="M49" i="8"/>
  <c r="I50" i="8"/>
  <c r="E51" i="8"/>
  <c r="M51" i="8"/>
  <c r="I52" i="8"/>
  <c r="E53" i="8"/>
  <c r="M53" i="8"/>
  <c r="I54" i="8"/>
  <c r="E55" i="8"/>
  <c r="M55" i="8"/>
  <c r="B40" i="7"/>
  <c r="F59" i="7"/>
  <c r="F45" i="7"/>
  <c r="B60" i="7"/>
  <c r="B46" i="7"/>
  <c r="J60" i="7"/>
  <c r="J46" i="7"/>
  <c r="F61" i="7"/>
  <c r="F47" i="7"/>
  <c r="F63" i="7"/>
  <c r="F49" i="7"/>
  <c r="B64" i="7"/>
  <c r="B50" i="7"/>
  <c r="J64" i="7"/>
  <c r="J50" i="7"/>
  <c r="F65" i="7"/>
  <c r="F51" i="7"/>
  <c r="B66" i="7"/>
  <c r="B52" i="7"/>
  <c r="J66" i="7"/>
  <c r="J52" i="7"/>
  <c r="F69" i="7"/>
  <c r="F55" i="7"/>
  <c r="B30" i="7"/>
  <c r="F35" i="7"/>
  <c r="J40" i="7"/>
  <c r="J30" i="7"/>
  <c r="B36" i="7"/>
  <c r="F31" i="7"/>
  <c r="J36" i="7"/>
  <c r="B44" i="7"/>
  <c r="B32" i="7"/>
  <c r="F37" i="7"/>
  <c r="J44" i="7"/>
  <c r="J32" i="7"/>
  <c r="B38" i="7"/>
  <c r="F67" i="7"/>
  <c r="F33" i="7"/>
  <c r="J38" i="7"/>
  <c r="B68" i="7"/>
  <c r="F39" i="7"/>
  <c r="J68" i="7"/>
  <c r="C30" i="7"/>
  <c r="K30" i="7"/>
  <c r="G31" i="7"/>
  <c r="C32" i="7"/>
  <c r="K32" i="7"/>
  <c r="G33" i="7"/>
  <c r="G35" i="7"/>
  <c r="C36" i="7"/>
  <c r="K36" i="7"/>
  <c r="G37" i="7"/>
  <c r="C38" i="7"/>
  <c r="K38" i="7"/>
  <c r="G39" i="7"/>
  <c r="C40" i="7"/>
  <c r="K40" i="7"/>
  <c r="G41" i="7"/>
  <c r="C44" i="7"/>
  <c r="K44" i="7"/>
  <c r="G45" i="7"/>
  <c r="C46" i="7"/>
  <c r="K46" i="7"/>
  <c r="G47" i="7"/>
  <c r="G49" i="7"/>
  <c r="C50" i="7"/>
  <c r="K50" i="7"/>
  <c r="G51" i="7"/>
  <c r="C52" i="7"/>
  <c r="K52" i="7"/>
  <c r="G53" i="7"/>
  <c r="C54" i="7"/>
  <c r="K54" i="7"/>
  <c r="G55" i="7"/>
  <c r="D30" i="7"/>
  <c r="L30" i="7"/>
  <c r="H31" i="7"/>
  <c r="D32" i="7"/>
  <c r="L32" i="7"/>
  <c r="H33" i="7"/>
  <c r="H35" i="7"/>
  <c r="D36" i="7"/>
  <c r="L36" i="7"/>
  <c r="H37" i="7"/>
  <c r="D38" i="7"/>
  <c r="L38" i="7"/>
  <c r="H39" i="7"/>
  <c r="D40" i="7"/>
  <c r="L40" i="7"/>
  <c r="H41" i="7"/>
  <c r="D44" i="7"/>
  <c r="L44" i="7"/>
  <c r="H45" i="7"/>
  <c r="D46" i="7"/>
  <c r="L46" i="7"/>
  <c r="H47" i="7"/>
  <c r="H49" i="7"/>
  <c r="D50" i="7"/>
  <c r="L50" i="7"/>
  <c r="H51" i="7"/>
  <c r="D52" i="7"/>
  <c r="L52" i="7"/>
  <c r="H53" i="7"/>
  <c r="D54" i="7"/>
  <c r="L54" i="7"/>
  <c r="H55" i="7"/>
  <c r="E30" i="7"/>
  <c r="M30" i="7"/>
  <c r="I31" i="7"/>
  <c r="E32" i="7"/>
  <c r="M32" i="7"/>
  <c r="I33" i="7"/>
  <c r="I35" i="7"/>
  <c r="E36" i="7"/>
  <c r="M36" i="7"/>
  <c r="I37" i="7"/>
  <c r="E38" i="7"/>
  <c r="M38" i="7"/>
  <c r="I39" i="7"/>
  <c r="E40" i="7"/>
  <c r="M40" i="7"/>
  <c r="I41" i="7"/>
  <c r="E44" i="7"/>
  <c r="M44" i="7"/>
  <c r="I45" i="7"/>
  <c r="E46" i="7"/>
  <c r="M46" i="7"/>
  <c r="I47" i="7"/>
  <c r="I49" i="7"/>
  <c r="E50" i="7"/>
  <c r="M50" i="7"/>
  <c r="I51" i="7"/>
  <c r="E52" i="7"/>
  <c r="M52" i="7"/>
  <c r="I53" i="7"/>
  <c r="E54" i="7"/>
  <c r="M54" i="7"/>
  <c r="I55" i="7"/>
  <c r="F30" i="7"/>
  <c r="B31" i="7"/>
  <c r="J31" i="7"/>
  <c r="F32" i="7"/>
  <c r="B33" i="7"/>
  <c r="J33" i="7"/>
  <c r="B35" i="7"/>
  <c r="J35" i="7"/>
  <c r="F36" i="7"/>
  <c r="B37" i="7"/>
  <c r="J37" i="7"/>
  <c r="F38" i="7"/>
  <c r="B39" i="7"/>
  <c r="J39" i="7"/>
  <c r="F40" i="7"/>
  <c r="B41" i="7"/>
  <c r="J41" i="7"/>
  <c r="F44" i="7"/>
  <c r="B45" i="7"/>
  <c r="J45" i="7"/>
  <c r="F46" i="7"/>
  <c r="B47" i="7"/>
  <c r="J47" i="7"/>
  <c r="B49" i="7"/>
  <c r="J49" i="7"/>
  <c r="F50" i="7"/>
  <c r="B51" i="7"/>
  <c r="J51" i="7"/>
  <c r="F52" i="7"/>
  <c r="B53" i="7"/>
  <c r="J53" i="7"/>
  <c r="F54" i="7"/>
  <c r="B55" i="7"/>
  <c r="J55" i="7"/>
  <c r="G30" i="7"/>
  <c r="C31" i="7"/>
  <c r="K31" i="7"/>
  <c r="G32" i="7"/>
  <c r="C33" i="7"/>
  <c r="K33" i="7"/>
  <c r="C35" i="7"/>
  <c r="K35" i="7"/>
  <c r="G36" i="7"/>
  <c r="C37" i="7"/>
  <c r="K37" i="7"/>
  <c r="G38" i="7"/>
  <c r="C39" i="7"/>
  <c r="K39" i="7"/>
  <c r="G40" i="7"/>
  <c r="C41" i="7"/>
  <c r="K41" i="7"/>
  <c r="G44" i="7"/>
  <c r="C45" i="7"/>
  <c r="K45" i="7"/>
  <c r="G46" i="7"/>
  <c r="C47" i="7"/>
  <c r="K47" i="7"/>
  <c r="C49" i="7"/>
  <c r="K49" i="7"/>
  <c r="G50" i="7"/>
  <c r="C51" i="7"/>
  <c r="K51" i="7"/>
  <c r="G52" i="7"/>
  <c r="C53" i="7"/>
  <c r="K53" i="7"/>
  <c r="G54" i="7"/>
  <c r="C55" i="7"/>
  <c r="K55" i="7"/>
  <c r="H30" i="7"/>
  <c r="D31" i="7"/>
  <c r="L31" i="7"/>
  <c r="H32" i="7"/>
  <c r="D33" i="7"/>
  <c r="L33" i="7"/>
  <c r="D35" i="7"/>
  <c r="L35" i="7"/>
  <c r="H36" i="7"/>
  <c r="D37" i="7"/>
  <c r="L37" i="7"/>
  <c r="H38" i="7"/>
  <c r="D39" i="7"/>
  <c r="L39" i="7"/>
  <c r="H40" i="7"/>
  <c r="D41" i="7"/>
  <c r="L41" i="7"/>
  <c r="H44" i="7"/>
  <c r="D45" i="7"/>
  <c r="L45" i="7"/>
  <c r="H46" i="7"/>
  <c r="D47" i="7"/>
  <c r="L47" i="7"/>
  <c r="D49" i="7"/>
  <c r="L49" i="7"/>
  <c r="H50" i="7"/>
  <c r="D51" i="7"/>
  <c r="L51" i="7"/>
  <c r="H52" i="7"/>
  <c r="D53" i="7"/>
  <c r="L53" i="7"/>
  <c r="H54" i="7"/>
  <c r="D55" i="7"/>
  <c r="L55" i="7"/>
  <c r="I30" i="7"/>
  <c r="E31" i="7"/>
  <c r="M31" i="7"/>
  <c r="I32" i="7"/>
  <c r="E33" i="7"/>
  <c r="M33" i="7"/>
  <c r="E35" i="7"/>
  <c r="M35" i="7"/>
  <c r="I36" i="7"/>
  <c r="E37" i="7"/>
  <c r="M37" i="7"/>
  <c r="I38" i="7"/>
  <c r="E39" i="7"/>
  <c r="M39" i="7"/>
  <c r="I40" i="7"/>
  <c r="E41" i="7"/>
  <c r="M41" i="7"/>
  <c r="I44" i="7"/>
  <c r="E45" i="7"/>
  <c r="M45" i="7"/>
  <c r="I46" i="7"/>
  <c r="E47" i="7"/>
  <c r="M47" i="7"/>
  <c r="E49" i="7"/>
  <c r="M49" i="7"/>
  <c r="I50" i="7"/>
  <c r="E51" i="7"/>
  <c r="M51" i="7"/>
  <c r="I52" i="7"/>
  <c r="E53" i="7"/>
  <c r="M53" i="7"/>
  <c r="I54" i="7"/>
  <c r="E55" i="7"/>
  <c r="M55" i="7"/>
  <c r="B58" i="6"/>
  <c r="B44" i="6"/>
  <c r="J58" i="6"/>
  <c r="J44" i="6"/>
  <c r="F59" i="6"/>
  <c r="F45" i="6"/>
  <c r="B60" i="6"/>
  <c r="B46" i="6"/>
  <c r="J60" i="6"/>
  <c r="J46" i="6"/>
  <c r="F61" i="6"/>
  <c r="F47" i="6"/>
  <c r="F63" i="6"/>
  <c r="F49" i="6"/>
  <c r="B64" i="6"/>
  <c r="B50" i="6"/>
  <c r="J64" i="6"/>
  <c r="J50" i="6"/>
  <c r="F65" i="6"/>
  <c r="F51" i="6"/>
  <c r="F69" i="6"/>
  <c r="F55" i="6"/>
  <c r="B30" i="6"/>
  <c r="F35" i="6"/>
  <c r="J40" i="6"/>
  <c r="F31" i="6"/>
  <c r="J36" i="6"/>
  <c r="B66" i="6"/>
  <c r="B32" i="6"/>
  <c r="F37" i="6"/>
  <c r="J66" i="6"/>
  <c r="J32" i="6"/>
  <c r="B38" i="6"/>
  <c r="F67" i="6"/>
  <c r="F33" i="6"/>
  <c r="J38" i="6"/>
  <c r="B68" i="6"/>
  <c r="C30" i="6"/>
  <c r="K30" i="6"/>
  <c r="G31" i="6"/>
  <c r="C32" i="6"/>
  <c r="K32" i="6"/>
  <c r="G33" i="6"/>
  <c r="G35" i="6"/>
  <c r="C36" i="6"/>
  <c r="K36" i="6"/>
  <c r="G37" i="6"/>
  <c r="C38" i="6"/>
  <c r="K38" i="6"/>
  <c r="G39" i="6"/>
  <c r="C40" i="6"/>
  <c r="K40" i="6"/>
  <c r="G41" i="6"/>
  <c r="C44" i="6"/>
  <c r="K44" i="6"/>
  <c r="G45" i="6"/>
  <c r="C46" i="6"/>
  <c r="K46" i="6"/>
  <c r="G47" i="6"/>
  <c r="G49" i="6"/>
  <c r="C50" i="6"/>
  <c r="K50" i="6"/>
  <c r="G51" i="6"/>
  <c r="C52" i="6"/>
  <c r="K52" i="6"/>
  <c r="G53" i="6"/>
  <c r="C54" i="6"/>
  <c r="K54" i="6"/>
  <c r="G55" i="6"/>
  <c r="D30" i="6"/>
  <c r="L30" i="6"/>
  <c r="H31" i="6"/>
  <c r="D32" i="6"/>
  <c r="L32" i="6"/>
  <c r="H33" i="6"/>
  <c r="H35" i="6"/>
  <c r="D36" i="6"/>
  <c r="L36" i="6"/>
  <c r="H37" i="6"/>
  <c r="D38" i="6"/>
  <c r="L38" i="6"/>
  <c r="H39" i="6"/>
  <c r="D40" i="6"/>
  <c r="L40" i="6"/>
  <c r="H41" i="6"/>
  <c r="D44" i="6"/>
  <c r="L44" i="6"/>
  <c r="H45" i="6"/>
  <c r="D46" i="6"/>
  <c r="L46" i="6"/>
  <c r="H47" i="6"/>
  <c r="H49" i="6"/>
  <c r="D50" i="6"/>
  <c r="L50" i="6"/>
  <c r="H51" i="6"/>
  <c r="D52" i="6"/>
  <c r="L52" i="6"/>
  <c r="H53" i="6"/>
  <c r="D54" i="6"/>
  <c r="L54" i="6"/>
  <c r="H55" i="6"/>
  <c r="E30" i="6"/>
  <c r="M30" i="6"/>
  <c r="I31" i="6"/>
  <c r="E32" i="6"/>
  <c r="M32" i="6"/>
  <c r="I33" i="6"/>
  <c r="I35" i="6"/>
  <c r="E36" i="6"/>
  <c r="M36" i="6"/>
  <c r="I37" i="6"/>
  <c r="E38" i="6"/>
  <c r="M38" i="6"/>
  <c r="I39" i="6"/>
  <c r="E40" i="6"/>
  <c r="M40" i="6"/>
  <c r="I41" i="6"/>
  <c r="E44" i="6"/>
  <c r="M44" i="6"/>
  <c r="I45" i="6"/>
  <c r="E46" i="6"/>
  <c r="M46" i="6"/>
  <c r="I47" i="6"/>
  <c r="I49" i="6"/>
  <c r="E50" i="6"/>
  <c r="M50" i="6"/>
  <c r="I51" i="6"/>
  <c r="E52" i="6"/>
  <c r="M52" i="6"/>
  <c r="I53" i="6"/>
  <c r="E54" i="6"/>
  <c r="M54" i="6"/>
  <c r="I55" i="6"/>
  <c r="F30" i="6"/>
  <c r="B31" i="6"/>
  <c r="J31" i="6"/>
  <c r="F32" i="6"/>
  <c r="B33" i="6"/>
  <c r="J33" i="6"/>
  <c r="B35" i="6"/>
  <c r="J35" i="6"/>
  <c r="F36" i="6"/>
  <c r="B37" i="6"/>
  <c r="J37" i="6"/>
  <c r="F38" i="6"/>
  <c r="B39" i="6"/>
  <c r="J39" i="6"/>
  <c r="F40" i="6"/>
  <c r="B41" i="6"/>
  <c r="J41" i="6"/>
  <c r="F44" i="6"/>
  <c r="B45" i="6"/>
  <c r="J45" i="6"/>
  <c r="F46" i="6"/>
  <c r="B47" i="6"/>
  <c r="J47" i="6"/>
  <c r="B49" i="6"/>
  <c r="J49" i="6"/>
  <c r="F50" i="6"/>
  <c r="B51" i="6"/>
  <c r="J51" i="6"/>
  <c r="F52" i="6"/>
  <c r="B53" i="6"/>
  <c r="J53" i="6"/>
  <c r="F54" i="6"/>
  <c r="B55" i="6"/>
  <c r="J55" i="6"/>
  <c r="G30" i="6"/>
  <c r="C31" i="6"/>
  <c r="K31" i="6"/>
  <c r="G32" i="6"/>
  <c r="C33" i="6"/>
  <c r="K33" i="6"/>
  <c r="C35" i="6"/>
  <c r="K35" i="6"/>
  <c r="G36" i="6"/>
  <c r="C37" i="6"/>
  <c r="K37" i="6"/>
  <c r="G38" i="6"/>
  <c r="C39" i="6"/>
  <c r="K39" i="6"/>
  <c r="G40" i="6"/>
  <c r="C41" i="6"/>
  <c r="K41" i="6"/>
  <c r="G44" i="6"/>
  <c r="C45" i="6"/>
  <c r="K45" i="6"/>
  <c r="G46" i="6"/>
  <c r="C47" i="6"/>
  <c r="K47" i="6"/>
  <c r="C49" i="6"/>
  <c r="K49" i="6"/>
  <c r="G50" i="6"/>
  <c r="C51" i="6"/>
  <c r="K51" i="6"/>
  <c r="G52" i="6"/>
  <c r="C53" i="6"/>
  <c r="K53" i="6"/>
  <c r="G54" i="6"/>
  <c r="C55" i="6"/>
  <c r="K55" i="6"/>
  <c r="H30" i="6"/>
  <c r="D31" i="6"/>
  <c r="L31" i="6"/>
  <c r="H32" i="6"/>
  <c r="D33" i="6"/>
  <c r="L33" i="6"/>
  <c r="D35" i="6"/>
  <c r="L35" i="6"/>
  <c r="H36" i="6"/>
  <c r="D37" i="6"/>
  <c r="L37" i="6"/>
  <c r="H38" i="6"/>
  <c r="D39" i="6"/>
  <c r="L39" i="6"/>
  <c r="H40" i="6"/>
  <c r="D41" i="6"/>
  <c r="L41" i="6"/>
  <c r="H44" i="6"/>
  <c r="D45" i="6"/>
  <c r="L45" i="6"/>
  <c r="H46" i="6"/>
  <c r="D47" i="6"/>
  <c r="L47" i="6"/>
  <c r="D49" i="6"/>
  <c r="L49" i="6"/>
  <c r="H50" i="6"/>
  <c r="D51" i="6"/>
  <c r="L51" i="6"/>
  <c r="H52" i="6"/>
  <c r="D53" i="6"/>
  <c r="L53" i="6"/>
  <c r="H54" i="6"/>
  <c r="D55" i="6"/>
  <c r="L55" i="6"/>
  <c r="I30" i="6"/>
  <c r="E31" i="6"/>
  <c r="M31" i="6"/>
  <c r="I32" i="6"/>
  <c r="E33" i="6"/>
  <c r="M33" i="6"/>
  <c r="E35" i="6"/>
  <c r="M35" i="6"/>
  <c r="I36" i="6"/>
  <c r="E37" i="6"/>
  <c r="M37" i="6"/>
  <c r="I38" i="6"/>
  <c r="E39" i="6"/>
  <c r="M39" i="6"/>
  <c r="I40" i="6"/>
  <c r="E41" i="6"/>
  <c r="M41" i="6"/>
  <c r="I44" i="6"/>
  <c r="E45" i="6"/>
  <c r="M45" i="6"/>
  <c r="I46" i="6"/>
  <c r="E47" i="6"/>
  <c r="M47" i="6"/>
  <c r="E49" i="6"/>
  <c r="M49" i="6"/>
  <c r="I50" i="6"/>
  <c r="E51" i="6"/>
  <c r="M51" i="6"/>
  <c r="I52" i="6"/>
  <c r="E53" i="6"/>
  <c r="M53" i="6"/>
  <c r="I54" i="6"/>
  <c r="E55" i="6"/>
  <c r="M55" i="6"/>
  <c r="B30" i="5"/>
  <c r="F31" i="5"/>
  <c r="J32" i="5"/>
  <c r="F35" i="5"/>
  <c r="J36" i="5"/>
  <c r="B38" i="5"/>
  <c r="F39" i="5"/>
  <c r="J40" i="5"/>
  <c r="J44" i="5"/>
  <c r="B46" i="5"/>
  <c r="F47" i="5"/>
  <c r="B50" i="5"/>
  <c r="F51" i="5"/>
  <c r="J52" i="5"/>
  <c r="B54" i="5"/>
  <c r="B58" i="5"/>
  <c r="F59" i="5"/>
  <c r="J60" i="5"/>
  <c r="F63" i="5"/>
  <c r="J64" i="5"/>
  <c r="F69" i="5"/>
  <c r="C30" i="5"/>
  <c r="K30" i="5"/>
  <c r="G31" i="5"/>
  <c r="C32" i="5"/>
  <c r="K32" i="5"/>
  <c r="G33" i="5"/>
  <c r="G35" i="5"/>
  <c r="C36" i="5"/>
  <c r="K36" i="5"/>
  <c r="G37" i="5"/>
  <c r="C38" i="5"/>
  <c r="K38" i="5"/>
  <c r="G39" i="5"/>
  <c r="C40" i="5"/>
  <c r="K40" i="5"/>
  <c r="G41" i="5"/>
  <c r="C44" i="5"/>
  <c r="K44" i="5"/>
  <c r="G45" i="5"/>
  <c r="C46" i="5"/>
  <c r="K46" i="5"/>
  <c r="G47" i="5"/>
  <c r="G49" i="5"/>
  <c r="C50" i="5"/>
  <c r="K50" i="5"/>
  <c r="G51" i="5"/>
  <c r="C52" i="5"/>
  <c r="K52" i="5"/>
  <c r="G53" i="5"/>
  <c r="C54" i="5"/>
  <c r="K54" i="5"/>
  <c r="G55" i="5"/>
  <c r="D30" i="5"/>
  <c r="L30" i="5"/>
  <c r="H31" i="5"/>
  <c r="D32" i="5"/>
  <c r="L32" i="5"/>
  <c r="H33" i="5"/>
  <c r="H35" i="5"/>
  <c r="D36" i="5"/>
  <c r="L36" i="5"/>
  <c r="H37" i="5"/>
  <c r="D38" i="5"/>
  <c r="L38" i="5"/>
  <c r="H39" i="5"/>
  <c r="D40" i="5"/>
  <c r="L40" i="5"/>
  <c r="H41" i="5"/>
  <c r="D44" i="5"/>
  <c r="L44" i="5"/>
  <c r="H45" i="5"/>
  <c r="D46" i="5"/>
  <c r="L46" i="5"/>
  <c r="H47" i="5"/>
  <c r="H49" i="5"/>
  <c r="D50" i="5"/>
  <c r="L50" i="5"/>
  <c r="H51" i="5"/>
  <c r="D52" i="5"/>
  <c r="L52" i="5"/>
  <c r="H53" i="5"/>
  <c r="D54" i="5"/>
  <c r="L54" i="5"/>
  <c r="H55" i="5"/>
  <c r="J30" i="5"/>
  <c r="B32" i="5"/>
  <c r="F33" i="5"/>
  <c r="B36" i="5"/>
  <c r="F37" i="5"/>
  <c r="J38" i="5"/>
  <c r="B40" i="5"/>
  <c r="F41" i="5"/>
  <c r="F53" i="5"/>
  <c r="E30" i="5"/>
  <c r="M30" i="5"/>
  <c r="I31" i="5"/>
  <c r="E32" i="5"/>
  <c r="M32" i="5"/>
  <c r="I33" i="5"/>
  <c r="I35" i="5"/>
  <c r="E36" i="5"/>
  <c r="M36" i="5"/>
  <c r="I37" i="5"/>
  <c r="E38" i="5"/>
  <c r="M38" i="5"/>
  <c r="I39" i="5"/>
  <c r="E40" i="5"/>
  <c r="M40" i="5"/>
  <c r="I41" i="5"/>
  <c r="E44" i="5"/>
  <c r="M44" i="5"/>
  <c r="I45" i="5"/>
  <c r="E46" i="5"/>
  <c r="M46" i="5"/>
  <c r="I47" i="5"/>
  <c r="I49" i="5"/>
  <c r="E50" i="5"/>
  <c r="M50" i="5"/>
  <c r="I51" i="5"/>
  <c r="E52" i="5"/>
  <c r="M52" i="5"/>
  <c r="I53" i="5"/>
  <c r="E54" i="5"/>
  <c r="M54" i="5"/>
  <c r="I55" i="5"/>
  <c r="F30" i="5"/>
  <c r="B31" i="5"/>
  <c r="J31" i="5"/>
  <c r="F32" i="5"/>
  <c r="B33" i="5"/>
  <c r="J33" i="5"/>
  <c r="B35" i="5"/>
  <c r="J35" i="5"/>
  <c r="F36" i="5"/>
  <c r="B37" i="5"/>
  <c r="J37" i="5"/>
  <c r="F38" i="5"/>
  <c r="B39" i="5"/>
  <c r="J39" i="5"/>
  <c r="F40" i="5"/>
  <c r="B41" i="5"/>
  <c r="J41" i="5"/>
  <c r="F44" i="5"/>
  <c r="B45" i="5"/>
  <c r="J45" i="5"/>
  <c r="F46" i="5"/>
  <c r="B47" i="5"/>
  <c r="J47" i="5"/>
  <c r="B49" i="5"/>
  <c r="J49" i="5"/>
  <c r="F50" i="5"/>
  <c r="B51" i="5"/>
  <c r="J51" i="5"/>
  <c r="F52" i="5"/>
  <c r="B53" i="5"/>
  <c r="J53" i="5"/>
  <c r="F54" i="5"/>
  <c r="B55" i="5"/>
  <c r="J55" i="5"/>
  <c r="G30" i="5"/>
  <c r="C31" i="5"/>
  <c r="K31" i="5"/>
  <c r="G32" i="5"/>
  <c r="C33" i="5"/>
  <c r="K33" i="5"/>
  <c r="C35" i="5"/>
  <c r="K35" i="5"/>
  <c r="G36" i="5"/>
  <c r="C37" i="5"/>
  <c r="K37" i="5"/>
  <c r="G38" i="5"/>
  <c r="C39" i="5"/>
  <c r="K39" i="5"/>
  <c r="G40" i="5"/>
  <c r="C41" i="5"/>
  <c r="K41" i="5"/>
  <c r="G44" i="5"/>
  <c r="C45" i="5"/>
  <c r="K45" i="5"/>
  <c r="G46" i="5"/>
  <c r="C47" i="5"/>
  <c r="K47" i="5"/>
  <c r="C49" i="5"/>
  <c r="K49" i="5"/>
  <c r="G50" i="5"/>
  <c r="C51" i="5"/>
  <c r="K51" i="5"/>
  <c r="G52" i="5"/>
  <c r="C53" i="5"/>
  <c r="K53" i="5"/>
  <c r="G54" i="5"/>
  <c r="C55" i="5"/>
  <c r="K55" i="5"/>
  <c r="H30" i="5"/>
  <c r="D31" i="5"/>
  <c r="L31" i="5"/>
  <c r="H32" i="5"/>
  <c r="D33" i="5"/>
  <c r="L33" i="5"/>
  <c r="D35" i="5"/>
  <c r="L35" i="5"/>
  <c r="H36" i="5"/>
  <c r="D37" i="5"/>
  <c r="L37" i="5"/>
  <c r="H38" i="5"/>
  <c r="D39" i="5"/>
  <c r="L39" i="5"/>
  <c r="H40" i="5"/>
  <c r="D41" i="5"/>
  <c r="L41" i="5"/>
  <c r="H44" i="5"/>
  <c r="D45" i="5"/>
  <c r="L45" i="5"/>
  <c r="H46" i="5"/>
  <c r="D47" i="5"/>
  <c r="L47" i="5"/>
  <c r="D49" i="5"/>
  <c r="L49" i="5"/>
  <c r="H50" i="5"/>
  <c r="D51" i="5"/>
  <c r="L51" i="5"/>
  <c r="H52" i="5"/>
  <c r="D53" i="5"/>
  <c r="L53" i="5"/>
  <c r="H54" i="5"/>
  <c r="D55" i="5"/>
  <c r="L55" i="5"/>
  <c r="I30" i="5"/>
  <c r="E31" i="5"/>
  <c r="M31" i="5"/>
  <c r="I32" i="5"/>
  <c r="E33" i="5"/>
  <c r="M33" i="5"/>
  <c r="E35" i="5"/>
  <c r="M35" i="5"/>
  <c r="I36" i="5"/>
  <c r="E37" i="5"/>
  <c r="M37" i="5"/>
  <c r="I38" i="5"/>
  <c r="E39" i="5"/>
  <c r="M39" i="5"/>
  <c r="I40" i="5"/>
  <c r="E41" i="5"/>
  <c r="M41" i="5"/>
  <c r="I44" i="5"/>
  <c r="E45" i="5"/>
  <c r="M45" i="5"/>
  <c r="I46" i="5"/>
  <c r="E47" i="5"/>
  <c r="M47" i="5"/>
  <c r="E49" i="5"/>
  <c r="M49" i="5"/>
  <c r="I50" i="5"/>
  <c r="E51" i="5"/>
  <c r="M51" i="5"/>
  <c r="I52" i="5"/>
  <c r="E53" i="5"/>
  <c r="M53" i="5"/>
  <c r="I54" i="5"/>
  <c r="E55" i="5"/>
  <c r="M55" i="5"/>
  <c r="I58" i="4"/>
  <c r="AK4" i="42" s="1"/>
  <c r="I44" i="4"/>
  <c r="I30" i="4"/>
  <c r="E59" i="4"/>
  <c r="AG5" i="42" s="1"/>
  <c r="E45" i="4"/>
  <c r="E31" i="4"/>
  <c r="M59" i="4"/>
  <c r="M45" i="4"/>
  <c r="M31" i="4"/>
  <c r="I60" i="4"/>
  <c r="I46" i="4"/>
  <c r="I32" i="4"/>
  <c r="F61" i="4"/>
  <c r="F47" i="4"/>
  <c r="F63" i="4"/>
  <c r="F49" i="4"/>
  <c r="B64" i="4"/>
  <c r="B50" i="4"/>
  <c r="J64" i="4"/>
  <c r="J50" i="4"/>
  <c r="F65" i="4"/>
  <c r="F51" i="4"/>
  <c r="B66" i="4"/>
  <c r="B52" i="4"/>
  <c r="J66" i="4"/>
  <c r="J52" i="4"/>
  <c r="F67" i="4"/>
  <c r="F53" i="4"/>
  <c r="B68" i="4"/>
  <c r="B54" i="4"/>
  <c r="J68" i="4"/>
  <c r="J54" i="4"/>
  <c r="F69" i="4"/>
  <c r="F55" i="4"/>
  <c r="B30" i="4"/>
  <c r="F35" i="4"/>
  <c r="J40" i="4"/>
  <c r="F31" i="4"/>
  <c r="J36" i="4"/>
  <c r="B44" i="4"/>
  <c r="B32" i="4"/>
  <c r="J44" i="4"/>
  <c r="J32" i="4"/>
  <c r="B38" i="4"/>
  <c r="F45" i="4"/>
  <c r="F33" i="4"/>
  <c r="B46" i="4"/>
  <c r="J46" i="4"/>
  <c r="C30" i="4"/>
  <c r="K30" i="4"/>
  <c r="G31" i="4"/>
  <c r="C32" i="4"/>
  <c r="K32" i="4"/>
  <c r="G33" i="4"/>
  <c r="G35" i="4"/>
  <c r="C36" i="4"/>
  <c r="K36" i="4"/>
  <c r="G37" i="4"/>
  <c r="C38" i="4"/>
  <c r="K38" i="4"/>
  <c r="G39" i="4"/>
  <c r="C40" i="4"/>
  <c r="K40" i="4"/>
  <c r="G41" i="4"/>
  <c r="C44" i="4"/>
  <c r="K44" i="4"/>
  <c r="G45" i="4"/>
  <c r="C46" i="4"/>
  <c r="K46" i="4"/>
  <c r="G47" i="4"/>
  <c r="G49" i="4"/>
  <c r="C50" i="4"/>
  <c r="K50" i="4"/>
  <c r="G51" i="4"/>
  <c r="C52" i="4"/>
  <c r="K52" i="4"/>
  <c r="G53" i="4"/>
  <c r="C54" i="4"/>
  <c r="K54" i="4"/>
  <c r="G55" i="4"/>
  <c r="D30" i="4"/>
  <c r="L30" i="4"/>
  <c r="H31" i="4"/>
  <c r="D32" i="4"/>
  <c r="L32" i="4"/>
  <c r="H33" i="4"/>
  <c r="H35" i="4"/>
  <c r="D36" i="4"/>
  <c r="L36" i="4"/>
  <c r="H37" i="4"/>
  <c r="D38" i="4"/>
  <c r="L38" i="4"/>
  <c r="H39" i="4"/>
  <c r="D40" i="4"/>
  <c r="L40" i="4"/>
  <c r="H41" i="4"/>
  <c r="D44" i="4"/>
  <c r="L44" i="4"/>
  <c r="H45" i="4"/>
  <c r="D46" i="4"/>
  <c r="L46" i="4"/>
  <c r="H47" i="4"/>
  <c r="H49" i="4"/>
  <c r="D50" i="4"/>
  <c r="L50" i="4"/>
  <c r="H51" i="4"/>
  <c r="D52" i="4"/>
  <c r="L52" i="4"/>
  <c r="H53" i="4"/>
  <c r="D54" i="4"/>
  <c r="L54" i="4"/>
  <c r="H55" i="4"/>
  <c r="E30" i="4"/>
  <c r="M30" i="4"/>
  <c r="I31" i="4"/>
  <c r="E32" i="4"/>
  <c r="M32" i="4"/>
  <c r="I33" i="4"/>
  <c r="I35" i="4"/>
  <c r="E36" i="4"/>
  <c r="M36" i="4"/>
  <c r="I37" i="4"/>
  <c r="E38" i="4"/>
  <c r="M38" i="4"/>
  <c r="I39" i="4"/>
  <c r="E40" i="4"/>
  <c r="M40" i="4"/>
  <c r="I41" i="4"/>
  <c r="E44" i="4"/>
  <c r="M44" i="4"/>
  <c r="I45" i="4"/>
  <c r="E46" i="4"/>
  <c r="M46" i="4"/>
  <c r="I47" i="4"/>
  <c r="I49" i="4"/>
  <c r="E50" i="4"/>
  <c r="M50" i="4"/>
  <c r="I51" i="4"/>
  <c r="E52" i="4"/>
  <c r="M52" i="4"/>
  <c r="I53" i="4"/>
  <c r="E54" i="4"/>
  <c r="M54" i="4"/>
  <c r="I55" i="4"/>
  <c r="F30" i="4"/>
  <c r="B31" i="4"/>
  <c r="J31" i="4"/>
  <c r="F32" i="4"/>
  <c r="B33" i="4"/>
  <c r="J33" i="4"/>
  <c r="B35" i="4"/>
  <c r="J35" i="4"/>
  <c r="F36" i="4"/>
  <c r="B37" i="4"/>
  <c r="J37" i="4"/>
  <c r="F38" i="4"/>
  <c r="B39" i="4"/>
  <c r="J39" i="4"/>
  <c r="F40" i="4"/>
  <c r="B41" i="4"/>
  <c r="J41" i="4"/>
  <c r="F44" i="4"/>
  <c r="B45" i="4"/>
  <c r="J45" i="4"/>
  <c r="F46" i="4"/>
  <c r="B47" i="4"/>
  <c r="J47" i="4"/>
  <c r="B49" i="4"/>
  <c r="J49" i="4"/>
  <c r="F50" i="4"/>
  <c r="B51" i="4"/>
  <c r="J51" i="4"/>
  <c r="F52" i="4"/>
  <c r="B53" i="4"/>
  <c r="J53" i="4"/>
  <c r="F54" i="4"/>
  <c r="B55" i="4"/>
  <c r="J55" i="4"/>
  <c r="G30" i="4"/>
  <c r="C31" i="4"/>
  <c r="K31" i="4"/>
  <c r="G32" i="4"/>
  <c r="C33" i="4"/>
  <c r="K33" i="4"/>
  <c r="C35" i="4"/>
  <c r="K35" i="4"/>
  <c r="G36" i="4"/>
  <c r="C37" i="4"/>
  <c r="K37" i="4"/>
  <c r="G38" i="4"/>
  <c r="C39" i="4"/>
  <c r="K39" i="4"/>
  <c r="G40" i="4"/>
  <c r="C41" i="4"/>
  <c r="K41" i="4"/>
  <c r="G44" i="4"/>
  <c r="C45" i="4"/>
  <c r="K45" i="4"/>
  <c r="G46" i="4"/>
  <c r="C47" i="4"/>
  <c r="K47" i="4"/>
  <c r="C49" i="4"/>
  <c r="K49" i="4"/>
  <c r="G50" i="4"/>
  <c r="C51" i="4"/>
  <c r="K51" i="4"/>
  <c r="G52" i="4"/>
  <c r="C53" i="4"/>
  <c r="K53" i="4"/>
  <c r="G54" i="4"/>
  <c r="C55" i="4"/>
  <c r="K55" i="4"/>
  <c r="H30" i="4"/>
  <c r="D31" i="4"/>
  <c r="L31" i="4"/>
  <c r="H32" i="4"/>
  <c r="D33" i="4"/>
  <c r="L33" i="4"/>
  <c r="D35" i="4"/>
  <c r="L35" i="4"/>
  <c r="H36" i="4"/>
  <c r="D37" i="4"/>
  <c r="L37" i="4"/>
  <c r="H38" i="4"/>
  <c r="D39" i="4"/>
  <c r="L39" i="4"/>
  <c r="H40" i="4"/>
  <c r="D41" i="4"/>
  <c r="L41" i="4"/>
  <c r="H44" i="4"/>
  <c r="D45" i="4"/>
  <c r="L45" i="4"/>
  <c r="H46" i="4"/>
  <c r="D47" i="4"/>
  <c r="L47" i="4"/>
  <c r="D49" i="4"/>
  <c r="L49" i="4"/>
  <c r="H50" i="4"/>
  <c r="D51" i="4"/>
  <c r="L51" i="4"/>
  <c r="H52" i="4"/>
  <c r="D53" i="4"/>
  <c r="L53" i="4"/>
  <c r="H54" i="4"/>
  <c r="D55" i="4"/>
  <c r="L55" i="4"/>
  <c r="E33" i="4"/>
  <c r="M33" i="4"/>
  <c r="E35" i="4"/>
  <c r="M35" i="4"/>
  <c r="I36" i="4"/>
  <c r="E37" i="4"/>
  <c r="M37" i="4"/>
  <c r="I38" i="4"/>
  <c r="E39" i="4"/>
  <c r="M39" i="4"/>
  <c r="I40" i="4"/>
  <c r="E41" i="4"/>
  <c r="M41" i="4"/>
  <c r="E47" i="4"/>
  <c r="M47" i="4"/>
  <c r="E49" i="4"/>
  <c r="M49" i="4"/>
  <c r="I50" i="4"/>
  <c r="E51" i="4"/>
  <c r="M51" i="4"/>
  <c r="I52" i="4"/>
  <c r="E53" i="4"/>
  <c r="M53" i="4"/>
  <c r="I54" i="4"/>
  <c r="E55" i="4"/>
  <c r="M55" i="4"/>
  <c r="J30" i="3"/>
  <c r="J32" i="3"/>
  <c r="J36" i="3"/>
  <c r="J38" i="3"/>
  <c r="J40" i="3"/>
  <c r="F45" i="3"/>
  <c r="B52" i="3"/>
  <c r="J68" i="3"/>
  <c r="C30" i="3"/>
  <c r="K30" i="3"/>
  <c r="G31" i="3"/>
  <c r="C32" i="3"/>
  <c r="K32" i="3"/>
  <c r="G33" i="3"/>
  <c r="G35" i="3"/>
  <c r="C36" i="3"/>
  <c r="K36" i="3"/>
  <c r="G37" i="3"/>
  <c r="C38" i="3"/>
  <c r="K38" i="3"/>
  <c r="G39" i="3"/>
  <c r="C40" i="3"/>
  <c r="K40" i="3"/>
  <c r="G41" i="3"/>
  <c r="C44" i="3"/>
  <c r="K44" i="3"/>
  <c r="G45" i="3"/>
  <c r="C46" i="3"/>
  <c r="K46" i="3"/>
  <c r="G47" i="3"/>
  <c r="G49" i="3"/>
  <c r="C50" i="3"/>
  <c r="K50" i="3"/>
  <c r="G51" i="3"/>
  <c r="C52" i="3"/>
  <c r="K52" i="3"/>
  <c r="G53" i="3"/>
  <c r="C54" i="3"/>
  <c r="K54" i="3"/>
  <c r="G55" i="3"/>
  <c r="F31" i="3"/>
  <c r="F33" i="3"/>
  <c r="B36" i="3"/>
  <c r="B40" i="3"/>
  <c r="B44" i="3"/>
  <c r="B46" i="3"/>
  <c r="F47" i="3"/>
  <c r="F49" i="3"/>
  <c r="J50" i="3"/>
  <c r="F55" i="3"/>
  <c r="F69" i="3"/>
  <c r="D30" i="3"/>
  <c r="L30" i="3"/>
  <c r="H31" i="3"/>
  <c r="D32" i="3"/>
  <c r="L32" i="3"/>
  <c r="H33" i="3"/>
  <c r="H35" i="3"/>
  <c r="D36" i="3"/>
  <c r="L36" i="3"/>
  <c r="H37" i="3"/>
  <c r="D38" i="3"/>
  <c r="L38" i="3"/>
  <c r="H39" i="3"/>
  <c r="D40" i="3"/>
  <c r="L40" i="3"/>
  <c r="H41" i="3"/>
  <c r="D44" i="3"/>
  <c r="L44" i="3"/>
  <c r="H45" i="3"/>
  <c r="D46" i="3"/>
  <c r="L46" i="3"/>
  <c r="H47" i="3"/>
  <c r="H49" i="3"/>
  <c r="D50" i="3"/>
  <c r="L50" i="3"/>
  <c r="H51" i="3"/>
  <c r="D52" i="3"/>
  <c r="L52" i="3"/>
  <c r="H53" i="3"/>
  <c r="D54" i="3"/>
  <c r="L54" i="3"/>
  <c r="H55" i="3"/>
  <c r="B30" i="3"/>
  <c r="B32" i="3"/>
  <c r="F35" i="3"/>
  <c r="F37" i="3"/>
  <c r="F39" i="3"/>
  <c r="J44" i="3"/>
  <c r="J46" i="3"/>
  <c r="B50" i="3"/>
  <c r="B54" i="3"/>
  <c r="E30" i="3"/>
  <c r="M30" i="3"/>
  <c r="I31" i="3"/>
  <c r="E32" i="3"/>
  <c r="M32" i="3"/>
  <c r="I33" i="3"/>
  <c r="I35" i="3"/>
  <c r="E36" i="3"/>
  <c r="M36" i="3"/>
  <c r="I37" i="3"/>
  <c r="E38" i="3"/>
  <c r="M38" i="3"/>
  <c r="I39" i="3"/>
  <c r="E40" i="3"/>
  <c r="M40" i="3"/>
  <c r="I41" i="3"/>
  <c r="E44" i="3"/>
  <c r="M44" i="3"/>
  <c r="I45" i="3"/>
  <c r="E46" i="3"/>
  <c r="M46" i="3"/>
  <c r="I47" i="3"/>
  <c r="I49" i="3"/>
  <c r="E50" i="3"/>
  <c r="M50" i="3"/>
  <c r="I51" i="3"/>
  <c r="E52" i="3"/>
  <c r="M52" i="3"/>
  <c r="I53" i="3"/>
  <c r="E54" i="3"/>
  <c r="M54" i="3"/>
  <c r="I55" i="3"/>
  <c r="F30" i="3"/>
  <c r="B31" i="3"/>
  <c r="J31" i="3"/>
  <c r="F32" i="3"/>
  <c r="B33" i="3"/>
  <c r="J33" i="3"/>
  <c r="B35" i="3"/>
  <c r="J35" i="3"/>
  <c r="F36" i="3"/>
  <c r="B37" i="3"/>
  <c r="J37" i="3"/>
  <c r="F38" i="3"/>
  <c r="B39" i="3"/>
  <c r="J39" i="3"/>
  <c r="F40" i="3"/>
  <c r="B41" i="3"/>
  <c r="J41" i="3"/>
  <c r="F44" i="3"/>
  <c r="B45" i="3"/>
  <c r="J45" i="3"/>
  <c r="F46" i="3"/>
  <c r="B47" i="3"/>
  <c r="J47" i="3"/>
  <c r="B49" i="3"/>
  <c r="J49" i="3"/>
  <c r="F50" i="3"/>
  <c r="B51" i="3"/>
  <c r="J51" i="3"/>
  <c r="F52" i="3"/>
  <c r="B53" i="3"/>
  <c r="J53" i="3"/>
  <c r="F54" i="3"/>
  <c r="B55" i="3"/>
  <c r="J55" i="3"/>
  <c r="G30" i="3"/>
  <c r="C31" i="3"/>
  <c r="K31" i="3"/>
  <c r="G32" i="3"/>
  <c r="C33" i="3"/>
  <c r="K33" i="3"/>
  <c r="C35" i="3"/>
  <c r="K35" i="3"/>
  <c r="G36" i="3"/>
  <c r="C37" i="3"/>
  <c r="K37" i="3"/>
  <c r="G38" i="3"/>
  <c r="C39" i="3"/>
  <c r="K39" i="3"/>
  <c r="G40" i="3"/>
  <c r="C41" i="3"/>
  <c r="K41" i="3"/>
  <c r="G44" i="3"/>
  <c r="C45" i="3"/>
  <c r="K45" i="3"/>
  <c r="G46" i="3"/>
  <c r="C47" i="3"/>
  <c r="K47" i="3"/>
  <c r="C49" i="3"/>
  <c r="K49" i="3"/>
  <c r="G50" i="3"/>
  <c r="C51" i="3"/>
  <c r="K51" i="3"/>
  <c r="G52" i="3"/>
  <c r="C53" i="3"/>
  <c r="K53" i="3"/>
  <c r="G54" i="3"/>
  <c r="C55" i="3"/>
  <c r="K55" i="3"/>
  <c r="H30" i="3"/>
  <c r="D31" i="3"/>
  <c r="L31" i="3"/>
  <c r="H32" i="3"/>
  <c r="D33" i="3"/>
  <c r="L33" i="3"/>
  <c r="D35" i="3"/>
  <c r="L35" i="3"/>
  <c r="H36" i="3"/>
  <c r="D37" i="3"/>
  <c r="L37" i="3"/>
  <c r="H38" i="3"/>
  <c r="D39" i="3"/>
  <c r="L39" i="3"/>
  <c r="H40" i="3"/>
  <c r="D41" i="3"/>
  <c r="L41" i="3"/>
  <c r="H44" i="3"/>
  <c r="D45" i="3"/>
  <c r="L45" i="3"/>
  <c r="H46" i="3"/>
  <c r="D47" i="3"/>
  <c r="L47" i="3"/>
  <c r="D49" i="3"/>
  <c r="L49" i="3"/>
  <c r="H50" i="3"/>
  <c r="D51" i="3"/>
  <c r="L51" i="3"/>
  <c r="H52" i="3"/>
  <c r="D53" i="3"/>
  <c r="L53" i="3"/>
  <c r="H54" i="3"/>
  <c r="D55" i="3"/>
  <c r="L55" i="3"/>
  <c r="I30" i="3"/>
  <c r="E31" i="3"/>
  <c r="M31" i="3"/>
  <c r="I32" i="3"/>
  <c r="E33" i="3"/>
  <c r="M33" i="3"/>
  <c r="E35" i="3"/>
  <c r="M35" i="3"/>
  <c r="I36" i="3"/>
  <c r="E37" i="3"/>
  <c r="M37" i="3"/>
  <c r="I38" i="3"/>
  <c r="E39" i="3"/>
  <c r="M39" i="3"/>
  <c r="I40" i="3"/>
  <c r="E41" i="3"/>
  <c r="M41" i="3"/>
  <c r="I44" i="3"/>
  <c r="E45" i="3"/>
  <c r="M45" i="3"/>
  <c r="I46" i="3"/>
  <c r="E47" i="3"/>
  <c r="M47" i="3"/>
  <c r="E49" i="3"/>
  <c r="M49" i="3"/>
  <c r="I50" i="3"/>
  <c r="E51" i="3"/>
  <c r="M51" i="3"/>
  <c r="I52" i="3"/>
  <c r="E53" i="3"/>
  <c r="M53" i="3"/>
  <c r="I54" i="3"/>
  <c r="E55" i="3"/>
  <c r="M55" i="3"/>
  <c r="F61" i="2"/>
  <c r="F47" i="2"/>
  <c r="F63" i="2"/>
  <c r="F49" i="2"/>
  <c r="B64" i="2"/>
  <c r="B50" i="2"/>
  <c r="J64" i="2"/>
  <c r="J50" i="2"/>
  <c r="F65" i="2"/>
  <c r="F51" i="2"/>
  <c r="B66" i="2"/>
  <c r="B52" i="2"/>
  <c r="J66" i="2"/>
  <c r="J52" i="2"/>
  <c r="F67" i="2"/>
  <c r="F53" i="2"/>
  <c r="B68" i="2"/>
  <c r="B54" i="2"/>
  <c r="J68" i="2"/>
  <c r="J54" i="2"/>
  <c r="F69" i="2"/>
  <c r="F55" i="2"/>
  <c r="B30" i="2"/>
  <c r="F35" i="2"/>
  <c r="J40" i="2"/>
  <c r="J30" i="2"/>
  <c r="B36" i="2"/>
  <c r="D58" i="2"/>
  <c r="D44" i="2"/>
  <c r="D30" i="2"/>
  <c r="L44" i="2"/>
  <c r="L30" i="2"/>
  <c r="L58" i="2"/>
  <c r="H59" i="2"/>
  <c r="H45" i="2"/>
  <c r="H31" i="2"/>
  <c r="D32" i="2"/>
  <c r="D46" i="2"/>
  <c r="D60" i="2"/>
  <c r="L60" i="2"/>
  <c r="L32" i="2"/>
  <c r="L46" i="2"/>
  <c r="H61" i="2"/>
  <c r="H47" i="2"/>
  <c r="H33" i="2"/>
  <c r="H49" i="2"/>
  <c r="H35" i="2"/>
  <c r="H63" i="2"/>
  <c r="D64" i="2"/>
  <c r="D50" i="2"/>
  <c r="D36" i="2"/>
  <c r="L50" i="2"/>
  <c r="L64" i="2"/>
  <c r="L36" i="2"/>
  <c r="H37" i="2"/>
  <c r="H51" i="2"/>
  <c r="H65" i="2"/>
  <c r="F31" i="2"/>
  <c r="J36" i="2"/>
  <c r="B44" i="2"/>
  <c r="B32" i="2"/>
  <c r="F37" i="2"/>
  <c r="J44" i="2"/>
  <c r="J32" i="2"/>
  <c r="B38" i="2"/>
  <c r="F45" i="2"/>
  <c r="F33" i="2"/>
  <c r="J38" i="2"/>
  <c r="B46" i="2"/>
  <c r="J46" i="2"/>
  <c r="C30" i="2"/>
  <c r="K30" i="2"/>
  <c r="G31" i="2"/>
  <c r="C32" i="2"/>
  <c r="K32" i="2"/>
  <c r="G33" i="2"/>
  <c r="G35" i="2"/>
  <c r="C36" i="2"/>
  <c r="K36" i="2"/>
  <c r="G37" i="2"/>
  <c r="C38" i="2"/>
  <c r="K38" i="2"/>
  <c r="G39" i="2"/>
  <c r="C40" i="2"/>
  <c r="K40" i="2"/>
  <c r="G41" i="2"/>
  <c r="C44" i="2"/>
  <c r="K44" i="2"/>
  <c r="G45" i="2"/>
  <c r="C46" i="2"/>
  <c r="K46" i="2"/>
  <c r="G47" i="2"/>
  <c r="G49" i="2"/>
  <c r="C50" i="2"/>
  <c r="K50" i="2"/>
  <c r="G51" i="2"/>
  <c r="C52" i="2"/>
  <c r="K52" i="2"/>
  <c r="G53" i="2"/>
  <c r="C54" i="2"/>
  <c r="K54" i="2"/>
  <c r="G55" i="2"/>
  <c r="D38" i="2"/>
  <c r="L52" i="2"/>
  <c r="H53" i="2"/>
  <c r="L68" i="2"/>
  <c r="E30" i="2"/>
  <c r="M30" i="2"/>
  <c r="I31" i="2"/>
  <c r="E32" i="2"/>
  <c r="M32" i="2"/>
  <c r="I33" i="2"/>
  <c r="I35" i="2"/>
  <c r="E36" i="2"/>
  <c r="M36" i="2"/>
  <c r="I37" i="2"/>
  <c r="E38" i="2"/>
  <c r="M38" i="2"/>
  <c r="I39" i="2"/>
  <c r="E40" i="2"/>
  <c r="M40" i="2"/>
  <c r="I41" i="2"/>
  <c r="E44" i="2"/>
  <c r="M44" i="2"/>
  <c r="I45" i="2"/>
  <c r="E46" i="2"/>
  <c r="M46" i="2"/>
  <c r="I47" i="2"/>
  <c r="I49" i="2"/>
  <c r="E50" i="2"/>
  <c r="M50" i="2"/>
  <c r="I51" i="2"/>
  <c r="E52" i="2"/>
  <c r="M52" i="2"/>
  <c r="I53" i="2"/>
  <c r="E54" i="2"/>
  <c r="M54" i="2"/>
  <c r="I55" i="2"/>
  <c r="H39" i="2"/>
  <c r="H69" i="2"/>
  <c r="F30" i="2"/>
  <c r="B31" i="2"/>
  <c r="J31" i="2"/>
  <c r="F32" i="2"/>
  <c r="B33" i="2"/>
  <c r="J33" i="2"/>
  <c r="B35" i="2"/>
  <c r="J35" i="2"/>
  <c r="F36" i="2"/>
  <c r="B37" i="2"/>
  <c r="J37" i="2"/>
  <c r="F38" i="2"/>
  <c r="B39" i="2"/>
  <c r="J39" i="2"/>
  <c r="F40" i="2"/>
  <c r="B41" i="2"/>
  <c r="J41" i="2"/>
  <c r="F44" i="2"/>
  <c r="B45" i="2"/>
  <c r="J45" i="2"/>
  <c r="F46" i="2"/>
  <c r="B47" i="2"/>
  <c r="J47" i="2"/>
  <c r="B49" i="2"/>
  <c r="J49" i="2"/>
  <c r="F50" i="2"/>
  <c r="B51" i="2"/>
  <c r="J51" i="2"/>
  <c r="F52" i="2"/>
  <c r="B53" i="2"/>
  <c r="J53" i="2"/>
  <c r="F54" i="2"/>
  <c r="B55" i="2"/>
  <c r="J55" i="2"/>
  <c r="L40" i="2"/>
  <c r="D68" i="2"/>
  <c r="G30" i="2"/>
  <c r="C31" i="2"/>
  <c r="K31" i="2"/>
  <c r="G32" i="2"/>
  <c r="C33" i="2"/>
  <c r="K33" i="2"/>
  <c r="C35" i="2"/>
  <c r="K35" i="2"/>
  <c r="G36" i="2"/>
  <c r="C37" i="2"/>
  <c r="K37" i="2"/>
  <c r="G38" i="2"/>
  <c r="C39" i="2"/>
  <c r="K39" i="2"/>
  <c r="G40" i="2"/>
  <c r="C41" i="2"/>
  <c r="K41" i="2"/>
  <c r="G44" i="2"/>
  <c r="C45" i="2"/>
  <c r="K45" i="2"/>
  <c r="G46" i="2"/>
  <c r="C47" i="2"/>
  <c r="K47" i="2"/>
  <c r="C49" i="2"/>
  <c r="K49" i="2"/>
  <c r="G50" i="2"/>
  <c r="C51" i="2"/>
  <c r="K51" i="2"/>
  <c r="G52" i="2"/>
  <c r="C53" i="2"/>
  <c r="K53" i="2"/>
  <c r="G54" i="2"/>
  <c r="C55" i="2"/>
  <c r="K55" i="2"/>
  <c r="D40" i="2"/>
  <c r="H41" i="2"/>
  <c r="D52" i="2"/>
  <c r="H30" i="2"/>
  <c r="D31" i="2"/>
  <c r="L31" i="2"/>
  <c r="H32" i="2"/>
  <c r="D33" i="2"/>
  <c r="L33" i="2"/>
  <c r="D35" i="2"/>
  <c r="L35" i="2"/>
  <c r="H36" i="2"/>
  <c r="D37" i="2"/>
  <c r="L37" i="2"/>
  <c r="H38" i="2"/>
  <c r="D39" i="2"/>
  <c r="L39" i="2"/>
  <c r="H40" i="2"/>
  <c r="D41" i="2"/>
  <c r="L41" i="2"/>
  <c r="H44" i="2"/>
  <c r="D45" i="2"/>
  <c r="L45" i="2"/>
  <c r="H46" i="2"/>
  <c r="D47" i="2"/>
  <c r="L47" i="2"/>
  <c r="D49" i="2"/>
  <c r="L49" i="2"/>
  <c r="H50" i="2"/>
  <c r="D51" i="2"/>
  <c r="L51" i="2"/>
  <c r="H52" i="2"/>
  <c r="D53" i="2"/>
  <c r="L53" i="2"/>
  <c r="H54" i="2"/>
  <c r="D55" i="2"/>
  <c r="L55" i="2"/>
  <c r="L38" i="2"/>
  <c r="I30" i="2"/>
  <c r="E31" i="2"/>
  <c r="M31" i="2"/>
  <c r="I32" i="2"/>
  <c r="E33" i="2"/>
  <c r="M33" i="2"/>
  <c r="E35" i="2"/>
  <c r="M35" i="2"/>
  <c r="I36" i="2"/>
  <c r="E37" i="2"/>
  <c r="M37" i="2"/>
  <c r="I38" i="2"/>
  <c r="E39" i="2"/>
  <c r="M39" i="2"/>
  <c r="I40" i="2"/>
  <c r="E41" i="2"/>
  <c r="M41" i="2"/>
  <c r="I44" i="2"/>
  <c r="E45" i="2"/>
  <c r="M45" i="2"/>
  <c r="I46" i="2"/>
  <c r="E47" i="2"/>
  <c r="M47" i="2"/>
  <c r="E49" i="2"/>
  <c r="M49" i="2"/>
  <c r="I50" i="2"/>
  <c r="E51" i="2"/>
  <c r="M51" i="2"/>
  <c r="I52" i="2"/>
  <c r="E53" i="2"/>
  <c r="M53" i="2"/>
  <c r="I54" i="2"/>
  <c r="E55" i="2"/>
  <c r="M55" i="2"/>
  <c r="AJ10" i="42" l="1"/>
  <c r="AN14" i="42"/>
  <c r="AF4" i="42"/>
  <c r="AN6" i="42"/>
  <c r="AF5" i="42"/>
  <c r="AI9" i="42"/>
  <c r="AI13" i="42"/>
  <c r="AJ6" i="42"/>
  <c r="AM9" i="42"/>
  <c r="E8" i="42"/>
  <c r="AI5" i="42"/>
  <c r="AE4" i="42"/>
  <c r="AF12" i="42"/>
  <c r="AL5" i="42"/>
  <c r="X14" i="42"/>
  <c r="S8" i="42"/>
  <c r="AA7" i="42"/>
  <c r="Y7" i="42"/>
  <c r="L14" i="42"/>
  <c r="X7" i="42"/>
  <c r="J11" i="42"/>
  <c r="Y6" i="42"/>
  <c r="K10" i="42"/>
  <c r="W12" i="42"/>
  <c r="J10" i="42"/>
  <c r="R12" i="42"/>
  <c r="P6" i="42"/>
  <c r="W6" i="42"/>
  <c r="Z13" i="42"/>
  <c r="K15" i="42"/>
  <c r="W9" i="42"/>
  <c r="D6" i="42"/>
  <c r="AA13" i="42"/>
  <c r="T9" i="42"/>
  <c r="E6" i="42"/>
  <c r="AM14" i="42"/>
  <c r="AF9" i="42"/>
  <c r="AJ4" i="42"/>
  <c r="S4" i="42"/>
  <c r="D13" i="42"/>
  <c r="AG8" i="42"/>
  <c r="V11" i="42"/>
  <c r="AM6" i="42"/>
  <c r="AI15" i="42"/>
  <c r="AO5" i="42"/>
  <c r="AN4" i="42"/>
  <c r="T5" i="42"/>
  <c r="AN9" i="42"/>
  <c r="AJ11" i="42"/>
  <c r="AH6" i="42"/>
  <c r="AI4" i="42"/>
  <c r="AH12" i="42"/>
  <c r="AM4" i="42"/>
  <c r="T11" i="42"/>
  <c r="E12" i="42"/>
  <c r="H13" i="42"/>
  <c r="V9" i="42"/>
  <c r="U5" i="42"/>
  <c r="U15" i="42"/>
  <c r="P7" i="42"/>
  <c r="B14" i="42"/>
  <c r="J12" i="42"/>
  <c r="V13" i="42"/>
  <c r="I14" i="42"/>
  <c r="B15" i="42"/>
  <c r="T4" i="42"/>
  <c r="AF13" i="42"/>
  <c r="I4" i="42"/>
  <c r="X6" i="42"/>
  <c r="V14" i="42"/>
  <c r="W13" i="42"/>
  <c r="D7" i="42"/>
  <c r="W14" i="42"/>
  <c r="G15" i="42"/>
  <c r="AD8" i="42"/>
  <c r="B8" i="42"/>
  <c r="R11" i="42"/>
  <c r="W11" i="42"/>
  <c r="L13" i="42"/>
  <c r="L10" i="42"/>
  <c r="AA10" i="42"/>
  <c r="H9" i="42"/>
  <c r="AL12" i="42"/>
  <c r="Z6" i="42"/>
  <c r="U12" i="42"/>
  <c r="AM10" i="42"/>
  <c r="R7" i="42"/>
  <c r="L15" i="42"/>
  <c r="U7" i="42"/>
  <c r="S5" i="42"/>
  <c r="P13" i="42"/>
  <c r="Q7" i="42"/>
  <c r="P10" i="42"/>
  <c r="T10" i="42"/>
  <c r="T12" i="42"/>
  <c r="AL6" i="42"/>
  <c r="X12" i="42"/>
  <c r="AH11" i="42"/>
  <c r="G13" i="42"/>
  <c r="E11" i="42"/>
  <c r="X10" i="42"/>
  <c r="AD12" i="42"/>
  <c r="C7" i="42"/>
  <c r="T6" i="42"/>
  <c r="J5" i="42"/>
  <c r="U14" i="42"/>
  <c r="Z10" i="42"/>
  <c r="R13" i="42"/>
  <c r="AM8" i="42"/>
  <c r="Z14" i="42"/>
  <c r="E7" i="42"/>
  <c r="K12" i="42"/>
  <c r="Y8" i="42"/>
  <c r="AH8" i="42"/>
  <c r="B7" i="42"/>
  <c r="AI8" i="42"/>
  <c r="AA15" i="42"/>
  <c r="B11" i="42"/>
  <c r="T7" i="42"/>
  <c r="H7" i="42"/>
  <c r="P9" i="42"/>
  <c r="W10" i="42"/>
  <c r="D9" i="42"/>
  <c r="U6" i="42"/>
  <c r="AE8" i="42"/>
  <c r="AA8" i="42"/>
  <c r="AA14" i="42"/>
  <c r="V12" i="42"/>
  <c r="Q11" i="42"/>
  <c r="K5" i="42"/>
  <c r="M9" i="42"/>
  <c r="Y5" i="42"/>
  <c r="G7" i="42"/>
  <c r="T13" i="42"/>
  <c r="AL8" i="42"/>
  <c r="P5" i="42"/>
  <c r="U13" i="42"/>
  <c r="R10" i="42"/>
  <c r="AD4" i="42"/>
  <c r="P8" i="42"/>
  <c r="S12" i="42"/>
  <c r="R14" i="42"/>
  <c r="Z7" i="42"/>
  <c r="L11" i="42"/>
  <c r="AJ15" i="42"/>
  <c r="W7" i="42"/>
  <c r="Z12" i="42"/>
  <c r="U8" i="42"/>
  <c r="X8" i="42"/>
  <c r="M8" i="42"/>
  <c r="T15" i="42"/>
  <c r="AL10" i="42"/>
  <c r="X11" i="42"/>
  <c r="M14" i="42"/>
  <c r="Y4" i="42"/>
  <c r="AF8" i="42"/>
  <c r="Q14" i="42"/>
  <c r="Z4" i="42"/>
  <c r="AL14" i="42"/>
  <c r="Q4" i="42"/>
  <c r="P15" i="42"/>
  <c r="P12" i="42"/>
  <c r="W5" i="42"/>
  <c r="Y13" i="42"/>
  <c r="S9" i="42"/>
  <c r="D4" i="42"/>
  <c r="AI7" i="42"/>
  <c r="AD10" i="42"/>
  <c r="AA9" i="42"/>
  <c r="Y12" i="42"/>
  <c r="U4" i="42"/>
  <c r="F13" i="42"/>
  <c r="I6" i="42"/>
  <c r="AL7" i="42"/>
  <c r="F5" i="42"/>
  <c r="E4" i="42"/>
  <c r="Q12" i="42"/>
  <c r="AA5" i="42"/>
  <c r="Y14" i="42"/>
  <c r="G11" i="42"/>
  <c r="G5" i="42"/>
  <c r="AA12" i="42"/>
  <c r="I13" i="42"/>
  <c r="F7" i="42"/>
  <c r="P11" i="42"/>
  <c r="M4" i="42"/>
  <c r="U11" i="42"/>
  <c r="V15" i="42"/>
  <c r="E13" i="42"/>
  <c r="H15" i="42"/>
  <c r="R9" i="42"/>
  <c r="Q6" i="42"/>
  <c r="Z15" i="42"/>
  <c r="K7" i="42"/>
  <c r="I12" i="42"/>
  <c r="AM13" i="42"/>
  <c r="J6" i="42"/>
  <c r="P14" i="42"/>
  <c r="R15" i="42"/>
  <c r="AF14" i="42"/>
  <c r="B10" i="42"/>
  <c r="M13" i="42"/>
  <c r="L7" i="42"/>
  <c r="F14" i="42"/>
  <c r="B6" i="42"/>
  <c r="H8" i="42"/>
  <c r="W8" i="42"/>
  <c r="L5" i="42"/>
  <c r="R8" i="42"/>
  <c r="M15" i="42"/>
  <c r="AN11" i="42"/>
  <c r="G14" i="42"/>
  <c r="AK6" i="42"/>
  <c r="AF10" i="42"/>
  <c r="H6" i="42"/>
  <c r="AJ12" i="42"/>
  <c r="AH7" i="42"/>
  <c r="Y9" i="42"/>
  <c r="M12" i="42"/>
  <c r="J4" i="42"/>
  <c r="M7" i="42"/>
  <c r="K8" i="42"/>
  <c r="M11" i="42"/>
  <c r="I8" i="42"/>
  <c r="S11" i="42"/>
  <c r="M5" i="42"/>
  <c r="V5" i="42"/>
  <c r="K4" i="42"/>
  <c r="AJ14" i="42"/>
  <c r="H5" i="42"/>
  <c r="S10" i="42"/>
  <c r="U9" i="42"/>
  <c r="P4" i="42"/>
  <c r="AD5" i="42"/>
  <c r="D10" i="42"/>
  <c r="K13" i="42"/>
  <c r="F4" i="42"/>
  <c r="Q15" i="42"/>
  <c r="C15" i="42"/>
  <c r="V4" i="42"/>
  <c r="C4" i="42"/>
  <c r="D14" i="42"/>
  <c r="L8" i="42"/>
  <c r="AO8" i="42"/>
  <c r="V8" i="42"/>
  <c r="AK8" i="42"/>
  <c r="AN5" i="42"/>
  <c r="J8" i="42"/>
  <c r="H14" i="42"/>
  <c r="AM5" i="42"/>
  <c r="Y11" i="42"/>
  <c r="S15" i="42"/>
  <c r="AJ7" i="42"/>
  <c r="K9" i="42"/>
  <c r="J9" i="42"/>
  <c r="AH5" i="42"/>
  <c r="I15" i="42"/>
  <c r="AF7" i="42"/>
  <c r="X9" i="42"/>
  <c r="S14" i="42"/>
  <c r="F9" i="42"/>
  <c r="X13" i="42"/>
  <c r="D12" i="42"/>
  <c r="B12" i="42"/>
  <c r="R4" i="42"/>
  <c r="Y10" i="42"/>
  <c r="L6" i="42"/>
  <c r="C14" i="42"/>
  <c r="F11" i="42"/>
  <c r="T8" i="42"/>
  <c r="AD14" i="42"/>
  <c r="X15" i="42"/>
  <c r="J15" i="42"/>
  <c r="L9" i="42"/>
  <c r="V7" i="42"/>
  <c r="AA11" i="42"/>
  <c r="I7" i="42"/>
  <c r="Q8" i="42"/>
  <c r="X5" i="42"/>
  <c r="T14" i="42"/>
  <c r="AH15" i="42"/>
  <c r="AH13" i="42"/>
  <c r="B13" i="42"/>
  <c r="AF6" i="42"/>
  <c r="W4" i="42"/>
  <c r="H11" i="42"/>
  <c r="C8" i="42"/>
  <c r="D8" i="42"/>
  <c r="X4" i="42"/>
  <c r="G4" i="42"/>
  <c r="J7" i="42"/>
  <c r="C9" i="42"/>
  <c r="AL4" i="42"/>
  <c r="M6" i="42"/>
  <c r="AE14" i="42"/>
  <c r="S13" i="42"/>
  <c r="C6" i="42"/>
  <c r="AH9" i="42"/>
  <c r="U10" i="42"/>
  <c r="AE11" i="42"/>
  <c r="E10" i="42"/>
  <c r="AF11" i="42"/>
  <c r="AE6" i="42"/>
  <c r="Z11" i="42"/>
  <c r="AE10" i="42"/>
  <c r="H10" i="42"/>
  <c r="G10" i="42"/>
  <c r="H4" i="42"/>
  <c r="I5" i="42"/>
  <c r="AM12" i="42"/>
  <c r="C5" i="42"/>
  <c r="AJ5" i="42"/>
  <c r="C10" i="42"/>
  <c r="H12" i="42"/>
  <c r="AD6" i="42"/>
  <c r="C12" i="42"/>
  <c r="G6" i="42"/>
  <c r="I9" i="42"/>
  <c r="V6" i="42"/>
  <c r="J14" i="42"/>
  <c r="Z8" i="42"/>
  <c r="C13" i="42"/>
  <c r="F15" i="42"/>
  <c r="AN7" i="42"/>
  <c r="AA6" i="42"/>
  <c r="E5" i="42"/>
  <c r="AA4" i="42"/>
  <c r="G12" i="42"/>
  <c r="D11" i="42"/>
  <c r="AE7" i="42"/>
  <c r="R6" i="42"/>
  <c r="J13" i="42"/>
  <c r="M10" i="42"/>
  <c r="R5" i="42"/>
  <c r="B5" i="42"/>
  <c r="AN13" i="42"/>
  <c r="E15" i="42"/>
  <c r="AE12" i="42"/>
  <c r="F10" i="42"/>
  <c r="W15" i="42"/>
  <c r="V10" i="42"/>
  <c r="K11" i="42"/>
  <c r="AN8" i="42"/>
  <c r="Z9" i="42"/>
  <c r="Q10" i="42"/>
  <c r="E14" i="42"/>
  <c r="Z5" i="42"/>
  <c r="Y15" i="42"/>
  <c r="D5" i="42"/>
  <c r="Q5" i="42"/>
  <c r="B4" i="42"/>
  <c r="K6" i="42"/>
  <c r="E9" i="42"/>
  <c r="I10" i="42"/>
  <c r="AE5" i="42"/>
  <c r="G9" i="42"/>
  <c r="AJ8" i="42"/>
  <c r="L4" i="42"/>
  <c r="B9" i="42"/>
  <c r="AE13" i="42"/>
  <c r="Q9" i="42"/>
  <c r="C11" i="42"/>
  <c r="AJ9" i="42"/>
  <c r="F12" i="42"/>
  <c r="S7" i="42"/>
  <c r="K14" i="42"/>
  <c r="S6" i="42"/>
  <c r="AI11" i="42"/>
  <c r="AD7" i="42"/>
  <c r="D15" i="42"/>
  <c r="L12" i="42"/>
  <c r="I11" i="42"/>
  <c r="F6" i="42"/>
  <c r="Q13" i="42"/>
  <c r="G8" i="42"/>
  <c r="AN10" i="42"/>
  <c r="F8" i="42"/>
  <c r="K32" i="42" l="1"/>
  <c r="H32" i="42"/>
  <c r="I32" i="42"/>
  <c r="E32" i="42"/>
  <c r="L32" i="42"/>
  <c r="J32" i="42"/>
  <c r="G32" i="42"/>
  <c r="D32" i="42"/>
  <c r="N20" i="42"/>
  <c r="B32" i="42"/>
  <c r="M32" i="42"/>
  <c r="C32" i="42"/>
  <c r="N23" i="42"/>
  <c r="F32" i="42"/>
  <c r="N30" i="42"/>
  <c r="N22" i="42"/>
  <c r="N24" i="42"/>
  <c r="N26" i="42"/>
  <c r="N28" i="42"/>
  <c r="N27" i="42"/>
  <c r="N29" i="42"/>
  <c r="N21" i="42"/>
  <c r="N25" i="42"/>
  <c r="N31" i="42"/>
  <c r="N33" i="42" l="1"/>
  <c r="C38" i="42" s="1"/>
  <c r="AD38" i="42" s="1"/>
  <c r="G38" i="42" l="1"/>
  <c r="AH38" i="42" s="1"/>
  <c r="H39" i="42"/>
  <c r="AI39" i="42" s="1"/>
  <c r="C40" i="42"/>
  <c r="AD40" i="42" s="1"/>
  <c r="J39" i="42"/>
  <c r="AK39" i="42" s="1"/>
  <c r="F45" i="42"/>
  <c r="AG45" i="42" s="1"/>
  <c r="H41" i="42"/>
  <c r="AI41" i="42" s="1"/>
  <c r="J44" i="42"/>
  <c r="AK44" i="42" s="1"/>
  <c r="M48" i="42"/>
  <c r="AN48" i="42" s="1"/>
  <c r="C43" i="42"/>
  <c r="AD43" i="42" s="1"/>
  <c r="D45" i="42"/>
  <c r="AE45" i="42" s="1"/>
  <c r="K42" i="42"/>
  <c r="AL42" i="42" s="1"/>
  <c r="C45" i="42"/>
  <c r="AD45" i="42" s="1"/>
  <c r="J43" i="42"/>
  <c r="AK43" i="42" s="1"/>
  <c r="H38" i="42"/>
  <c r="AI38" i="42" s="1"/>
  <c r="I41" i="42"/>
  <c r="AJ41" i="42" s="1"/>
  <c r="J41" i="42"/>
  <c r="AK41" i="42" s="1"/>
  <c r="K45" i="42"/>
  <c r="AL45" i="42" s="1"/>
  <c r="G43" i="42"/>
  <c r="AH43" i="42" s="1"/>
  <c r="M38" i="42"/>
  <c r="AN38" i="42" s="1"/>
  <c r="B43" i="42"/>
  <c r="AC43" i="42" s="1"/>
  <c r="G40" i="42"/>
  <c r="AH40" i="42" s="1"/>
  <c r="J45" i="42"/>
  <c r="AK45" i="42" s="1"/>
  <c r="B39" i="42"/>
  <c r="AC39" i="42" s="1"/>
  <c r="E46" i="42"/>
  <c r="AF46" i="42" s="1"/>
  <c r="B38" i="42"/>
  <c r="AC38" i="42" s="1"/>
  <c r="M46" i="42"/>
  <c r="AN46" i="42" s="1"/>
  <c r="I43" i="42"/>
  <c r="AJ43" i="42" s="1"/>
  <c r="E43" i="42"/>
  <c r="AF43" i="42" s="1"/>
  <c r="H40" i="42"/>
  <c r="AI40" i="42" s="1"/>
  <c r="F46" i="42"/>
  <c r="AG46" i="42" s="1"/>
  <c r="L44" i="42"/>
  <c r="AM44" i="42" s="1"/>
  <c r="F38" i="42"/>
  <c r="AG38" i="42" s="1"/>
  <c r="D41" i="42"/>
  <c r="AE41" i="42" s="1"/>
  <c r="I44" i="42"/>
  <c r="AJ44" i="42" s="1"/>
  <c r="G41" i="42"/>
  <c r="AH41" i="42" s="1"/>
  <c r="L38" i="42"/>
  <c r="AM38" i="42" s="1"/>
  <c r="M40" i="42"/>
  <c r="AN40" i="42" s="1"/>
  <c r="F48" i="42"/>
  <c r="AG48" i="42" s="1"/>
  <c r="C42" i="42"/>
  <c r="AD42" i="42" s="1"/>
  <c r="J38" i="42"/>
  <c r="AK38" i="42" s="1"/>
  <c r="L45" i="42"/>
  <c r="AM45" i="42" s="1"/>
  <c r="C44" i="42"/>
  <c r="AD44" i="42" s="1"/>
  <c r="H44" i="42"/>
  <c r="AI44" i="42" s="1"/>
  <c r="K41" i="42"/>
  <c r="AL41" i="42" s="1"/>
  <c r="C48" i="42"/>
  <c r="AD48" i="42" s="1"/>
  <c r="E45" i="42"/>
  <c r="AF45" i="42" s="1"/>
  <c r="I39" i="42"/>
  <c r="AJ39" i="42" s="1"/>
  <c r="I45" i="42"/>
  <c r="AJ45" i="42" s="1"/>
  <c r="L39" i="42"/>
  <c r="AM39" i="42" s="1"/>
  <c r="J40" i="42"/>
  <c r="AK40" i="42" s="1"/>
  <c r="E48" i="42"/>
  <c r="AF48" i="42" s="1"/>
  <c r="B40" i="42"/>
  <c r="AC40" i="42" s="1"/>
  <c r="H43" i="42"/>
  <c r="AI43" i="42" s="1"/>
  <c r="J48" i="42"/>
  <c r="AK48" i="42" s="1"/>
  <c r="L40" i="42"/>
  <c r="AM40" i="42" s="1"/>
  <c r="B41" i="42"/>
  <c r="AC41" i="42" s="1"/>
  <c r="L43" i="42"/>
  <c r="AM43" i="42" s="1"/>
  <c r="M45" i="42"/>
  <c r="AN45" i="42" s="1"/>
  <c r="B42" i="42"/>
  <c r="AC42" i="42" s="1"/>
  <c r="D39" i="42"/>
  <c r="AE39" i="42" s="1"/>
  <c r="B48" i="42"/>
  <c r="AC48" i="42" s="1"/>
  <c r="C39" i="42"/>
  <c r="AD39" i="42" s="1"/>
  <c r="G42" i="42"/>
  <c r="AH42" i="42" s="1"/>
  <c r="G39" i="42"/>
  <c r="AH39" i="42" s="1"/>
  <c r="H45" i="42"/>
  <c r="AI45" i="42" s="1"/>
  <c r="I38" i="42"/>
  <c r="AJ38" i="42" s="1"/>
  <c r="F39" i="42"/>
  <c r="AG39" i="42" s="1"/>
  <c r="M41" i="42"/>
  <c r="AN41" i="42" s="1"/>
  <c r="H42" i="42"/>
  <c r="AI42" i="42" s="1"/>
  <c r="M44" i="42"/>
  <c r="AN44" i="42" s="1"/>
  <c r="D44" i="42"/>
  <c r="AE44" i="42" s="1"/>
  <c r="K44" i="42"/>
  <c r="AL44" i="42" s="1"/>
  <c r="D43" i="42"/>
  <c r="AE43" i="42" s="1"/>
  <c r="L48" i="42"/>
  <c r="AM48" i="42" s="1"/>
  <c r="F42" i="42"/>
  <c r="AG42" i="42" s="1"/>
  <c r="K43" i="42"/>
  <c r="AL43" i="42" s="1"/>
  <c r="K39" i="42"/>
  <c r="AL39" i="42" s="1"/>
  <c r="E44" i="42"/>
  <c r="AF44" i="42" s="1"/>
  <c r="D40" i="42"/>
  <c r="AE40" i="42" s="1"/>
  <c r="D46" i="42"/>
  <c r="AE46" i="42" s="1"/>
  <c r="E38" i="42"/>
  <c r="AF38" i="42" s="1"/>
  <c r="H48" i="42"/>
  <c r="AI48" i="42" s="1"/>
  <c r="G46" i="42"/>
  <c r="AH46" i="42" s="1"/>
  <c r="K46" i="42"/>
  <c r="AL46" i="42" s="1"/>
  <c r="D38" i="42"/>
  <c r="AE38" i="42" s="1"/>
  <c r="M43" i="42"/>
  <c r="AN43" i="42" s="1"/>
  <c r="I42" i="42"/>
  <c r="AJ42" i="42" s="1"/>
  <c r="D48" i="42"/>
  <c r="AE48" i="42" s="1"/>
  <c r="I48" i="42"/>
  <c r="AJ48" i="42" s="1"/>
  <c r="F40" i="42"/>
  <c r="AG40" i="42" s="1"/>
  <c r="B45" i="42"/>
  <c r="AC45" i="42" s="1"/>
  <c r="L42" i="42"/>
  <c r="AM42" i="42" s="1"/>
  <c r="C41" i="42"/>
  <c r="AD41" i="42" s="1"/>
  <c r="L46" i="42"/>
  <c r="AM46" i="42" s="1"/>
  <c r="F43" i="42"/>
  <c r="AG43" i="42" s="1"/>
  <c r="I46" i="42"/>
  <c r="AJ46" i="42" s="1"/>
  <c r="D42" i="42"/>
  <c r="AE42" i="42" s="1"/>
  <c r="M42" i="42"/>
  <c r="AN42" i="42" s="1"/>
  <c r="K48" i="42"/>
  <c r="AL48" i="42" s="1"/>
  <c r="J46" i="42"/>
  <c r="AK46" i="42" s="1"/>
  <c r="G48" i="42"/>
  <c r="AH48" i="42" s="1"/>
  <c r="E41" i="42"/>
  <c r="AF41" i="42" s="1"/>
  <c r="E39" i="42"/>
  <c r="AF39" i="42" s="1"/>
  <c r="B46" i="42"/>
  <c r="AC46" i="42" s="1"/>
  <c r="C46" i="42"/>
  <c r="AD46" i="42" s="1"/>
  <c r="F44" i="42"/>
  <c r="AG44" i="42" s="1"/>
  <c r="B44" i="42"/>
  <c r="AC44" i="42" s="1"/>
  <c r="K38" i="42"/>
  <c r="AL38" i="42" s="1"/>
  <c r="I40" i="42"/>
  <c r="AJ40" i="42" s="1"/>
  <c r="K40" i="42"/>
  <c r="AL40" i="42" s="1"/>
  <c r="G44" i="42"/>
  <c r="AH44" i="42" s="1"/>
  <c r="H46" i="42"/>
  <c r="AI46" i="42" s="1"/>
  <c r="J42" i="42"/>
  <c r="AK42" i="42" s="1"/>
  <c r="E40" i="42"/>
  <c r="AF40" i="42" s="1"/>
  <c r="M39" i="42"/>
  <c r="AN39" i="42" s="1"/>
  <c r="L41" i="42"/>
  <c r="AM41" i="42" s="1"/>
  <c r="G45" i="42"/>
  <c r="AH45" i="42" s="1"/>
  <c r="F41" i="42"/>
  <c r="AG41" i="42" s="1"/>
  <c r="E42" i="42"/>
  <c r="AF42" i="42" s="1"/>
  <c r="C47" i="42"/>
  <c r="AD47" i="42" s="1"/>
  <c r="H37" i="42"/>
  <c r="AI37" i="42" s="1"/>
  <c r="I37" i="42"/>
  <c r="AJ37" i="42" s="1"/>
  <c r="L47" i="42"/>
  <c r="AM47" i="42" s="1"/>
  <c r="D47" i="42"/>
  <c r="AE47" i="42" s="1"/>
  <c r="M47" i="42"/>
  <c r="AN47" i="42" s="1"/>
  <c r="B47" i="42"/>
  <c r="AC47" i="42" s="1"/>
  <c r="K37" i="42"/>
  <c r="AL37" i="42" s="1"/>
  <c r="E37" i="42"/>
  <c r="AF37" i="42" s="1"/>
  <c r="B37" i="42"/>
  <c r="AC37" i="42" s="1"/>
  <c r="M37" i="42"/>
  <c r="AN37" i="42" s="1"/>
  <c r="E47" i="42"/>
  <c r="AF47" i="42" s="1"/>
  <c r="H47" i="42"/>
  <c r="AI47" i="42" s="1"/>
  <c r="C37" i="42"/>
  <c r="AD37" i="42" s="1"/>
  <c r="J47" i="42"/>
  <c r="AK47" i="42" s="1"/>
  <c r="F37" i="42"/>
  <c r="AG37" i="42" s="1"/>
  <c r="J37" i="42"/>
  <c r="AK37" i="42" s="1"/>
  <c r="D37" i="42"/>
  <c r="AE37" i="42" s="1"/>
  <c r="L37" i="42"/>
  <c r="AM37" i="42" s="1"/>
  <c r="K47" i="42"/>
  <c r="AL47" i="42" s="1"/>
  <c r="G47" i="42"/>
  <c r="AH47" i="42" s="1"/>
  <c r="I47" i="42"/>
  <c r="AJ47" i="42" s="1"/>
  <c r="G37" i="42"/>
  <c r="AH37" i="42" s="1"/>
  <c r="F47" i="42"/>
  <c r="AG47" i="42" s="1"/>
  <c r="AP37" i="42" l="1" a="1"/>
  <c r="AV45" i="42" s="1"/>
  <c r="AY43" i="42" l="1"/>
  <c r="BA40" i="42"/>
  <c r="AV40" i="42"/>
  <c r="AX48" i="42"/>
  <c r="AS43" i="42"/>
  <c r="BA47" i="42"/>
  <c r="AQ40" i="42"/>
  <c r="AY40" i="42"/>
  <c r="AS39" i="42"/>
  <c r="AT41" i="42"/>
  <c r="AV43" i="42"/>
  <c r="AP42" i="42"/>
  <c r="AT46" i="42"/>
  <c r="AR48" i="42"/>
  <c r="BA42" i="42"/>
  <c r="BA43" i="42"/>
  <c r="AZ43" i="42"/>
  <c r="AT47" i="42"/>
  <c r="AQ42" i="42"/>
  <c r="AS46" i="42"/>
  <c r="AZ47" i="42"/>
  <c r="AQ48" i="42"/>
  <c r="AS44" i="42"/>
  <c r="AQ44" i="42"/>
  <c r="AS41" i="42"/>
  <c r="AX41" i="42"/>
  <c r="AQ45" i="42"/>
  <c r="AX47" i="42"/>
  <c r="AY45" i="42"/>
  <c r="AY47" i="42"/>
  <c r="AS48" i="42"/>
  <c r="AP38" i="42"/>
  <c r="AR43" i="42"/>
  <c r="AV41" i="42"/>
  <c r="AX38" i="42"/>
  <c r="AP40" i="42"/>
  <c r="AS37" i="42"/>
  <c r="AT39" i="42"/>
  <c r="AV44" i="42"/>
  <c r="AW44" i="42"/>
  <c r="AZ44" i="42"/>
  <c r="AR37" i="42"/>
  <c r="AR40" i="42"/>
  <c r="AV46" i="42"/>
  <c r="AU45" i="42"/>
  <c r="AT44" i="42"/>
  <c r="AP37" i="42"/>
  <c r="AY48" i="42"/>
  <c r="AT45" i="42"/>
  <c r="AU38" i="42"/>
  <c r="AS40" i="42"/>
  <c r="AZ42" i="42"/>
  <c r="AU43" i="42"/>
  <c r="BA46" i="42"/>
  <c r="AX44" i="42"/>
  <c r="AZ45" i="42"/>
  <c r="AR47" i="42"/>
  <c r="AQ46" i="42"/>
  <c r="AY44" i="42"/>
  <c r="AY37" i="42"/>
  <c r="AY46" i="42"/>
  <c r="AP39" i="42"/>
  <c r="BA39" i="42"/>
  <c r="AZ39" i="42"/>
  <c r="AQ47" i="42"/>
  <c r="AX39" i="42"/>
  <c r="AP45" i="42"/>
  <c r="BA45" i="42"/>
  <c r="BA37" i="42"/>
  <c r="AW40" i="42"/>
  <c r="AS47" i="42"/>
  <c r="AZ40" i="42"/>
  <c r="AV48" i="42"/>
  <c r="AQ39" i="42"/>
  <c r="AW47" i="42"/>
  <c r="AZ46" i="42"/>
  <c r="AU37" i="42"/>
  <c r="AP47" i="42"/>
  <c r="AQ41" i="42"/>
  <c r="AX40" i="42"/>
  <c r="AT42" i="42"/>
  <c r="AU47" i="42"/>
  <c r="AW39" i="42"/>
  <c r="AX46" i="42"/>
  <c r="AS45" i="42"/>
  <c r="AY42" i="42"/>
  <c r="AW43" i="42"/>
  <c r="AX42" i="42"/>
  <c r="AP46" i="42"/>
  <c r="AQ38" i="42"/>
  <c r="AU40" i="42"/>
  <c r="AU44" i="42"/>
  <c r="AZ48" i="42"/>
  <c r="AT38" i="42"/>
  <c r="AT48" i="42"/>
  <c r="AT37" i="42"/>
  <c r="AZ37" i="42"/>
  <c r="AU48" i="42"/>
  <c r="AW46" i="42"/>
  <c r="AQ37" i="42"/>
  <c r="AV37" i="42"/>
  <c r="AV42" i="42"/>
  <c r="AW45" i="42"/>
  <c r="AT43" i="42"/>
  <c r="BA41" i="42"/>
  <c r="AY39" i="42"/>
  <c r="AU46" i="42"/>
  <c r="AR42" i="42"/>
  <c r="AR44" i="42"/>
  <c r="AW42" i="42"/>
  <c r="AR41" i="42"/>
  <c r="AW48" i="42"/>
  <c r="AW37" i="42"/>
  <c r="AX37" i="42"/>
  <c r="AW41" i="42"/>
  <c r="AU41" i="42"/>
  <c r="AV47" i="42"/>
  <c r="AR38" i="42"/>
  <c r="AY41" i="42"/>
  <c r="AP44" i="42"/>
  <c r="AP41" i="42"/>
  <c r="AZ38" i="42"/>
  <c r="AU42" i="42"/>
  <c r="AV38" i="42"/>
  <c r="AS38" i="42"/>
  <c r="AP43" i="42"/>
  <c r="AU39" i="42"/>
  <c r="AX45" i="42"/>
  <c r="AV39" i="42"/>
  <c r="AT40" i="42"/>
  <c r="AR39" i="42"/>
  <c r="AP48" i="42"/>
  <c r="BA48" i="42"/>
  <c r="AR45" i="42"/>
  <c r="AX43" i="42"/>
  <c r="AS42" i="42"/>
  <c r="AZ41" i="42"/>
  <c r="AR46" i="42"/>
  <c r="AY38" i="42"/>
  <c r="AW38" i="42"/>
  <c r="BA44" i="42"/>
  <c r="AQ43" i="42"/>
  <c r="BA38" i="42"/>
  <c r="B53" i="42" l="1" a="1"/>
  <c r="J55" i="42" s="1"/>
  <c r="G53" i="42" l="1"/>
  <c r="D55" i="42"/>
  <c r="M53" i="42"/>
  <c r="L59" i="42"/>
  <c r="C55" i="42"/>
  <c r="K59" i="42"/>
  <c r="C57" i="42"/>
  <c r="K61" i="42"/>
  <c r="E57" i="42"/>
  <c r="B63" i="42"/>
  <c r="G57" i="42"/>
  <c r="I54" i="42"/>
  <c r="B58" i="42"/>
  <c r="G56" i="42"/>
  <c r="I58" i="42"/>
  <c r="H53" i="42"/>
  <c r="B53" i="42"/>
  <c r="K55" i="42"/>
  <c r="G58" i="42"/>
  <c r="H57" i="42"/>
  <c r="K54" i="42"/>
  <c r="F62" i="42"/>
  <c r="D63" i="42"/>
  <c r="K53" i="42"/>
  <c r="L63" i="42"/>
  <c r="F55" i="42"/>
  <c r="B62" i="42"/>
  <c r="H61" i="42"/>
  <c r="I63" i="42"/>
  <c r="J56" i="42"/>
  <c r="F54" i="42"/>
  <c r="I62" i="42"/>
  <c r="J63" i="42"/>
  <c r="E64" i="42"/>
  <c r="F59" i="42"/>
  <c r="I53" i="42"/>
  <c r="G54" i="42"/>
  <c r="K63" i="42"/>
  <c r="I60" i="42"/>
  <c r="M57" i="42"/>
  <c r="F64" i="42"/>
  <c r="G59" i="42"/>
  <c r="M54" i="42"/>
  <c r="G61" i="42"/>
  <c r="G63" i="42"/>
  <c r="M59" i="42"/>
  <c r="B56" i="42"/>
  <c r="B64" i="42"/>
  <c r="C61" i="42"/>
  <c r="I55" i="42"/>
  <c r="F60" i="42"/>
  <c r="G55" i="42"/>
  <c r="B54" i="42"/>
  <c r="G64" i="42"/>
  <c r="L53" i="42"/>
  <c r="K58" i="42"/>
  <c r="F56" i="42"/>
  <c r="C53" i="42"/>
  <c r="M55" i="42"/>
  <c r="I61" i="42"/>
  <c r="E59" i="42"/>
  <c r="H54" i="42"/>
  <c r="B61" i="42"/>
  <c r="H59" i="42"/>
  <c r="D60" i="42"/>
  <c r="J53" i="42"/>
  <c r="B60" i="42"/>
  <c r="E62" i="42"/>
  <c r="M60" i="42"/>
  <c r="L54" i="42"/>
  <c r="J61" i="42"/>
  <c r="H60" i="42"/>
  <c r="B55" i="42"/>
  <c r="F61" i="42"/>
  <c r="K64" i="42"/>
  <c r="D59" i="42"/>
  <c r="J62" i="42"/>
  <c r="C54" i="42"/>
  <c r="J60" i="42"/>
  <c r="E56" i="42"/>
  <c r="C63" i="42"/>
  <c r="H55" i="42"/>
  <c r="I59" i="42"/>
  <c r="K57" i="42"/>
  <c r="C60" i="42"/>
  <c r="F63" i="42"/>
  <c r="H56" i="42"/>
  <c r="K62" i="42"/>
  <c r="M62" i="42"/>
  <c r="C59" i="42"/>
  <c r="B57" i="42"/>
  <c r="H62" i="42"/>
  <c r="D61" i="42"/>
  <c r="L61" i="42"/>
  <c r="L62" i="42"/>
  <c r="C56" i="42"/>
  <c r="J57" i="42"/>
  <c r="D56" i="42"/>
  <c r="M63" i="42"/>
  <c r="F57" i="42"/>
  <c r="D62" i="42"/>
  <c r="G60" i="42"/>
  <c r="F58" i="42"/>
  <c r="D58" i="42"/>
  <c r="J54" i="42"/>
  <c r="H64" i="42"/>
  <c r="D53" i="42"/>
  <c r="E63" i="42"/>
  <c r="I56" i="42"/>
  <c r="E61" i="42"/>
  <c r="C58" i="42"/>
  <c r="M64" i="42"/>
  <c r="I57" i="42"/>
  <c r="E60" i="42"/>
  <c r="D57" i="42"/>
  <c r="B59" i="42"/>
  <c r="J58" i="42"/>
  <c r="L58" i="42"/>
  <c r="E58" i="42"/>
  <c r="D54" i="42"/>
  <c r="D64" i="42"/>
  <c r="L56" i="42"/>
  <c r="H63" i="42"/>
  <c r="C64" i="42"/>
  <c r="K56" i="42"/>
  <c r="J64" i="42"/>
  <c r="F53" i="42"/>
  <c r="E55" i="42"/>
  <c r="C62" i="42"/>
  <c r="I64" i="42"/>
  <c r="E53" i="42"/>
  <c r="M61" i="42"/>
  <c r="G62" i="42"/>
  <c r="H58" i="42"/>
  <c r="L57" i="42"/>
  <c r="M58" i="42"/>
  <c r="L60" i="42"/>
  <c r="L64" i="42"/>
  <c r="E54" i="42"/>
  <c r="J59" i="42"/>
  <c r="L55" i="42"/>
  <c r="M56" i="42"/>
  <c r="K60" i="42"/>
  <c r="N61" i="42" l="1"/>
  <c r="B78" i="42" s="1"/>
  <c r="N63" i="42"/>
  <c r="B80" i="42" s="1"/>
  <c r="N54" i="42"/>
  <c r="B71" i="42" s="1"/>
  <c r="B65" i="42"/>
  <c r="N58" i="42"/>
  <c r="B75" i="42" s="1"/>
  <c r="N55" i="42"/>
  <c r="B72" i="42" s="1"/>
  <c r="E65" i="42"/>
  <c r="N59" i="42"/>
  <c r="B76" i="42" s="1"/>
  <c r="N53" i="42"/>
  <c r="B70" i="42" s="1"/>
  <c r="C65" i="42"/>
  <c r="F65" i="42"/>
  <c r="J65" i="42"/>
  <c r="I65" i="42"/>
  <c r="N60" i="42"/>
  <c r="B77" i="42" s="1"/>
  <c r="N56" i="42"/>
  <c r="B73" i="42" s="1"/>
  <c r="D65" i="42"/>
  <c r="M65" i="42"/>
  <c r="N64" i="42"/>
  <c r="B81" i="42" s="1"/>
  <c r="L65" i="42"/>
  <c r="H65" i="42"/>
  <c r="N62" i="42"/>
  <c r="B79" i="42" s="1"/>
  <c r="G65" i="42"/>
  <c r="K65" i="42"/>
  <c r="N57" i="42"/>
  <c r="B74" i="42" s="1"/>
  <c r="C70" i="42" l="1" a="1"/>
  <c r="C77" i="42" s="1"/>
  <c r="D77" i="42" s="1"/>
  <c r="C75" i="42" l="1"/>
  <c r="D75" i="42" s="1"/>
  <c r="G77" i="42"/>
  <c r="H77" i="42" s="1"/>
  <c r="C74" i="42"/>
  <c r="G74" i="42" s="1"/>
  <c r="H74" i="42" s="1"/>
  <c r="C78" i="42"/>
  <c r="G78" i="42" s="1"/>
  <c r="H78" i="42" s="1"/>
  <c r="C80" i="42"/>
  <c r="D80" i="42" s="1"/>
  <c r="C79" i="42"/>
  <c r="D79" i="42" s="1"/>
  <c r="C72" i="42"/>
  <c r="G72" i="42" s="1"/>
  <c r="H72" i="42" s="1"/>
  <c r="C70" i="42"/>
  <c r="G70" i="42" s="1"/>
  <c r="H70" i="42" s="1"/>
  <c r="C81" i="42"/>
  <c r="G81" i="42" s="1"/>
  <c r="H81" i="42" s="1"/>
  <c r="C76" i="42"/>
  <c r="C73" i="42"/>
  <c r="G73" i="42" s="1"/>
  <c r="H73" i="42" s="1"/>
  <c r="C71" i="42"/>
  <c r="D81" i="42" l="1"/>
  <c r="G75" i="42"/>
  <c r="H75" i="42" s="1"/>
  <c r="D74" i="42"/>
  <c r="G79" i="42"/>
  <c r="H79" i="42" s="1"/>
  <c r="G80" i="42"/>
  <c r="H80" i="42" s="1"/>
  <c r="D78" i="42"/>
  <c r="G76" i="42"/>
  <c r="H76" i="42" s="1"/>
  <c r="D76" i="42"/>
  <c r="D72" i="42"/>
  <c r="D73" i="42"/>
  <c r="D70" i="42"/>
  <c r="D71" i="42"/>
  <c r="G71" i="42"/>
  <c r="H71" i="42" s="1"/>
  <c r="I71" i="42" l="1"/>
  <c r="D82" i="42"/>
  <c r="E72" i="42" s="1"/>
  <c r="I73" i="42"/>
  <c r="I79" i="42"/>
  <c r="I70" i="42"/>
  <c r="I77" i="42"/>
  <c r="I81" i="42"/>
  <c r="I76" i="42"/>
  <c r="I78" i="42"/>
  <c r="I80" i="42"/>
  <c r="I74" i="42"/>
  <c r="I75" i="42"/>
  <c r="I72" i="42"/>
  <c r="E75" i="42" l="1"/>
  <c r="E81" i="42"/>
  <c r="E77" i="42"/>
  <c r="E78" i="42"/>
  <c r="E70" i="42"/>
  <c r="E71" i="42"/>
  <c r="E80" i="42"/>
  <c r="E74" i="42"/>
  <c r="E79" i="42"/>
  <c r="E73" i="42"/>
  <c r="E76" i="42"/>
  <c r="F72" i="42" l="1"/>
  <c r="F73" i="42"/>
  <c r="F71" i="42"/>
  <c r="F78" i="42"/>
  <c r="F75" i="42"/>
  <c r="F70" i="42"/>
  <c r="F80" i="42"/>
  <c r="F81" i="42"/>
  <c r="F79" i="42"/>
  <c r="F77" i="42"/>
  <c r="F76" i="42"/>
  <c r="F74" i="42"/>
</calcChain>
</file>

<file path=xl/sharedStrings.xml><?xml version="1.0" encoding="utf-8"?>
<sst xmlns="http://schemas.openxmlformats.org/spreadsheetml/2006/main" count="10486" uniqueCount="97">
  <si>
    <t>DRI1</t>
  </si>
  <si>
    <t>DRI3</t>
  </si>
  <si>
    <t>DRI4</t>
  </si>
  <si>
    <t>DRI5</t>
  </si>
  <si>
    <t>DRI6</t>
  </si>
  <si>
    <t>DRI7</t>
  </si>
  <si>
    <t>DRI9</t>
  </si>
  <si>
    <t>DRI10</t>
  </si>
  <si>
    <t>DRI11</t>
  </si>
  <si>
    <t>DRI13</t>
  </si>
  <si>
    <t>DRI14</t>
  </si>
  <si>
    <t>DRI15</t>
  </si>
  <si>
    <t>VI;H</t>
  </si>
  <si>
    <t>VI;VH</t>
  </si>
  <si>
    <t>FI;VL</t>
  </si>
  <si>
    <t>WI;M</t>
  </si>
  <si>
    <t>NI;M</t>
  </si>
  <si>
    <t>WI;VL</t>
  </si>
  <si>
    <t>AI;VH</t>
  </si>
  <si>
    <t>VI;M</t>
  </si>
  <si>
    <t>WI;L</t>
  </si>
  <si>
    <t>FI;H</t>
  </si>
  <si>
    <t>FI;M</t>
  </si>
  <si>
    <t>NI;VL</t>
  </si>
  <si>
    <t>NI;L</t>
  </si>
  <si>
    <t>AI;H</t>
  </si>
  <si>
    <t>FI;L</t>
  </si>
  <si>
    <t>FI;VH</t>
  </si>
  <si>
    <t>F</t>
  </si>
  <si>
    <t>R</t>
  </si>
  <si>
    <t>F:R</t>
  </si>
  <si>
    <t>Z-Fuzzy</t>
  </si>
  <si>
    <t>AI</t>
  </si>
  <si>
    <t>VH</t>
  </si>
  <si>
    <t>(0,2846; 0,3795; 0,3795)</t>
  </si>
  <si>
    <t>H</t>
  </si>
  <si>
    <t>(0,251; 0,3347; 0,3347)</t>
  </si>
  <si>
    <t>VI</t>
  </si>
  <si>
    <t>(0,1897; 0,2846; 0,3795)</t>
  </si>
  <si>
    <t>M</t>
  </si>
  <si>
    <t>AI;M</t>
  </si>
  <si>
    <t>(0,2121; 0,2828; 0,2828)</t>
  </si>
  <si>
    <t>(0,1673; 0,251; 0,3347)</t>
  </si>
  <si>
    <t>(0,1414; 0,2121; 0,2828)</t>
  </si>
  <si>
    <t>L</t>
  </si>
  <si>
    <t>AI;L</t>
  </si>
  <si>
    <t>(0,1643; 0,2191; 0,2191)</t>
  </si>
  <si>
    <t>FI</t>
  </si>
  <si>
    <t>(0,0949; 0,1897; 0,2846)</t>
  </si>
  <si>
    <t>(0,0837; 0,1673; 0,251)</t>
  </si>
  <si>
    <t>VI;L</t>
  </si>
  <si>
    <t>(0,1095; 0,1643; 0,2191)</t>
  </si>
  <si>
    <t>(0,0707; 0,1414; 0,2121)</t>
  </si>
  <si>
    <t>VL</t>
  </si>
  <si>
    <t>AI;VL</t>
  </si>
  <si>
    <t>(0,0949; 0,1265; 0,1265)</t>
  </si>
  <si>
    <t>(0,0548; 0,1095; 0,1643)</t>
  </si>
  <si>
    <t>VI;VL</t>
  </si>
  <si>
    <t>(0,0632; 0,0949; 0,1265)</t>
  </si>
  <si>
    <t>WI</t>
  </si>
  <si>
    <t>WI;VH</t>
  </si>
  <si>
    <t>(0; 0,0949; 0,1897)</t>
  </si>
  <si>
    <t>WI;H</t>
  </si>
  <si>
    <t>(0; 0,0837; 0,1673)</t>
  </si>
  <si>
    <t>(0; 0,0707; 0,1414)</t>
  </si>
  <si>
    <t>(0,0316; 0,0632; 0,0949)</t>
  </si>
  <si>
    <t>(0; 0,0548; 0,1095)</t>
  </si>
  <si>
    <t>NI</t>
  </si>
  <si>
    <t>NI;VH</t>
  </si>
  <si>
    <t>(0; 0; 0,0949)</t>
  </si>
  <si>
    <t>(0; 0,0316; 0,0632)</t>
  </si>
  <si>
    <t>NI;H</t>
  </si>
  <si>
    <t>(0; 0; 0,0837)</t>
  </si>
  <si>
    <t>(0; 0; 0,0707)</t>
  </si>
  <si>
    <t>(0; 0; 0,0548)</t>
  </si>
  <si>
    <t>(0; 0; 0,0316)</t>
  </si>
  <si>
    <t>(0; 0; 0)</t>
  </si>
  <si>
    <t>U</t>
  </si>
  <si>
    <t>Ma trận quan hệ trực tiếp DRM</t>
  </si>
  <si>
    <t>Ma trận quan hệ trực tiếp dạng số thực DF</t>
  </si>
  <si>
    <t>Ma trận chuẩn hóa NDF</t>
  </si>
  <si>
    <t>Tổng</t>
  </si>
  <si>
    <t>Hệ số chuẩn hóa</t>
  </si>
  <si>
    <t>Ma trận đơn vị (I)</t>
  </si>
  <si>
    <t>I-NDF</t>
  </si>
  <si>
    <t>Ngịch đảo (I-NDF)</t>
  </si>
  <si>
    <t>Ma trận ảnh hưởng tổng thể TIM</t>
  </si>
  <si>
    <t>Xác định mối quan hệ và tính trọng số</t>
  </si>
  <si>
    <t>Nhân tố</t>
  </si>
  <si>
    <t>c</t>
  </si>
  <si>
    <t>r</t>
  </si>
  <si>
    <t>r+c</t>
  </si>
  <si>
    <t>Tổng r+c</t>
  </si>
  <si>
    <t>Trọng số w</t>
  </si>
  <si>
    <t>Xếp hạng</t>
  </si>
  <si>
    <t>r-c</t>
  </si>
  <si>
    <t>Nhân-Quả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</si>
</sst>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0" xfId="0" applyFont="1"/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7A202-338F-4F23-A51E-DDA1B32D0738}">
  <sheetPr codeName="Sheet1"/>
  <dimension ref="A1:BA82"/>
  <sheetViews>
    <sheetView tabSelected="1" topLeftCell="A60" workbookViewId="0">
      <selection activeCell="S80" sqref="S80"/>
    </sheetView>
  </sheetViews>
  <sheetFormatPr defaultRowHeight="13.8" x14ac:dyDescent="0.25"/>
  <cols>
    <col min="1" max="4" width="8.88671875" style="5"/>
    <col min="5" max="5" width="12" style="5" bestFit="1" customWidth="1"/>
    <col min="6" max="16384" width="8.88671875" style="5"/>
  </cols>
  <sheetData>
    <row r="1" spans="1:41" x14ac:dyDescent="0.25">
      <c r="A1" s="5" t="s">
        <v>78</v>
      </c>
    </row>
    <row r="3" spans="1:41" x14ac:dyDescent="0.25">
      <c r="A3" s="5" t="s">
        <v>44</v>
      </c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O3" s="5" t="s">
        <v>39</v>
      </c>
      <c r="P3" s="5" t="s">
        <v>0</v>
      </c>
      <c r="Q3" s="5" t="s">
        <v>1</v>
      </c>
      <c r="R3" s="5" t="s">
        <v>2</v>
      </c>
      <c r="S3" s="5" t="s">
        <v>3</v>
      </c>
      <c r="T3" s="5" t="s">
        <v>4</v>
      </c>
      <c r="U3" s="5" t="s">
        <v>5</v>
      </c>
      <c r="V3" s="5" t="s">
        <v>6</v>
      </c>
      <c r="W3" s="5" t="s">
        <v>7</v>
      </c>
      <c r="X3" s="5" t="s">
        <v>8</v>
      </c>
      <c r="Y3" s="5" t="s">
        <v>9</v>
      </c>
      <c r="Z3" s="5" t="s">
        <v>10</v>
      </c>
      <c r="AA3" s="5" t="s">
        <v>11</v>
      </c>
      <c r="AC3" s="5" t="s">
        <v>77</v>
      </c>
      <c r="AD3" s="5" t="s">
        <v>0</v>
      </c>
      <c r="AE3" s="5" t="s">
        <v>1</v>
      </c>
      <c r="AF3" s="5" t="s">
        <v>2</v>
      </c>
      <c r="AG3" s="5" t="s">
        <v>3</v>
      </c>
      <c r="AH3" s="5" t="s">
        <v>4</v>
      </c>
      <c r="AI3" s="5" t="s">
        <v>5</v>
      </c>
      <c r="AJ3" s="5" t="s">
        <v>6</v>
      </c>
      <c r="AK3" s="5" t="s">
        <v>7</v>
      </c>
      <c r="AL3" s="5" t="s">
        <v>8</v>
      </c>
      <c r="AM3" s="5" t="s">
        <v>9</v>
      </c>
      <c r="AN3" s="5" t="s">
        <v>10</v>
      </c>
      <c r="AO3" s="5" t="s">
        <v>11</v>
      </c>
    </row>
    <row r="4" spans="1:41" x14ac:dyDescent="0.25">
      <c r="A4" s="5" t="s">
        <v>0</v>
      </c>
      <c r="B4" s="5">
        <f>AVERAGE('Ans 1:Ans 40'!B30)</f>
        <v>0</v>
      </c>
      <c r="C4" s="5">
        <f>AVERAGE('Ans 1:Ans 40'!C30)</f>
        <v>0.16302500000000006</v>
      </c>
      <c r="D4" s="5">
        <f>AVERAGE('Ans 1:Ans 40'!D30)</f>
        <v>0.16316000000000005</v>
      </c>
      <c r="E4" s="5">
        <f>AVERAGE('Ans 1:Ans 40'!E30)</f>
        <v>3.4734999999999995E-2</v>
      </c>
      <c r="F4" s="5">
        <f>AVERAGE('Ans 1:Ans 40'!F30)</f>
        <v>7.3437500000000003E-2</v>
      </c>
      <c r="G4" s="5">
        <f>AVERAGE('Ans 1:Ans 40'!G30)</f>
        <v>3.8400000000000004E-2</v>
      </c>
      <c r="H4" s="5">
        <f>AVERAGE('Ans 1:Ans 40'!H30)</f>
        <v>5.491E-2</v>
      </c>
      <c r="I4" s="5">
        <f>AVERAGE('Ans 1:Ans 40'!I30)</f>
        <v>3.6587500000000002E-2</v>
      </c>
      <c r="J4" s="5">
        <f>AVERAGE('Ans 1:Ans 40'!J30)</f>
        <v>0.18283250000000009</v>
      </c>
      <c r="K4" s="5">
        <f>AVERAGE('Ans 1:Ans 40'!K30)</f>
        <v>3.36575E-2</v>
      </c>
      <c r="L4" s="5">
        <f>AVERAGE('Ans 1:Ans 40'!L30)</f>
        <v>4.5189999999999994E-2</v>
      </c>
      <c r="M4" s="5">
        <f>AVERAGE('Ans 1:Ans 40'!M30)</f>
        <v>4.8164999999999993E-2</v>
      </c>
      <c r="O4" s="5" t="s">
        <v>0</v>
      </c>
      <c r="P4" s="5">
        <f>AVERAGE('Ans 1:Ans 40'!B44)</f>
        <v>0</v>
      </c>
      <c r="Q4" s="5">
        <f>AVERAGE('Ans 1:Ans 40'!C44)</f>
        <v>0.25099000000000005</v>
      </c>
      <c r="R4" s="5">
        <f>AVERAGE('Ans 1:Ans 40'!D44)</f>
        <v>0.25104500000000007</v>
      </c>
      <c r="S4" s="5">
        <f>AVERAGE('Ans 1:Ans 40'!E44)</f>
        <v>8.4455000000000016E-2</v>
      </c>
      <c r="T4" s="5">
        <f>AVERAGE('Ans 1:Ans 40'!F44)</f>
        <v>0.12810250000000001</v>
      </c>
      <c r="U4" s="5">
        <f>AVERAGE('Ans 1:Ans 40'!G44)</f>
        <v>7.6902500000000013E-2</v>
      </c>
      <c r="V4" s="5">
        <f>AVERAGE('Ans 1:Ans 40'!H44)</f>
        <v>9.6789999999999987E-2</v>
      </c>
      <c r="W4" s="5">
        <f>AVERAGE('Ans 1:Ans 40'!I44)</f>
        <v>6.8995000000000001E-2</v>
      </c>
      <c r="X4" s="5">
        <f>AVERAGE('Ans 1:Ans 40'!J44)</f>
        <v>0.27325249999999995</v>
      </c>
      <c r="Y4" s="5">
        <f>AVERAGE('Ans 1:Ans 40'!K44)</f>
        <v>7.1364999999999984E-2</v>
      </c>
      <c r="Z4" s="5">
        <f>AVERAGE('Ans 1:Ans 40'!L44)</f>
        <v>8.9709999999999998E-2</v>
      </c>
      <c r="AA4" s="5">
        <f>AVERAGE('Ans 1:Ans 40'!M44)</f>
        <v>9.5199999999999993E-2</v>
      </c>
      <c r="AC4" s="5" t="s">
        <v>0</v>
      </c>
      <c r="AD4" s="5">
        <f>AVERAGE('Ans 1:Ans 40'!B58)</f>
        <v>0</v>
      </c>
      <c r="AE4" s="5">
        <f>AVERAGE('Ans 1:Ans 40'!C58)</f>
        <v>0.33895999999999998</v>
      </c>
      <c r="AF4" s="5">
        <f>AVERAGE('Ans 1:Ans 40'!D58)</f>
        <v>0.33894499999999994</v>
      </c>
      <c r="AG4" s="5">
        <f>AVERAGE('Ans 1:Ans 40'!E58)</f>
        <v>0.15779750000000001</v>
      </c>
      <c r="AH4" s="5">
        <f>AVERAGE('Ans 1:Ans 40'!F58)</f>
        <v>0.20253500000000005</v>
      </c>
      <c r="AI4" s="5">
        <f>AVERAGE('Ans 1:Ans 40'!G58)</f>
        <v>0.13852</v>
      </c>
      <c r="AJ4" s="5">
        <f>AVERAGE('Ans 1:Ans 40'!H58)</f>
        <v>0.16230249999999999</v>
      </c>
      <c r="AK4" s="5">
        <f>AVERAGE('Ans 1:Ans 40'!I58)</f>
        <v>0.12818750000000001</v>
      </c>
      <c r="AL4" s="5">
        <f>AVERAGE('Ans 1:Ans 40'!J58)</f>
        <v>0.36158000000000001</v>
      </c>
      <c r="AM4" s="5">
        <f>AVERAGE('Ans 1:Ans 40'!K58)</f>
        <v>0.1265125</v>
      </c>
      <c r="AN4" s="5">
        <f>AVERAGE('Ans 1:Ans 40'!L58)</f>
        <v>0.148065</v>
      </c>
      <c r="AO4" s="5">
        <f>AVERAGE('Ans 1:Ans 40'!M58)</f>
        <v>0.15383750000000002</v>
      </c>
    </row>
    <row r="5" spans="1:41" x14ac:dyDescent="0.25">
      <c r="A5" s="5" t="s">
        <v>1</v>
      </c>
      <c r="B5" s="5">
        <f>AVERAGE('Ans 1:Ans 40'!B31)</f>
        <v>3.0047499999999998E-2</v>
      </c>
      <c r="C5" s="5">
        <f>AVERAGE('Ans 1:Ans 40'!C31)</f>
        <v>0</v>
      </c>
      <c r="D5" s="5">
        <f>AVERAGE('Ans 1:Ans 40'!D31)</f>
        <v>0.25707249999999998</v>
      </c>
      <c r="E5" s="5">
        <f>AVERAGE('Ans 1:Ans 40'!E31)</f>
        <v>0.22590500000000019</v>
      </c>
      <c r="F5" s="5">
        <f>AVERAGE('Ans 1:Ans 40'!F31)</f>
        <v>6.0012499999999983E-2</v>
      </c>
      <c r="G5" s="5">
        <f>AVERAGE('Ans 1:Ans 40'!G31)</f>
        <v>0.16914750000000006</v>
      </c>
      <c r="H5" s="5">
        <f>AVERAGE('Ans 1:Ans 40'!H31)</f>
        <v>0.16880500000000007</v>
      </c>
      <c r="I5" s="5">
        <f>AVERAGE('Ans 1:Ans 40'!I31)</f>
        <v>1.7675E-2</v>
      </c>
      <c r="J5" s="5">
        <f>AVERAGE('Ans 1:Ans 40'!J31)</f>
        <v>0.16135750000000004</v>
      </c>
      <c r="K5" s="5">
        <f>AVERAGE('Ans 1:Ans 40'!K31)</f>
        <v>0.26947999999999989</v>
      </c>
      <c r="L5" s="5">
        <f>AVERAGE('Ans 1:Ans 40'!L31)</f>
        <v>0.17160500000000006</v>
      </c>
      <c r="M5" s="5">
        <f>AVERAGE('Ans 1:Ans 40'!M31)</f>
        <v>0.21062750000000011</v>
      </c>
      <c r="O5" s="5" t="s">
        <v>1</v>
      </c>
      <c r="P5" s="5">
        <f>AVERAGE('Ans 1:Ans 40'!B45)</f>
        <v>9.2680000000000012E-2</v>
      </c>
      <c r="Q5" s="5">
        <f>AVERAGE('Ans 1:Ans 40'!C45)</f>
        <v>0</v>
      </c>
      <c r="R5" s="5">
        <f>AVERAGE('Ans 1:Ans 40'!D45)</f>
        <v>0.34833249999999999</v>
      </c>
      <c r="S5" s="5">
        <f>AVERAGE('Ans 1:Ans 40'!E45)</f>
        <v>0.30835999999999997</v>
      </c>
      <c r="T5" s="5">
        <f>AVERAGE('Ans 1:Ans 40'!F45)</f>
        <v>0.12520500000000004</v>
      </c>
      <c r="U5" s="5">
        <f>AVERAGE('Ans 1:Ans 40'!G45)</f>
        <v>0.23530499999999996</v>
      </c>
      <c r="V5" s="5">
        <f>AVERAGE('Ans 1:Ans 40'!H45)</f>
        <v>0.23793500000000001</v>
      </c>
      <c r="W5" s="5">
        <f>AVERAGE('Ans 1:Ans 40'!I45)</f>
        <v>6.4597500000000002E-2</v>
      </c>
      <c r="X5" s="5">
        <f>AVERAGE('Ans 1:Ans 40'!J45)</f>
        <v>0.24100000000000002</v>
      </c>
      <c r="Y5" s="5">
        <f>AVERAGE('Ans 1:Ans 40'!K45)</f>
        <v>0.35933999999999999</v>
      </c>
      <c r="Z5" s="5">
        <f>AVERAGE('Ans 1:Ans 40'!L45)</f>
        <v>0.24796500000000005</v>
      </c>
      <c r="AA5" s="5">
        <f>AVERAGE('Ans 1:Ans 40'!M45)</f>
        <v>0.30175499999999988</v>
      </c>
      <c r="AC5" s="5" t="s">
        <v>1</v>
      </c>
      <c r="AD5" s="5">
        <f>AVERAGE('Ans 1:Ans 40'!B59)</f>
        <v>0.15529250000000003</v>
      </c>
      <c r="AE5" s="5">
        <f>AVERAGE('Ans 1:Ans 40'!C59)</f>
        <v>0</v>
      </c>
      <c r="AF5" s="5">
        <f>AVERAGE('Ans 1:Ans 40'!D59)</f>
        <v>0.36494000000000004</v>
      </c>
      <c r="AG5" s="5">
        <f>AVERAGE('Ans 1:Ans 40'!E59)</f>
        <v>0.32549499999999992</v>
      </c>
      <c r="AH5" s="5">
        <f>AVERAGE('Ans 1:Ans 40'!F59)</f>
        <v>0.19983250000000002</v>
      </c>
      <c r="AI5" s="5">
        <f>AVERAGE('Ans 1:Ans 40'!G59)</f>
        <v>0.26824750000000003</v>
      </c>
      <c r="AJ5" s="5">
        <f>AVERAGE('Ans 1:Ans 40'!H59)</f>
        <v>0.27299499999999999</v>
      </c>
      <c r="AK5" s="5">
        <f>AVERAGE('Ans 1:Ans 40'!I59)</f>
        <v>0.12939000000000003</v>
      </c>
      <c r="AL5" s="5">
        <f>AVERAGE('Ans 1:Ans 40'!J59)</f>
        <v>0.29500749999999998</v>
      </c>
      <c r="AM5" s="5">
        <f>AVERAGE('Ans 1:Ans 40'!K59)</f>
        <v>0.35933999999999999</v>
      </c>
      <c r="AN5" s="5">
        <f>AVERAGE('Ans 1:Ans 40'!L59)</f>
        <v>0.28609249999999997</v>
      </c>
      <c r="AO5" s="5">
        <f>AVERAGE('Ans 1:Ans 40'!M59)</f>
        <v>0.36618000000000006</v>
      </c>
    </row>
    <row r="6" spans="1:41" x14ac:dyDescent="0.25">
      <c r="A6" s="5" t="s">
        <v>2</v>
      </c>
      <c r="B6" s="5">
        <f>AVERAGE('Ans 1:Ans 40'!B32)</f>
        <v>7.0112499999999994E-2</v>
      </c>
      <c r="C6" s="5">
        <f>AVERAGE('Ans 1:Ans 40'!C32)</f>
        <v>3.8599999999999997E-3</v>
      </c>
      <c r="D6" s="5">
        <f>AVERAGE('Ans 1:Ans 40'!D32)</f>
        <v>0</v>
      </c>
      <c r="E6" s="5">
        <f>AVERAGE('Ans 1:Ans 40'!E32)</f>
        <v>7.703249999999999E-2</v>
      </c>
      <c r="F6" s="5">
        <f>AVERAGE('Ans 1:Ans 40'!F32)</f>
        <v>3.5349999999999999E-3</v>
      </c>
      <c r="G6" s="5">
        <f>AVERAGE('Ans 1:Ans 40'!G32)</f>
        <v>7.2347499999999995E-2</v>
      </c>
      <c r="H6" s="5">
        <f>AVERAGE('Ans 1:Ans 40'!H32)</f>
        <v>7.606499999999998E-2</v>
      </c>
      <c r="I6" s="5">
        <f>AVERAGE('Ans 1:Ans 40'!I32)</f>
        <v>1.2372499999999998E-2</v>
      </c>
      <c r="J6" s="5">
        <f>AVERAGE('Ans 1:Ans 40'!J32)</f>
        <v>0.24565250000000005</v>
      </c>
      <c r="K6" s="5">
        <f>AVERAGE('Ans 1:Ans 40'!K32)</f>
        <v>0.27031999999999995</v>
      </c>
      <c r="L6" s="5">
        <f>AVERAGE('Ans 1:Ans 40'!L32)</f>
        <v>0.17906000000000008</v>
      </c>
      <c r="M6" s="5">
        <f>AVERAGE('Ans 1:Ans 40'!M32)</f>
        <v>0.21705000000000013</v>
      </c>
      <c r="O6" s="5" t="s">
        <v>2</v>
      </c>
      <c r="P6" s="5">
        <f>AVERAGE('Ans 1:Ans 40'!B46)</f>
        <v>0.12969000000000003</v>
      </c>
      <c r="Q6" s="5">
        <f>AVERAGE('Ans 1:Ans 40'!C46)</f>
        <v>2.4269999999999996E-2</v>
      </c>
      <c r="R6" s="5">
        <f>AVERAGE('Ans 1:Ans 40'!D46)</f>
        <v>0</v>
      </c>
      <c r="S6" s="5">
        <f>AVERAGE('Ans 1:Ans 40'!E46)</f>
        <v>0.12994250000000002</v>
      </c>
      <c r="T6" s="5">
        <f>AVERAGE('Ans 1:Ans 40'!F46)</f>
        <v>4.4747499999999989E-2</v>
      </c>
      <c r="U6" s="5">
        <f>AVERAGE('Ans 1:Ans 40'!G46)</f>
        <v>0.12958500000000003</v>
      </c>
      <c r="V6" s="5">
        <f>AVERAGE('Ans 1:Ans 40'!H46)</f>
        <v>0.14119250000000003</v>
      </c>
      <c r="W6" s="5">
        <f>AVERAGE('Ans 1:Ans 40'!I46)</f>
        <v>4.9087499999999992E-2</v>
      </c>
      <c r="X6" s="5">
        <f>AVERAGE('Ans 1:Ans 40'!J46)</f>
        <v>0.33943249999999991</v>
      </c>
      <c r="Y6" s="5">
        <f>AVERAGE('Ans 1:Ans 40'!K46)</f>
        <v>0.36046</v>
      </c>
      <c r="Z6" s="5">
        <f>AVERAGE('Ans 1:Ans 40'!L46)</f>
        <v>0.26863999999999993</v>
      </c>
      <c r="AA6" s="5">
        <f>AVERAGE('Ans 1:Ans 40'!M46)</f>
        <v>0.31138999999999983</v>
      </c>
      <c r="AC6" s="5" t="s">
        <v>2</v>
      </c>
      <c r="AD6" s="5">
        <f>AVERAGE('Ans 1:Ans 40'!B60)</f>
        <v>0.20182500000000006</v>
      </c>
      <c r="AE6" s="5">
        <f>AVERAGE('Ans 1:Ans 40'!C60)</f>
        <v>9.0399999999999994E-2</v>
      </c>
      <c r="AF6" s="5">
        <f>AVERAGE('Ans 1:Ans 40'!D60)</f>
        <v>0</v>
      </c>
      <c r="AG6" s="5">
        <f>AVERAGE('Ans 1:Ans 40'!E60)</f>
        <v>0.2035975000000001</v>
      </c>
      <c r="AH6" s="5">
        <f>AVERAGE('Ans 1:Ans 40'!F60)</f>
        <v>0.10515500000000004</v>
      </c>
      <c r="AI6" s="5">
        <f>AVERAGE('Ans 1:Ans 40'!G60)</f>
        <v>0.19853000000000001</v>
      </c>
      <c r="AJ6" s="5">
        <f>AVERAGE('Ans 1:Ans 40'!H60)</f>
        <v>0.21397500000000003</v>
      </c>
      <c r="AK6" s="5">
        <f>AVERAGE('Ans 1:Ans 40'!I60)</f>
        <v>0.11388250000000003</v>
      </c>
      <c r="AL6" s="5">
        <f>AVERAGE('Ans 1:Ans 40'!J60)</f>
        <v>0.37502000000000013</v>
      </c>
      <c r="AM6" s="5">
        <f>AVERAGE('Ans 1:Ans 40'!K60)</f>
        <v>0.36046</v>
      </c>
      <c r="AN6" s="5">
        <f>AVERAGE('Ans 1:Ans 40'!L60)</f>
        <v>0.35822000000000004</v>
      </c>
      <c r="AO6" s="5">
        <f>AVERAGE('Ans 1:Ans 40'!M60)</f>
        <v>0.3772600000000001</v>
      </c>
    </row>
    <row r="7" spans="1:41" x14ac:dyDescent="0.25">
      <c r="A7" s="5" t="s">
        <v>3</v>
      </c>
      <c r="B7" s="5">
        <f>AVERAGE('Ans 1:Ans 40'!B33)</f>
        <v>7.5652500000000011E-2</v>
      </c>
      <c r="C7" s="5">
        <f>AVERAGE('Ans 1:Ans 40'!C33)</f>
        <v>7.9737500000000003E-2</v>
      </c>
      <c r="D7" s="5">
        <f>AVERAGE('Ans 1:Ans 40'!D33)</f>
        <v>7.3694999999999997E-2</v>
      </c>
      <c r="E7" s="5">
        <f>AVERAGE('Ans 1:Ans 40'!E33)</f>
        <v>0</v>
      </c>
      <c r="F7" s="5">
        <f>AVERAGE('Ans 1:Ans 40'!F33)</f>
        <v>6.930749999999998E-2</v>
      </c>
      <c r="G7" s="5">
        <f>AVERAGE('Ans 1:Ans 40'!G33)</f>
        <v>8.2810000000000022E-2</v>
      </c>
      <c r="H7" s="5">
        <f>AVERAGE('Ans 1:Ans 40'!H33)</f>
        <v>0.19553750000000009</v>
      </c>
      <c r="I7" s="5">
        <f>AVERAGE('Ans 1:Ans 40'!I33)</f>
        <v>6.0495E-2</v>
      </c>
      <c r="J7" s="5">
        <f>AVERAGE('Ans 1:Ans 40'!J33)</f>
        <v>0.22623000000000007</v>
      </c>
      <c r="K7" s="5">
        <f>AVERAGE('Ans 1:Ans 40'!K33)</f>
        <v>7.0632500000000015E-2</v>
      </c>
      <c r="L7" s="5">
        <f>AVERAGE('Ans 1:Ans 40'!L33)</f>
        <v>0.19847000000000009</v>
      </c>
      <c r="M7" s="5">
        <f>AVERAGE('Ans 1:Ans 40'!M33)</f>
        <v>0.14772250000000006</v>
      </c>
      <c r="O7" s="5" t="s">
        <v>3</v>
      </c>
      <c r="P7" s="5">
        <f>AVERAGE('Ans 1:Ans 40'!B47)</f>
        <v>0.12597250000000004</v>
      </c>
      <c r="Q7" s="5">
        <f>AVERAGE('Ans 1:Ans 40'!C47)</f>
        <v>0.13125000000000001</v>
      </c>
      <c r="R7" s="5">
        <f>AVERAGE('Ans 1:Ans 40'!D47)</f>
        <v>0.12752250000000004</v>
      </c>
      <c r="S7" s="5">
        <f>AVERAGE('Ans 1:Ans 40'!E47)</f>
        <v>0</v>
      </c>
      <c r="T7" s="5">
        <f>AVERAGE('Ans 1:Ans 40'!F47)</f>
        <v>0.13044250000000002</v>
      </c>
      <c r="U7" s="5">
        <f>AVERAGE('Ans 1:Ans 40'!G47)</f>
        <v>0.13864000000000004</v>
      </c>
      <c r="V7" s="5">
        <f>AVERAGE('Ans 1:Ans 40'!H47)</f>
        <v>0.28414499999999998</v>
      </c>
      <c r="W7" s="5">
        <f>AVERAGE('Ans 1:Ans 40'!I47)</f>
        <v>0.11184000000000002</v>
      </c>
      <c r="X7" s="5">
        <f>AVERAGE('Ans 1:Ans 40'!J47)</f>
        <v>0.31692999999999988</v>
      </c>
      <c r="Y7" s="5">
        <f>AVERAGE('Ans 1:Ans 40'!K47)</f>
        <v>0.11395250000000001</v>
      </c>
      <c r="Z7" s="5">
        <f>AVERAGE('Ans 1:Ans 40'!L47)</f>
        <v>0.28735749999999999</v>
      </c>
      <c r="AA7" s="5">
        <f>AVERAGE('Ans 1:Ans 40'!M47)</f>
        <v>0.22153750000000003</v>
      </c>
      <c r="AC7" s="5" t="s">
        <v>3</v>
      </c>
      <c r="AD7" s="5">
        <f>AVERAGE('Ans 1:Ans 40'!B61)</f>
        <v>0.18029000000000003</v>
      </c>
      <c r="AE7" s="5">
        <f>AVERAGE('Ans 1:Ans 40'!C61)</f>
        <v>0.18416750000000004</v>
      </c>
      <c r="AF7" s="5">
        <f>AVERAGE('Ans 1:Ans 40'!D61)</f>
        <v>0.18361250000000001</v>
      </c>
      <c r="AG7" s="5">
        <f>AVERAGE('Ans 1:Ans 40'!E61)</f>
        <v>0</v>
      </c>
      <c r="AH7" s="5">
        <f>AVERAGE('Ans 1:Ans 40'!F61)</f>
        <v>0.20415250000000001</v>
      </c>
      <c r="AI7" s="5">
        <f>AVERAGE('Ans 1:Ans 40'!G61)</f>
        <v>0.19558250000000005</v>
      </c>
      <c r="AJ7" s="5">
        <f>AVERAGE('Ans 1:Ans 40'!H61)</f>
        <v>0.35610000000000003</v>
      </c>
      <c r="AK7" s="5">
        <f>AVERAGE('Ans 1:Ans 40'!I61)</f>
        <v>0.17525500000000005</v>
      </c>
      <c r="AL7" s="5">
        <f>AVERAGE('Ans 1:Ans 40'!J61)</f>
        <v>0.36270000000000002</v>
      </c>
      <c r="AM7" s="5">
        <f>AVERAGE('Ans 1:Ans 40'!K61)</f>
        <v>0.16246250000000004</v>
      </c>
      <c r="AN7" s="5">
        <f>AVERAGE('Ans 1:Ans 40'!L61)</f>
        <v>0.35722000000000004</v>
      </c>
      <c r="AO7" s="5">
        <f>AVERAGE('Ans 1:Ans 40'!M61)</f>
        <v>0.28066500000000011</v>
      </c>
    </row>
    <row r="8" spans="1:41" x14ac:dyDescent="0.25">
      <c r="A8" s="5" t="s">
        <v>4</v>
      </c>
      <c r="B8" s="5">
        <f>AVERAGE('Ans 1:Ans 40'!B34)</f>
        <v>3.8599999999999997E-3</v>
      </c>
      <c r="C8" s="5">
        <f>AVERAGE('Ans 1:Ans 40'!C34)</f>
        <v>7.0699999999999999E-3</v>
      </c>
      <c r="D8" s="5">
        <f>AVERAGE('Ans 1:Ans 40'!D34)</f>
        <v>5.6274999999999988E-3</v>
      </c>
      <c r="E8" s="5">
        <f>AVERAGE('Ans 1:Ans 40'!E34)</f>
        <v>5.3024999999999999E-3</v>
      </c>
      <c r="F8" s="5">
        <f>AVERAGE('Ans 1:Ans 40'!F34)</f>
        <v>0</v>
      </c>
      <c r="G8" s="5">
        <f>AVERAGE('Ans 1:Ans 40'!G34)</f>
        <v>0.17739500000000008</v>
      </c>
      <c r="H8" s="5">
        <f>AVERAGE('Ans 1:Ans 40'!H34)</f>
        <v>9.4849999999999986E-3</v>
      </c>
      <c r="I8" s="5">
        <f>AVERAGE('Ans 1:Ans 40'!I34)</f>
        <v>1.2372499999999998E-2</v>
      </c>
      <c r="J8" s="5">
        <f>AVERAGE('Ans 1:Ans 40'!J34)</f>
        <v>0.21824250000000003</v>
      </c>
      <c r="K8" s="5">
        <f>AVERAGE('Ans 1:Ans 40'!K34)</f>
        <v>0.21728500000000012</v>
      </c>
      <c r="L8" s="5">
        <f>AVERAGE('Ans 1:Ans 40'!L34)</f>
        <v>1.414E-2</v>
      </c>
      <c r="M8" s="5">
        <f>AVERAGE('Ans 1:Ans 40'!M34)</f>
        <v>8.8374999999999999E-3</v>
      </c>
      <c r="O8" s="5" t="s">
        <v>4</v>
      </c>
      <c r="P8" s="5">
        <f>AVERAGE('Ans 1:Ans 40'!B48)</f>
        <v>3.7562499999999992E-2</v>
      </c>
      <c r="Q8" s="5">
        <f>AVERAGE('Ans 1:Ans 40'!C48)</f>
        <v>4.9082499999999987E-2</v>
      </c>
      <c r="R8" s="5">
        <f>AVERAGE('Ans 1:Ans 40'!D48)</f>
        <v>3.0287499999999995E-2</v>
      </c>
      <c r="S8" s="5">
        <f>AVERAGE('Ans 1:Ans 40'!E48)</f>
        <v>3.6382499999999998E-2</v>
      </c>
      <c r="T8" s="5">
        <f>AVERAGE('Ans 1:Ans 40'!F48)</f>
        <v>0</v>
      </c>
      <c r="U8" s="5">
        <f>AVERAGE('Ans 1:Ans 40'!G48)</f>
        <v>0.26358500000000001</v>
      </c>
      <c r="V8" s="5">
        <f>AVERAGE('Ans 1:Ans 40'!H48)</f>
        <v>4.9592499999999998E-2</v>
      </c>
      <c r="W8" s="5">
        <f>AVERAGE('Ans 1:Ans 40'!I48)</f>
        <v>5.2622499999999996E-2</v>
      </c>
      <c r="X8" s="5">
        <f>AVERAGE('Ans 1:Ans 40'!J48)</f>
        <v>0.30530249999999975</v>
      </c>
      <c r="Y8" s="5">
        <f>AVERAGE('Ans 1:Ans 40'!K48)</f>
        <v>0.30714499999999983</v>
      </c>
      <c r="Z8" s="5">
        <f>AVERAGE('Ans 1:Ans 40'!L48)</f>
        <v>5.0919999999999986E-2</v>
      </c>
      <c r="AA8" s="5">
        <f>AVERAGE('Ans 1:Ans 40'!M48)</f>
        <v>4.6269999999999992E-2</v>
      </c>
      <c r="AC8" s="5" t="s">
        <v>4</v>
      </c>
      <c r="AD8" s="5">
        <f>AVERAGE('Ans 1:Ans 40'!B62)</f>
        <v>9.5910000000000023E-2</v>
      </c>
      <c r="AE8" s="5">
        <f>AVERAGE('Ans 1:Ans 40'!C62)</f>
        <v>0.11246500000000001</v>
      </c>
      <c r="AF8" s="5">
        <f>AVERAGE('Ans 1:Ans 40'!D62)</f>
        <v>9.1967500000000021E-2</v>
      </c>
      <c r="AG8" s="5">
        <f>AVERAGE('Ans 1:Ans 40'!E62)</f>
        <v>9.6244999999999983E-2</v>
      </c>
      <c r="AH8" s="5">
        <f>AVERAGE('Ans 1:Ans 40'!F62)</f>
        <v>0</v>
      </c>
      <c r="AI8" s="5">
        <f>AVERAGE('Ans 1:Ans 40'!G62)</f>
        <v>0.31966999999999995</v>
      </c>
      <c r="AJ8" s="5">
        <f>AVERAGE('Ans 1:Ans 40'!H62)</f>
        <v>0.11683499999999998</v>
      </c>
      <c r="AK8" s="5">
        <f>AVERAGE('Ans 1:Ans 40'!I62)</f>
        <v>0.11799750000000005</v>
      </c>
      <c r="AL8" s="5">
        <f>AVERAGE('Ans 1:Ans 40'!J62)</f>
        <v>0.34813999999999995</v>
      </c>
      <c r="AM8" s="5">
        <f>AVERAGE('Ans 1:Ans 40'!K62)</f>
        <v>0.35934000000000005</v>
      </c>
      <c r="AN8" s="5">
        <f>AVERAGE('Ans 1:Ans 40'!L62)</f>
        <v>0.11371750000000003</v>
      </c>
      <c r="AO8" s="5">
        <f>AVERAGE('Ans 1:Ans 40'!M62)</f>
        <v>0.11069999999999999</v>
      </c>
    </row>
    <row r="9" spans="1:41" x14ac:dyDescent="0.25">
      <c r="A9" s="5" t="s">
        <v>5</v>
      </c>
      <c r="B9" s="5">
        <f>AVERAGE('Ans 1:Ans 40'!B35)</f>
        <v>7.3950000000000005E-3</v>
      </c>
      <c r="C9" s="5">
        <f>AVERAGE('Ans 1:Ans 40'!C35)</f>
        <v>7.0699999999999999E-3</v>
      </c>
      <c r="D9" s="5">
        <f>AVERAGE('Ans 1:Ans 40'!D35)</f>
        <v>3.5349999999999999E-3</v>
      </c>
      <c r="E9" s="5">
        <f>AVERAGE('Ans 1:Ans 40'!E35)</f>
        <v>7.0699999999999999E-3</v>
      </c>
      <c r="F9" s="5">
        <f>AVERAGE('Ans 1:Ans 40'!F35)</f>
        <v>5.3024999999999999E-3</v>
      </c>
      <c r="G9" s="5">
        <f>AVERAGE('Ans 1:Ans 40'!G35)</f>
        <v>0</v>
      </c>
      <c r="H9" s="5">
        <f>AVERAGE('Ans 1:Ans 40'!H35)</f>
        <v>5.6274999999999988E-3</v>
      </c>
      <c r="I9" s="5">
        <f>AVERAGE('Ans 1:Ans 40'!I35)</f>
        <v>9.1624999999999988E-3</v>
      </c>
      <c r="J9" s="5">
        <f>AVERAGE('Ans 1:Ans 40'!J35)</f>
        <v>0.18648000000000009</v>
      </c>
      <c r="K9" s="5">
        <f>AVERAGE('Ans 1:Ans 40'!K35)</f>
        <v>1.7675E-3</v>
      </c>
      <c r="L9" s="5">
        <f>AVERAGE('Ans 1:Ans 40'!L35)</f>
        <v>5.6274999999999988E-3</v>
      </c>
      <c r="M9" s="5">
        <f>AVERAGE('Ans 1:Ans 40'!M35)</f>
        <v>5.3024999999999999E-3</v>
      </c>
      <c r="O9" s="5" t="s">
        <v>5</v>
      </c>
      <c r="P9" s="5">
        <f>AVERAGE('Ans 1:Ans 40'!B49)</f>
        <v>4.197999999999999E-2</v>
      </c>
      <c r="Q9" s="5">
        <f>AVERAGE('Ans 1:Ans 40'!C49)</f>
        <v>3.8074999999999991E-2</v>
      </c>
      <c r="R9" s="5">
        <f>AVERAGE('Ans 1:Ans 40'!D49)</f>
        <v>3.7939999999999995E-2</v>
      </c>
      <c r="S9" s="5">
        <f>AVERAGE('Ans 1:Ans 40'!E49)</f>
        <v>3.6499999999999991E-2</v>
      </c>
      <c r="T9" s="5">
        <f>AVERAGE('Ans 1:Ans 40'!F49)</f>
        <v>3.6312499999999998E-2</v>
      </c>
      <c r="U9" s="5">
        <f>AVERAGE('Ans 1:Ans 40'!G49)</f>
        <v>0</v>
      </c>
      <c r="V9" s="5">
        <f>AVERAGE('Ans 1:Ans 40'!H49)</f>
        <v>4.0104999999999988E-2</v>
      </c>
      <c r="W9" s="5">
        <f>AVERAGE('Ans 1:Ans 40'!I49)</f>
        <v>3.7034999999999992E-2</v>
      </c>
      <c r="X9" s="5">
        <f>AVERAGE('Ans 1:Ans 40'!J49)</f>
        <v>0.26422000000000001</v>
      </c>
      <c r="Y9" s="5">
        <f>AVERAGE('Ans 1:Ans 40'!K49)</f>
        <v>3.4012499999999994E-2</v>
      </c>
      <c r="Z9" s="5">
        <f>AVERAGE('Ans 1:Ans 40'!L49)</f>
        <v>2.76175E-2</v>
      </c>
      <c r="AA9" s="5">
        <f>AVERAGE('Ans 1:Ans 40'!M49)</f>
        <v>3.8614999999999997E-2</v>
      </c>
      <c r="AC9" s="5" t="s">
        <v>5</v>
      </c>
      <c r="AD9" s="5">
        <f>AVERAGE('Ans 1:Ans 40'!B63)</f>
        <v>0.107955</v>
      </c>
      <c r="AE9" s="5">
        <f>AVERAGE('Ans 1:Ans 40'!C63)</f>
        <v>0.10011250000000002</v>
      </c>
      <c r="AF9" s="5">
        <f>AVERAGE('Ans 1:Ans 40'!D63)</f>
        <v>0.10351750000000001</v>
      </c>
      <c r="AG9" s="5">
        <f>AVERAGE('Ans 1:Ans 40'!E63)</f>
        <v>0.10071250000000001</v>
      </c>
      <c r="AH9" s="5">
        <f>AVERAGE('Ans 1:Ans 40'!F63)</f>
        <v>0.10001749999999998</v>
      </c>
      <c r="AI9" s="5">
        <f>AVERAGE('Ans 1:Ans 40'!G63)</f>
        <v>0</v>
      </c>
      <c r="AJ9" s="5">
        <f>AVERAGE('Ans 1:Ans 40'!H63)</f>
        <v>0.10608500000000001</v>
      </c>
      <c r="AK9" s="5">
        <f>AVERAGE('Ans 1:Ans 40'!I63)</f>
        <v>0.1041</v>
      </c>
      <c r="AL9" s="5">
        <f>AVERAGE('Ans 1:Ans 40'!J63)</f>
        <v>0.30074250000000002</v>
      </c>
      <c r="AM9" s="5">
        <f>AVERAGE('Ans 1:Ans 40'!K63)</f>
        <v>9.7570000000000018E-2</v>
      </c>
      <c r="AN9" s="5">
        <f>AVERAGE('Ans 1:Ans 40'!L63)</f>
        <v>8.9042500000000011E-2</v>
      </c>
      <c r="AO9" s="5">
        <f>AVERAGE('Ans 1:Ans 40'!M63)</f>
        <v>9.9202500000000013E-2</v>
      </c>
    </row>
    <row r="10" spans="1:41" x14ac:dyDescent="0.25">
      <c r="A10" s="5" t="s">
        <v>6</v>
      </c>
      <c r="B10" s="5">
        <f>AVERAGE('Ans 1:Ans 40'!B36)</f>
        <v>2.8415000000000003E-2</v>
      </c>
      <c r="C10" s="5">
        <f>AVERAGE('Ans 1:Ans 40'!C36)</f>
        <v>2.8017500000000001E-2</v>
      </c>
      <c r="D10" s="5">
        <f>AVERAGE('Ans 1:Ans 40'!D36)</f>
        <v>2.6647500000000001E-2</v>
      </c>
      <c r="E10" s="5">
        <f>AVERAGE('Ans 1:Ans 40'!E36)</f>
        <v>2.6647500000000001E-2</v>
      </c>
      <c r="F10" s="5">
        <f>AVERAGE('Ans 1:Ans 40'!F36)</f>
        <v>2.8017500000000001E-2</v>
      </c>
      <c r="G10" s="5">
        <f>AVERAGE('Ans 1:Ans 40'!G36)</f>
        <v>3.0832499999999995E-2</v>
      </c>
      <c r="H10" s="5">
        <f>AVERAGE('Ans 1:Ans 40'!H36)</f>
        <v>0</v>
      </c>
      <c r="I10" s="5">
        <f>AVERAGE('Ans 1:Ans 40'!I36)</f>
        <v>1.7675E-2</v>
      </c>
      <c r="J10" s="5">
        <f>AVERAGE('Ans 1:Ans 40'!J36)</f>
        <v>2.4880000000000003E-2</v>
      </c>
      <c r="K10" s="5">
        <f>AVERAGE('Ans 1:Ans 40'!K36)</f>
        <v>5.3835000000000001E-2</v>
      </c>
      <c r="L10" s="5">
        <f>AVERAGE('Ans 1:Ans 40'!L36)</f>
        <v>2.4880000000000003E-2</v>
      </c>
      <c r="M10" s="5">
        <f>AVERAGE('Ans 1:Ans 40'!M36)</f>
        <v>2.6250000000000002E-2</v>
      </c>
      <c r="O10" s="5" t="s">
        <v>6</v>
      </c>
      <c r="P10" s="5">
        <f>AVERAGE('Ans 1:Ans 40'!B50)</f>
        <v>6.9169999999999995E-2</v>
      </c>
      <c r="Q10" s="5">
        <f>AVERAGE('Ans 1:Ans 40'!C50)</f>
        <v>6.1175E-2</v>
      </c>
      <c r="R10" s="5">
        <f>AVERAGE('Ans 1:Ans 40'!D50)</f>
        <v>5.9404999999999999E-2</v>
      </c>
      <c r="S10" s="5">
        <f>AVERAGE('Ans 1:Ans 40'!E50)</f>
        <v>6.8050000000000013E-2</v>
      </c>
      <c r="T10" s="5">
        <f>AVERAGE('Ans 1:Ans 40'!F50)</f>
        <v>5.9867499999999997E-2</v>
      </c>
      <c r="U10" s="5">
        <f>AVERAGE('Ans 1:Ans 40'!G50)</f>
        <v>6.54275E-2</v>
      </c>
      <c r="V10" s="5">
        <f>AVERAGE('Ans 1:Ans 40'!H50)</f>
        <v>0</v>
      </c>
      <c r="W10" s="5">
        <f>AVERAGE('Ans 1:Ans 40'!I50)</f>
        <v>6.4195000000000002E-2</v>
      </c>
      <c r="X10" s="5">
        <f>AVERAGE('Ans 1:Ans 40'!J50)</f>
        <v>5.8940000000000006E-2</v>
      </c>
      <c r="Y10" s="5">
        <f>AVERAGE('Ans 1:Ans 40'!K50)</f>
        <v>0.10166250000000002</v>
      </c>
      <c r="Z10" s="5">
        <f>AVERAGE('Ans 1:Ans 40'!L50)</f>
        <v>6.131000000000001E-2</v>
      </c>
      <c r="AA10" s="5">
        <f>AVERAGE('Ans 1:Ans 40'!M50)</f>
        <v>6.4087499999999992E-2</v>
      </c>
      <c r="AC10" s="5" t="s">
        <v>6</v>
      </c>
      <c r="AD10" s="5">
        <f>AVERAGE('Ans 1:Ans 40'!B64)</f>
        <v>0.12659000000000004</v>
      </c>
      <c r="AE10" s="5">
        <f>AVERAGE('Ans 1:Ans 40'!C64)</f>
        <v>0.11969750000000005</v>
      </c>
      <c r="AF10" s="5">
        <f>AVERAGE('Ans 1:Ans 40'!D64)</f>
        <v>0.11794750000000005</v>
      </c>
      <c r="AG10" s="5">
        <f>AVERAGE('Ans 1:Ans 40'!E64)</f>
        <v>0.12496000000000003</v>
      </c>
      <c r="AH10" s="5">
        <f>AVERAGE('Ans 1:Ans 40'!F64)</f>
        <v>0.11842000000000001</v>
      </c>
      <c r="AI10" s="5">
        <f>AVERAGE('Ans 1:Ans 40'!G64)</f>
        <v>0.12672750000000005</v>
      </c>
      <c r="AJ10" s="5">
        <f>AVERAGE('Ans 1:Ans 40'!H64)</f>
        <v>0</v>
      </c>
      <c r="AK10" s="5">
        <f>AVERAGE('Ans 1:Ans 40'!I64)</f>
        <v>0.12601500000000002</v>
      </c>
      <c r="AL10" s="5">
        <f>AVERAGE('Ans 1:Ans 40'!J64)</f>
        <v>0.11846000000000001</v>
      </c>
      <c r="AM10" s="5">
        <f>AVERAGE('Ans 1:Ans 40'!K64)</f>
        <v>0.16172999999999998</v>
      </c>
      <c r="AN10" s="5">
        <f>AVERAGE('Ans 1:Ans 40'!L64)</f>
        <v>0.11912750000000001</v>
      </c>
      <c r="AO10" s="5">
        <f>AVERAGE('Ans 1:Ans 40'!M64)</f>
        <v>0.12139750000000002</v>
      </c>
    </row>
    <row r="11" spans="1:41" x14ac:dyDescent="0.25">
      <c r="A11" s="5" t="s">
        <v>7</v>
      </c>
      <c r="B11" s="5">
        <f>AVERAGE('Ans 1:Ans 40'!B37)</f>
        <v>7.0699999999999999E-3</v>
      </c>
      <c r="C11" s="5">
        <f>AVERAGE('Ans 1:Ans 40'!C37)</f>
        <v>1.7675E-3</v>
      </c>
      <c r="D11" s="5">
        <f>AVERAGE('Ans 1:Ans 40'!D37)</f>
        <v>5.6274999999999988E-3</v>
      </c>
      <c r="E11" s="5">
        <f>AVERAGE('Ans 1:Ans 40'!E37)</f>
        <v>5.6274999999999988E-3</v>
      </c>
      <c r="F11" s="5">
        <f>AVERAGE('Ans 1:Ans 40'!F37)</f>
        <v>3.8599999999999997E-3</v>
      </c>
      <c r="G11" s="5">
        <f>AVERAGE('Ans 1:Ans 40'!G37)</f>
        <v>3.5349999999999999E-3</v>
      </c>
      <c r="H11" s="5">
        <f>AVERAGE('Ans 1:Ans 40'!H37)</f>
        <v>1.7675E-3</v>
      </c>
      <c r="I11" s="5">
        <f>AVERAGE('Ans 1:Ans 40'!I37)</f>
        <v>0</v>
      </c>
      <c r="J11" s="5">
        <f>AVERAGE('Ans 1:Ans 40'!J37)</f>
        <v>0.11261750000000006</v>
      </c>
      <c r="K11" s="5">
        <f>AVERAGE('Ans 1:Ans 40'!K37)</f>
        <v>0.24842250000000005</v>
      </c>
      <c r="L11" s="5">
        <f>AVERAGE('Ans 1:Ans 40'!L37)</f>
        <v>0.22374000000000011</v>
      </c>
      <c r="M11" s="5">
        <f>AVERAGE('Ans 1:Ans 40'!M37)</f>
        <v>0.19417500000000013</v>
      </c>
      <c r="O11" s="5" t="s">
        <v>7</v>
      </c>
      <c r="P11" s="5">
        <f>AVERAGE('Ans 1:Ans 40'!B51)</f>
        <v>3.7292499999999992E-2</v>
      </c>
      <c r="Q11" s="5">
        <f>AVERAGE('Ans 1:Ans 40'!C51)</f>
        <v>3.0549999999999994E-2</v>
      </c>
      <c r="R11" s="5">
        <f>AVERAGE('Ans 1:Ans 40'!D51)</f>
        <v>3.6964999999999998E-2</v>
      </c>
      <c r="S11" s="5">
        <f>AVERAGE('Ans 1:Ans 40'!E51)</f>
        <v>3.3357499999999998E-2</v>
      </c>
      <c r="T11" s="5">
        <f>AVERAGE('Ans 1:Ans 40'!F51)</f>
        <v>3.5449999999999995E-2</v>
      </c>
      <c r="U11" s="5">
        <f>AVERAGE('Ans 1:Ans 40'!G51)</f>
        <v>4.1977499999999987E-2</v>
      </c>
      <c r="V11" s="5">
        <f>AVERAGE('Ans 1:Ans 40'!H51)</f>
        <v>2.6434999999999997E-2</v>
      </c>
      <c r="W11" s="5">
        <f>AVERAGE('Ans 1:Ans 40'!I51)</f>
        <v>0</v>
      </c>
      <c r="X11" s="5">
        <f>AVERAGE('Ans 1:Ans 40'!J51)</f>
        <v>0.17088000000000009</v>
      </c>
      <c r="Y11" s="5">
        <f>AVERAGE('Ans 1:Ans 40'!K51)</f>
        <v>0.33996249999999989</v>
      </c>
      <c r="Z11" s="5">
        <f>AVERAGE('Ans 1:Ans 40'!L51)</f>
        <v>0.31668000000000002</v>
      </c>
      <c r="AA11" s="5">
        <f>AVERAGE('Ans 1:Ans 40'!M51)</f>
        <v>0.28541</v>
      </c>
      <c r="AC11" s="5" t="s">
        <v>7</v>
      </c>
      <c r="AD11" s="5">
        <f>AVERAGE('Ans 1:Ans 40'!B65)</f>
        <v>0.10157250000000002</v>
      </c>
      <c r="AE11" s="5">
        <f>AVERAGE('Ans 1:Ans 40'!C65)</f>
        <v>9.4145000000000006E-2</v>
      </c>
      <c r="AF11" s="5">
        <f>AVERAGE('Ans 1:Ans 40'!D65)</f>
        <v>0.10002250000000001</v>
      </c>
      <c r="AG11" s="5">
        <f>AVERAGE('Ans 1:Ans 40'!E65)</f>
        <v>9.7710000000000005E-2</v>
      </c>
      <c r="AH11" s="5">
        <f>AVERAGE('Ans 1:Ans 40'!F65)</f>
        <v>0.10015749999999998</v>
      </c>
      <c r="AI11" s="5">
        <f>AVERAGE('Ans 1:Ans 40'!G65)</f>
        <v>0.10497750000000003</v>
      </c>
      <c r="AJ11" s="5">
        <f>AVERAGE('Ans 1:Ans 40'!H65)</f>
        <v>9.1047500000000031E-2</v>
      </c>
      <c r="AK11" s="5">
        <f>AVERAGE('Ans 1:Ans 40'!I65)</f>
        <v>0</v>
      </c>
      <c r="AL11" s="5">
        <f>AVERAGE('Ans 1:Ans 40'!J65)</f>
        <v>0.24378000000000011</v>
      </c>
      <c r="AM11" s="5">
        <f>AVERAGE('Ans 1:Ans 40'!K65)</f>
        <v>0.36606000000000005</v>
      </c>
      <c r="AN11" s="5">
        <f>AVERAGE('Ans 1:Ans 40'!L65)</f>
        <v>0.3716600000000001</v>
      </c>
      <c r="AO11" s="5">
        <f>AVERAGE('Ans 1:Ans 40'!M65)</f>
        <v>0.34401500000000002</v>
      </c>
    </row>
    <row r="12" spans="1:41" x14ac:dyDescent="0.25">
      <c r="A12" s="5" t="s">
        <v>8</v>
      </c>
      <c r="B12" s="5">
        <f>AVERAGE('Ans 1:Ans 40'!B38)</f>
        <v>0.11036000000000001</v>
      </c>
      <c r="C12" s="5">
        <f>AVERAGE('Ans 1:Ans 40'!C38)</f>
        <v>3.5349999999999999E-3</v>
      </c>
      <c r="D12" s="5">
        <f>AVERAGE('Ans 1:Ans 40'!D38)</f>
        <v>1.7675E-3</v>
      </c>
      <c r="E12" s="5">
        <f>AVERAGE('Ans 1:Ans 40'!E38)</f>
        <v>4.1849999999999995E-3</v>
      </c>
      <c r="F12" s="5">
        <f>AVERAGE('Ans 1:Ans 40'!F38)</f>
        <v>1.7675E-3</v>
      </c>
      <c r="G12" s="5">
        <f>AVERAGE('Ans 1:Ans 40'!G38)</f>
        <v>5.6274999999999988E-3</v>
      </c>
      <c r="H12" s="5">
        <f>AVERAGE('Ans 1:Ans 40'!H38)</f>
        <v>0.17643000000000009</v>
      </c>
      <c r="I12" s="5">
        <f>AVERAGE('Ans 1:Ans 40'!I38)</f>
        <v>2.0924999999999997E-3</v>
      </c>
      <c r="J12" s="5">
        <f>AVERAGE('Ans 1:Ans 40'!J38)</f>
        <v>0</v>
      </c>
      <c r="K12" s="5">
        <f>AVERAGE('Ans 1:Ans 40'!K38)</f>
        <v>0.26152499999999995</v>
      </c>
      <c r="L12" s="5">
        <f>AVERAGE('Ans 1:Ans 40'!L38)</f>
        <v>0.22358250000000007</v>
      </c>
      <c r="M12" s="5">
        <f>AVERAGE('Ans 1:Ans 40'!M38)</f>
        <v>0.22248750000000012</v>
      </c>
      <c r="O12" s="5" t="s">
        <v>8</v>
      </c>
      <c r="P12" s="5">
        <f>AVERAGE('Ans 1:Ans 40'!B52)</f>
        <v>0.19141500000000006</v>
      </c>
      <c r="Q12" s="5">
        <f>AVERAGE('Ans 1:Ans 40'!C52)</f>
        <v>3.0357499999999999E-2</v>
      </c>
      <c r="R12" s="5">
        <f>AVERAGE('Ans 1:Ans 40'!D52)</f>
        <v>3.0154999999999994E-2</v>
      </c>
      <c r="S12" s="5">
        <f>AVERAGE('Ans 1:Ans 40'!E52)</f>
        <v>3.7717499999999994E-2</v>
      </c>
      <c r="T12" s="5">
        <f>AVERAGE('Ans 1:Ans 40'!F52)</f>
        <v>2.4197499999999997E-2</v>
      </c>
      <c r="U12" s="5">
        <f>AVERAGE('Ans 1:Ans 40'!G52)</f>
        <v>3.2059999999999998E-2</v>
      </c>
      <c r="V12" s="5">
        <f>AVERAGE('Ans 1:Ans 40'!H52)</f>
        <v>0.25309999999999999</v>
      </c>
      <c r="W12" s="5">
        <f>AVERAGE('Ans 1:Ans 40'!I52)</f>
        <v>3.8265E-2</v>
      </c>
      <c r="X12" s="5">
        <f>AVERAGE('Ans 1:Ans 40'!J52)</f>
        <v>0</v>
      </c>
      <c r="Y12" s="5">
        <f>AVERAGE('Ans 1:Ans 40'!K52)</f>
        <v>0.3487325</v>
      </c>
      <c r="Z12" s="5">
        <f>AVERAGE('Ans 1:Ans 40'!L52)</f>
        <v>0.31218750000000001</v>
      </c>
      <c r="AA12" s="5">
        <f>AVERAGE('Ans 1:Ans 40'!M52)</f>
        <v>0.31598749999999998</v>
      </c>
      <c r="AC12" s="5" t="s">
        <v>8</v>
      </c>
      <c r="AD12" s="5">
        <f>AVERAGE('Ans 1:Ans 40'!B66)</f>
        <v>0.27251499999999995</v>
      </c>
      <c r="AE12" s="5">
        <f>AVERAGE('Ans 1:Ans 40'!C66)</f>
        <v>9.1887500000000011E-2</v>
      </c>
      <c r="AF12" s="5">
        <f>AVERAGE('Ans 1:Ans 40'!D66)</f>
        <v>9.8087500000000008E-2</v>
      </c>
      <c r="AG12" s="5">
        <f>AVERAGE('Ans 1:Ans 40'!E66)</f>
        <v>9.9097500000000033E-2</v>
      </c>
      <c r="AH12" s="5">
        <f>AVERAGE('Ans 1:Ans 40'!F66)</f>
        <v>8.7935000000000013E-2</v>
      </c>
      <c r="AI12" s="5">
        <f>AVERAGE('Ans 1:Ans 40'!G66)</f>
        <v>9.8917500000000005E-2</v>
      </c>
      <c r="AJ12" s="5">
        <f>AVERAGE('Ans 1:Ans 40'!H66)</f>
        <v>0.30071500000000012</v>
      </c>
      <c r="AK12" s="5">
        <f>AVERAGE('Ans 1:Ans 40'!I66)</f>
        <v>0.10340750000000001</v>
      </c>
      <c r="AL12" s="5">
        <f>AVERAGE('Ans 1:Ans 40'!J66)</f>
        <v>0</v>
      </c>
      <c r="AM12" s="5">
        <f>AVERAGE('Ans 1:Ans 40'!K66)</f>
        <v>0.35049999999999998</v>
      </c>
      <c r="AN12" s="5">
        <f>AVERAGE('Ans 1:Ans 40'!L66)</f>
        <v>0.34902499999999997</v>
      </c>
      <c r="AO12" s="5">
        <f>AVERAGE('Ans 1:Ans 40'!M66)</f>
        <v>0.37390000000000012</v>
      </c>
    </row>
    <row r="13" spans="1:41" x14ac:dyDescent="0.25">
      <c r="A13" s="5" t="s">
        <v>9</v>
      </c>
      <c r="B13" s="5">
        <f>AVERAGE('Ans 1:Ans 40'!B39)</f>
        <v>5.3024999999999999E-3</v>
      </c>
      <c r="C13" s="5">
        <f>AVERAGE('Ans 1:Ans 40'!C39)</f>
        <v>3.5349999999999999E-3</v>
      </c>
      <c r="D13" s="5">
        <f>AVERAGE('Ans 1:Ans 40'!D39)</f>
        <v>3.5349999999999999E-3</v>
      </c>
      <c r="E13" s="5">
        <f>AVERAGE('Ans 1:Ans 40'!E39)</f>
        <v>1.0929999999999999E-2</v>
      </c>
      <c r="F13" s="5">
        <f>AVERAGE('Ans 1:Ans 40'!F39)</f>
        <v>3.5349999999999999E-3</v>
      </c>
      <c r="G13" s="5">
        <f>AVERAGE('Ans 1:Ans 40'!G39)</f>
        <v>5.9524999999999995E-3</v>
      </c>
      <c r="H13" s="5">
        <f>AVERAGE('Ans 1:Ans 40'!H39)</f>
        <v>3.5349999999999999E-3</v>
      </c>
      <c r="I13" s="5">
        <f>AVERAGE('Ans 1:Ans 40'!I39)</f>
        <v>9.1625000000000005E-3</v>
      </c>
      <c r="J13" s="5">
        <f>AVERAGE('Ans 1:Ans 40'!J39)</f>
        <v>5.6274999999999988E-3</v>
      </c>
      <c r="K13" s="5">
        <f>AVERAGE('Ans 1:Ans 40'!K39)</f>
        <v>0</v>
      </c>
      <c r="L13" s="5">
        <f>AVERAGE('Ans 1:Ans 40'!L39)</f>
        <v>7.3950000000000005E-3</v>
      </c>
      <c r="M13" s="5">
        <f>AVERAGE('Ans 1:Ans 40'!M39)</f>
        <v>4.1849999999999995E-3</v>
      </c>
      <c r="O13" s="5" t="s">
        <v>9</v>
      </c>
      <c r="P13" s="5">
        <f>AVERAGE('Ans 1:Ans 40'!B53)</f>
        <v>3.1804999999999993E-2</v>
      </c>
      <c r="Q13" s="5">
        <f>AVERAGE('Ans 1:Ans 40'!C53)</f>
        <v>3.4224999999999998E-2</v>
      </c>
      <c r="R13" s="5">
        <f>AVERAGE('Ans 1:Ans 40'!D53)</f>
        <v>3.8797499999999999E-2</v>
      </c>
      <c r="S13" s="5">
        <f>AVERAGE('Ans 1:Ans 40'!E53)</f>
        <v>4.9124999999999988E-2</v>
      </c>
      <c r="T13" s="5">
        <f>AVERAGE('Ans 1:Ans 40'!F53)</f>
        <v>3.3864999999999992E-2</v>
      </c>
      <c r="U13" s="5">
        <f>AVERAGE('Ans 1:Ans 40'!G53)</f>
        <v>3.9557499999999995E-2</v>
      </c>
      <c r="V13" s="5">
        <f>AVERAGE('Ans 1:Ans 40'!H53)</f>
        <v>3.0617499999999999E-2</v>
      </c>
      <c r="W13" s="5">
        <f>AVERAGE('Ans 1:Ans 40'!I53)</f>
        <v>4.3702499999999998E-2</v>
      </c>
      <c r="X13" s="5">
        <f>AVERAGE('Ans 1:Ans 40'!J53)</f>
        <v>3.2054999999999993E-2</v>
      </c>
      <c r="Y13" s="5">
        <f>AVERAGE('Ans 1:Ans 40'!K53)</f>
        <v>0</v>
      </c>
      <c r="Z13" s="5">
        <f>AVERAGE('Ans 1:Ans 40'!L53)</f>
        <v>4.7357499999999997E-2</v>
      </c>
      <c r="AA13" s="5">
        <f>AVERAGE('Ans 1:Ans 40'!M53)</f>
        <v>2.7587499999999997E-2</v>
      </c>
      <c r="AC13" s="5" t="s">
        <v>9</v>
      </c>
      <c r="AD13" s="5">
        <f>AVERAGE('Ans 1:Ans 40'!B67)</f>
        <v>9.225750000000002E-2</v>
      </c>
      <c r="AE13" s="5">
        <f>AVERAGE('Ans 1:Ans 40'!C67)</f>
        <v>9.6835000000000018E-2</v>
      </c>
      <c r="AF13" s="5">
        <f>AVERAGE('Ans 1:Ans 40'!D67)</f>
        <v>9.9492500000000011E-2</v>
      </c>
      <c r="AG13" s="5">
        <f>AVERAGE('Ans 1:Ans 40'!E67)</f>
        <v>0.11398000000000001</v>
      </c>
      <c r="AH13" s="5">
        <f>AVERAGE('Ans 1:Ans 40'!F67)</f>
        <v>9.8502500000000021E-2</v>
      </c>
      <c r="AI13" s="5">
        <f>AVERAGE('Ans 1:Ans 40'!G67)</f>
        <v>0.10304000000000002</v>
      </c>
      <c r="AJ13" s="5">
        <f>AVERAGE('Ans 1:Ans 40'!H67)</f>
        <v>9.4395000000000021E-2</v>
      </c>
      <c r="AK13" s="5">
        <f>AVERAGE('Ans 1:Ans 40'!I67)</f>
        <v>0.10660500000000003</v>
      </c>
      <c r="AL13" s="5">
        <f>AVERAGE('Ans 1:Ans 40'!J67)</f>
        <v>9.4782500000000006E-2</v>
      </c>
      <c r="AM13" s="5">
        <f>AVERAGE('Ans 1:Ans 40'!K67)</f>
        <v>0</v>
      </c>
      <c r="AN13" s="5">
        <f>AVERAGE('Ans 1:Ans 40'!L67)</f>
        <v>0.11401999999999998</v>
      </c>
      <c r="AO13" s="5">
        <f>AVERAGE('Ans 1:Ans 40'!M67)</f>
        <v>8.9377500000000026E-2</v>
      </c>
    </row>
    <row r="14" spans="1:41" x14ac:dyDescent="0.25">
      <c r="A14" s="5" t="s">
        <v>10</v>
      </c>
      <c r="B14" s="5">
        <f>AVERAGE('Ans 1:Ans 40'!B40)</f>
        <v>8.8374999999999999E-3</v>
      </c>
      <c r="C14" s="5">
        <f>AVERAGE('Ans 1:Ans 40'!C40)</f>
        <v>3.5349999999999999E-3</v>
      </c>
      <c r="D14" s="5">
        <f>AVERAGE('Ans 1:Ans 40'!D40)</f>
        <v>7.3950000000000005E-3</v>
      </c>
      <c r="E14" s="5">
        <f>AVERAGE('Ans 1:Ans 40'!E40)</f>
        <v>5.3024999999999999E-3</v>
      </c>
      <c r="F14" s="5">
        <f>AVERAGE('Ans 1:Ans 40'!F40)</f>
        <v>3.5349999999999999E-3</v>
      </c>
      <c r="G14" s="5">
        <f>AVERAGE('Ans 1:Ans 40'!G40)</f>
        <v>3.5349999999999999E-3</v>
      </c>
      <c r="H14" s="5">
        <f>AVERAGE('Ans 1:Ans 40'!H40)</f>
        <v>5.3024999999999999E-3</v>
      </c>
      <c r="I14" s="5">
        <f>AVERAGE('Ans 1:Ans 40'!I40)</f>
        <v>5.3024999999999999E-3</v>
      </c>
      <c r="J14" s="5">
        <f>AVERAGE('Ans 1:Ans 40'!J40)</f>
        <v>7.0699999999999999E-3</v>
      </c>
      <c r="K14" s="5">
        <f>AVERAGE('Ans 1:Ans 40'!K40)</f>
        <v>5.3024999999999999E-3</v>
      </c>
      <c r="L14" s="5">
        <f>AVERAGE('Ans 1:Ans 40'!L40)</f>
        <v>0</v>
      </c>
      <c r="M14" s="5">
        <f>AVERAGE('Ans 1:Ans 40'!M40)</f>
        <v>0.23016750000000008</v>
      </c>
      <c r="O14" s="5" t="s">
        <v>10</v>
      </c>
      <c r="P14" s="5">
        <f>AVERAGE('Ans 1:Ans 40'!B54)</f>
        <v>3.6852500000000003E-2</v>
      </c>
      <c r="Q14" s="5">
        <f>AVERAGE('Ans 1:Ans 40'!C54)</f>
        <v>2.9964999999999999E-2</v>
      </c>
      <c r="R14" s="5">
        <f>AVERAGE('Ans 1:Ans 40'!D54)</f>
        <v>4.075249999999999E-2</v>
      </c>
      <c r="S14" s="5">
        <f>AVERAGE('Ans 1:Ans 40'!E54)</f>
        <v>3.3504999999999993E-2</v>
      </c>
      <c r="T14" s="5">
        <f>AVERAGE('Ans 1:Ans 40'!F54)</f>
        <v>3.0644999999999999E-2</v>
      </c>
      <c r="U14" s="5">
        <f>AVERAGE('Ans 1:Ans 40'!G54)</f>
        <v>3.9017499999999997E-2</v>
      </c>
      <c r="V14" s="5">
        <f>AVERAGE('Ans 1:Ans 40'!H54)</f>
        <v>3.3710000000000004E-2</v>
      </c>
      <c r="W14" s="5">
        <f>AVERAGE('Ans 1:Ans 40'!I54)</f>
        <v>3.2704999999999998E-2</v>
      </c>
      <c r="X14" s="5">
        <f>AVERAGE('Ans 1:Ans 40'!J54)</f>
        <v>3.4759999999999999E-2</v>
      </c>
      <c r="Y14" s="5">
        <f>AVERAGE('Ans 1:Ans 40'!K54)</f>
        <v>3.565999999999999E-2</v>
      </c>
      <c r="Z14" s="5">
        <f>AVERAGE('Ans 1:Ans 40'!L54)</f>
        <v>0</v>
      </c>
      <c r="AA14" s="5">
        <f>AVERAGE('Ans 1:Ans 40'!M54)</f>
        <v>0.321575</v>
      </c>
      <c r="AC14" s="5" t="s">
        <v>10</v>
      </c>
      <c r="AD14" s="5">
        <f>AVERAGE('Ans 1:Ans 40'!B68)</f>
        <v>9.7375000000000017E-2</v>
      </c>
      <c r="AE14" s="5">
        <f>AVERAGE('Ans 1:Ans 40'!C68)</f>
        <v>8.8637500000000008E-2</v>
      </c>
      <c r="AF14" s="5">
        <f>AVERAGE('Ans 1:Ans 40'!D68)</f>
        <v>0.1069475</v>
      </c>
      <c r="AG14" s="5">
        <f>AVERAGE('Ans 1:Ans 40'!E68)</f>
        <v>9.8802500000000001E-2</v>
      </c>
      <c r="AH14" s="5">
        <f>AVERAGE('Ans 1:Ans 40'!F68)</f>
        <v>9.2875000000000013E-2</v>
      </c>
      <c r="AI14" s="5">
        <f>AVERAGE('Ans 1:Ans 40'!G68)</f>
        <v>0.10073500000000002</v>
      </c>
      <c r="AJ14" s="5">
        <f>AVERAGE('Ans 1:Ans 40'!H68)</f>
        <v>9.3690000000000023E-2</v>
      </c>
      <c r="AK14" s="5">
        <f>AVERAGE('Ans 1:Ans 40'!I68)</f>
        <v>9.2492500000000019E-2</v>
      </c>
      <c r="AL14" s="5">
        <f>AVERAGE('Ans 1:Ans 40'!J68)</f>
        <v>9.4960000000000017E-2</v>
      </c>
      <c r="AM14" s="5">
        <f>AVERAGE('Ans 1:Ans 40'!K68)</f>
        <v>9.7732500000000028E-2</v>
      </c>
      <c r="AN14" s="5">
        <f>AVERAGE('Ans 1:Ans 40'!L68)</f>
        <v>0</v>
      </c>
      <c r="AO14" s="5">
        <f>AVERAGE('Ans 1:Ans 40'!M68)</f>
        <v>0.36730000000000007</v>
      </c>
    </row>
    <row r="15" spans="1:41" x14ac:dyDescent="0.25">
      <c r="A15" s="5" t="s">
        <v>11</v>
      </c>
      <c r="B15" s="5">
        <f>AVERAGE('Ans 1:Ans 40'!B41)</f>
        <v>7.0699999999999999E-3</v>
      </c>
      <c r="C15" s="5">
        <f>AVERAGE('Ans 1:Ans 40'!C41)</f>
        <v>3.5349999999999999E-3</v>
      </c>
      <c r="D15" s="5">
        <f>AVERAGE('Ans 1:Ans 40'!D41)</f>
        <v>7.3950000000000005E-3</v>
      </c>
      <c r="E15" s="5">
        <f>AVERAGE('Ans 1:Ans 40'!E41)</f>
        <v>1.3022499999999998E-2</v>
      </c>
      <c r="F15" s="5">
        <f>AVERAGE('Ans 1:Ans 40'!F41)</f>
        <v>1.0929999999999999E-2</v>
      </c>
      <c r="G15" s="5">
        <f>AVERAGE('Ans 1:Ans 40'!G41)</f>
        <v>9.1624999999999988E-3</v>
      </c>
      <c r="H15" s="5">
        <f>AVERAGE('Ans 1:Ans 40'!H41)</f>
        <v>5.6274999999999997E-3</v>
      </c>
      <c r="I15" s="5">
        <f>AVERAGE('Ans 1:Ans 40'!I41)</f>
        <v>9.9524999999999995E-3</v>
      </c>
      <c r="J15" s="5">
        <f>AVERAGE('Ans 1:Ans 40'!J41)</f>
        <v>1.2625000000000001E-2</v>
      </c>
      <c r="K15" s="5">
        <f>AVERAGE('Ans 1:Ans 40'!K41)</f>
        <v>7.3949999999999988E-3</v>
      </c>
      <c r="L15" s="5">
        <f>AVERAGE('Ans 1:Ans 40'!L41)</f>
        <v>2.3112500000000001E-2</v>
      </c>
      <c r="M15" s="5">
        <f>AVERAGE('Ans 1:Ans 40'!M41)</f>
        <v>0</v>
      </c>
      <c r="O15" s="5" t="s">
        <v>11</v>
      </c>
      <c r="P15" s="5">
        <f>AVERAGE('Ans 1:Ans 40'!B55)</f>
        <v>4.5105000000000006E-2</v>
      </c>
      <c r="Q15" s="5">
        <f>AVERAGE('Ans 1:Ans 40'!C55)</f>
        <v>3.9339999999999993E-2</v>
      </c>
      <c r="R15" s="5">
        <f>AVERAGE('Ans 1:Ans 40'!D55)</f>
        <v>3.4732499999999993E-2</v>
      </c>
      <c r="S15" s="5">
        <f>AVERAGE('Ans 1:Ans 40'!E55)</f>
        <v>4.5864999999999996E-2</v>
      </c>
      <c r="T15" s="5">
        <f>AVERAGE('Ans 1:Ans 40'!F55)</f>
        <v>4.5149999999999996E-2</v>
      </c>
      <c r="U15" s="5">
        <f>AVERAGE('Ans 1:Ans 40'!G55)</f>
        <v>3.5147499999999998E-2</v>
      </c>
      <c r="V15" s="5">
        <f>AVERAGE('Ans 1:Ans 40'!H55)</f>
        <v>3.5664999999999995E-2</v>
      </c>
      <c r="W15" s="5">
        <f>AVERAGE('Ans 1:Ans 40'!I55)</f>
        <v>4.1934999999999993E-2</v>
      </c>
      <c r="X15" s="5">
        <f>AVERAGE('Ans 1:Ans 40'!J55)</f>
        <v>4.6655000000000002E-2</v>
      </c>
      <c r="Y15" s="5">
        <f>AVERAGE('Ans 1:Ans 40'!K55)</f>
        <v>3.9774999999999991E-2</v>
      </c>
      <c r="Z15" s="5">
        <f>AVERAGE('Ans 1:Ans 40'!L55)</f>
        <v>4.9379999999999993E-2</v>
      </c>
      <c r="AA15" s="5">
        <f>AVERAGE('Ans 1:Ans 40'!M55)</f>
        <v>0</v>
      </c>
      <c r="AC15" s="5" t="s">
        <v>11</v>
      </c>
      <c r="AD15" s="5">
        <f>AVERAGE('Ans 1:Ans 40'!B69)</f>
        <v>0.10530000000000003</v>
      </c>
      <c r="AE15" s="5">
        <f>AVERAGE('Ans 1:Ans 40'!C69)</f>
        <v>0.1049525</v>
      </c>
      <c r="AF15" s="5">
        <f>AVERAGE('Ans 1:Ans 40'!D69)</f>
        <v>9.7967500000000013E-2</v>
      </c>
      <c r="AG15" s="5">
        <f>AVERAGE('Ans 1:Ans 40'!E69)</f>
        <v>0.10899</v>
      </c>
      <c r="AH15" s="5">
        <f>AVERAGE('Ans 1:Ans 40'!F69)</f>
        <v>0.11055750000000004</v>
      </c>
      <c r="AI15" s="5">
        <f>AVERAGE('Ans 1:Ans 40'!G69)</f>
        <v>9.6062500000000023E-2</v>
      </c>
      <c r="AJ15" s="5">
        <f>AVERAGE('Ans 1:Ans 40'!H69)</f>
        <v>9.6440000000000026E-2</v>
      </c>
      <c r="AK15" s="5">
        <f>AVERAGE('Ans 1:Ans 40'!I69)</f>
        <v>0.10733250000000003</v>
      </c>
      <c r="AL15" s="5">
        <f>AVERAGE('Ans 1:Ans 40'!J69)</f>
        <v>0.11202250000000002</v>
      </c>
      <c r="AM15" s="5">
        <f>AVERAGE('Ans 1:Ans 40'!K69)</f>
        <v>0.10235250000000003</v>
      </c>
      <c r="AN15" s="5">
        <f>AVERAGE('Ans 1:Ans 40'!L69)</f>
        <v>0.10593500000000003</v>
      </c>
      <c r="AO15" s="5">
        <f>AVERAGE('Ans 1:Ans 40'!M69)</f>
        <v>0</v>
      </c>
    </row>
    <row r="17" spans="1:14" x14ac:dyDescent="0.25">
      <c r="A17" s="5" t="s">
        <v>79</v>
      </c>
    </row>
    <row r="19" spans="1:14" x14ac:dyDescent="0.25">
      <c r="B19" s="5" t="s">
        <v>0</v>
      </c>
      <c r="C19" s="5" t="s">
        <v>1</v>
      </c>
      <c r="D19" s="5" t="s">
        <v>2</v>
      </c>
      <c r="E19" s="5" t="s">
        <v>3</v>
      </c>
      <c r="F19" s="5" t="s">
        <v>4</v>
      </c>
      <c r="G19" s="5" t="s">
        <v>5</v>
      </c>
      <c r="H19" s="5" t="s">
        <v>6</v>
      </c>
      <c r="I19" s="5" t="s">
        <v>7</v>
      </c>
      <c r="J19" s="5" t="s">
        <v>8</v>
      </c>
      <c r="K19" s="5" t="s">
        <v>9</v>
      </c>
      <c r="L19" s="5" t="s">
        <v>10</v>
      </c>
      <c r="M19" s="5" t="s">
        <v>11</v>
      </c>
      <c r="N19" s="5" t="s">
        <v>81</v>
      </c>
    </row>
    <row r="20" spans="1:14" x14ac:dyDescent="0.25">
      <c r="A20" s="5" t="s">
        <v>0</v>
      </c>
      <c r="B20" s="5">
        <f>(B4+(P4*P4)+AD4)/74</f>
        <v>0</v>
      </c>
      <c r="C20" s="5">
        <f t="shared" ref="C20:M20" si="0">(C4+(Q4*Q4)+AE4)/74</f>
        <v>7.6348781094594609E-3</v>
      </c>
      <c r="D20" s="5">
        <f t="shared" si="0"/>
        <v>7.6368728652027023E-3</v>
      </c>
      <c r="E20" s="5">
        <f t="shared" si="0"/>
        <v>2.6981776624999997E-3</v>
      </c>
      <c r="F20" s="5">
        <f t="shared" si="0"/>
        <v>3.9511182500844601E-3</v>
      </c>
      <c r="G20" s="5">
        <f t="shared" si="0"/>
        <v>2.4707296554898651E-3</v>
      </c>
      <c r="H20" s="5">
        <f t="shared" si="0"/>
        <v>3.061902758108108E-3</v>
      </c>
      <c r="I20" s="5">
        <f t="shared" si="0"/>
        <v>2.2910177030405405E-3</v>
      </c>
      <c r="J20" s="5">
        <f t="shared" si="0"/>
        <v>8.3659382264358127E-3</v>
      </c>
      <c r="K20" s="5">
        <f t="shared" si="0"/>
        <v>2.2332832868243242E-3</v>
      </c>
      <c r="L20" s="5">
        <f t="shared" si="0"/>
        <v>2.7203092445945943E-3</v>
      </c>
      <c r="M20" s="5">
        <f t="shared" si="0"/>
        <v>2.852237027027027E-3</v>
      </c>
      <c r="N20" s="5">
        <f>SUM(B20:M20)</f>
        <v>4.5916464788766896E-2</v>
      </c>
    </row>
    <row r="21" spans="1:14" x14ac:dyDescent="0.25">
      <c r="A21" s="5" t="s">
        <v>1</v>
      </c>
      <c r="B21" s="5">
        <f t="shared" ref="B21:B31" si="1">(B5+(P5*P5)+AD5)/74</f>
        <v>2.6206700324324329E-3</v>
      </c>
      <c r="C21" s="5">
        <f t="shared" ref="C21:C31" si="2">(C5+(Q5*Q5)+AE5)/74</f>
        <v>0</v>
      </c>
      <c r="D21" s="5">
        <f t="shared" ref="D21:D31" si="3">(D5+(R5*R5)+AF5)/74</f>
        <v>1.0045243656165541E-2</v>
      </c>
      <c r="E21" s="5">
        <f t="shared" ref="E21:E31" si="4">(E5+(S5*S5)+AG5)/74</f>
        <v>8.7362958054054071E-3</v>
      </c>
      <c r="F21" s="5">
        <f t="shared" ref="F21:F31" si="5">(F5+(T5*T5)+AH5)/74</f>
        <v>3.7232607030405411E-3</v>
      </c>
      <c r="G21" s="5">
        <f t="shared" ref="G21:G31" si="6">(G5+(U5*U5)+AI5)/74</f>
        <v>6.6589654462837853E-3</v>
      </c>
      <c r="H21" s="5">
        <f t="shared" ref="H21:H31" si="7">(H5+(V5*V5)+AJ5)/74</f>
        <v>6.7353116787162177E-3</v>
      </c>
      <c r="I21" s="5">
        <f t="shared" ref="I21:I31" si="8">(I5+(W5*W5)+AK5)/74</f>
        <v>2.0437545541385142E-3</v>
      </c>
      <c r="J21" s="5">
        <f t="shared" ref="J21:J31" si="9">(J5+(X5*X5)+AL5)/74</f>
        <v>6.951972972972972E-3</v>
      </c>
      <c r="K21" s="5">
        <f t="shared" ref="K21:K31" si="10">(K5+(Y5*Y5)+AM5)/74</f>
        <v>1.0242503183783782E-2</v>
      </c>
      <c r="L21" s="5">
        <f t="shared" ref="L21:L31" si="11">(L5+(Z5*Z5)+AN5)/74</f>
        <v>7.0160019084459461E-3</v>
      </c>
      <c r="M21" s="5">
        <f t="shared" ref="M21:M31" si="12">(M5+(AA5*AA5)+AO5)/74</f>
        <v>9.025183513851353E-3</v>
      </c>
      <c r="N21" s="5">
        <f t="shared" ref="N21:N31" si="13">SUM(B21:M21)</f>
        <v>7.3799163455236502E-2</v>
      </c>
    </row>
    <row r="22" spans="1:14" x14ac:dyDescent="0.25">
      <c r="A22" s="5" t="s">
        <v>2</v>
      </c>
      <c r="B22" s="5">
        <f t="shared" si="1"/>
        <v>3.9021215689189195E-3</v>
      </c>
      <c r="C22" s="5">
        <f t="shared" si="2"/>
        <v>1.2817436878378378E-3</v>
      </c>
      <c r="D22" s="5">
        <f t="shared" si="3"/>
        <v>0</v>
      </c>
      <c r="E22" s="5">
        <f t="shared" si="4"/>
        <v>4.0204736933277044E-3</v>
      </c>
      <c r="F22" s="5">
        <f t="shared" si="5"/>
        <v>1.4958424156250004E-3</v>
      </c>
      <c r="G22" s="5">
        <f t="shared" si="6"/>
        <v>3.8874293543918921E-3</v>
      </c>
      <c r="H22" s="5">
        <f t="shared" si="7"/>
        <v>4.1888557034628375E-3</v>
      </c>
      <c r="I22" s="5">
        <f t="shared" si="8"/>
        <v>1.7387105764358111E-3</v>
      </c>
      <c r="J22" s="5">
        <f t="shared" si="9"/>
        <v>9.944417865625001E-3</v>
      </c>
      <c r="K22" s="5">
        <f t="shared" si="10"/>
        <v>1.0279883940540541E-2</v>
      </c>
      <c r="L22" s="5">
        <f t="shared" si="11"/>
        <v>8.2357763459459474E-3</v>
      </c>
      <c r="M22" s="5">
        <f t="shared" si="12"/>
        <v>9.3415369202702724E-3</v>
      </c>
      <c r="N22" s="5">
        <f t="shared" si="13"/>
        <v>5.8316792072381766E-2</v>
      </c>
    </row>
    <row r="23" spans="1:14" x14ac:dyDescent="0.25">
      <c r="A23" s="5" t="s">
        <v>3</v>
      </c>
      <c r="B23" s="5">
        <f t="shared" si="1"/>
        <v>3.6731293345439197E-3</v>
      </c>
      <c r="C23" s="5">
        <f t="shared" si="2"/>
        <v>3.7990751689189195E-3</v>
      </c>
      <c r="D23" s="5">
        <f t="shared" si="3"/>
        <v>3.6968849730574329E-3</v>
      </c>
      <c r="E23" s="5">
        <f t="shared" si="4"/>
        <v>0</v>
      </c>
      <c r="F23" s="5">
        <f t="shared" si="5"/>
        <v>3.9253411595439186E-3</v>
      </c>
      <c r="G23" s="5">
        <f t="shared" si="6"/>
        <v>4.0218047243243257E-3</v>
      </c>
      <c r="H23" s="5">
        <f t="shared" si="7"/>
        <v>8.5456200138513527E-3</v>
      </c>
      <c r="I23" s="5">
        <f t="shared" si="8"/>
        <v>3.3548403459459468E-3</v>
      </c>
      <c r="J23" s="5">
        <f t="shared" si="9"/>
        <v>9.3158733094594603E-3</v>
      </c>
      <c r="K23" s="5">
        <f t="shared" si="10"/>
        <v>3.3254077331925686E-3</v>
      </c>
      <c r="L23" s="5">
        <f t="shared" si="11"/>
        <v>8.6251936865709474E-3</v>
      </c>
      <c r="M23" s="5">
        <f t="shared" si="12"/>
        <v>6.4522481608952726E-3</v>
      </c>
      <c r="N23" s="5">
        <f t="shared" si="13"/>
        <v>5.8735418610304062E-2</v>
      </c>
    </row>
    <row r="24" spans="1:14" x14ac:dyDescent="0.25">
      <c r="A24" s="5" t="s">
        <v>4</v>
      </c>
      <c r="B24" s="5">
        <f t="shared" si="1"/>
        <v>1.3673100190033786E-3</v>
      </c>
      <c r="C24" s="5">
        <f t="shared" si="2"/>
        <v>1.6478931325168921E-3</v>
      </c>
      <c r="D24" s="5">
        <f t="shared" si="3"/>
        <v>1.3312477385979732E-3</v>
      </c>
      <c r="E24" s="5">
        <f t="shared" si="4"/>
        <v>1.3901511663006755E-3</v>
      </c>
      <c r="F24" s="5">
        <f t="shared" si="5"/>
        <v>0</v>
      </c>
      <c r="G24" s="5">
        <f t="shared" si="6"/>
        <v>7.655973678716216E-3</v>
      </c>
      <c r="H24" s="5">
        <f t="shared" si="7"/>
        <v>1.7402623791385134E-3</v>
      </c>
      <c r="I24" s="5">
        <f t="shared" si="8"/>
        <v>1.7991773987331087E-3</v>
      </c>
      <c r="J24" s="5">
        <f t="shared" si="9"/>
        <v>8.9134069798141868E-3</v>
      </c>
      <c r="K24" s="5">
        <f t="shared" si="10"/>
        <v>9.0670682570945949E-3</v>
      </c>
      <c r="L24" s="5">
        <f t="shared" si="11"/>
        <v>1.7628425189189193E-3</v>
      </c>
      <c r="M24" s="5">
        <f t="shared" si="12"/>
        <v>1.644302877027027E-3</v>
      </c>
      <c r="N24" s="5">
        <f t="shared" si="13"/>
        <v>3.8319636145861487E-2</v>
      </c>
    </row>
    <row r="25" spans="1:14" x14ac:dyDescent="0.25">
      <c r="A25" s="5" t="s">
        <v>5</v>
      </c>
      <c r="B25" s="5">
        <f t="shared" si="1"/>
        <v>1.5825989243243243E-3</v>
      </c>
      <c r="C25" s="5">
        <f t="shared" si="2"/>
        <v>1.4680027787162164E-3</v>
      </c>
      <c r="D25" s="5">
        <f t="shared" si="3"/>
        <v>1.4661073459459461E-3</v>
      </c>
      <c r="E25" s="5">
        <f t="shared" si="4"/>
        <v>1.4745236486486488E-3</v>
      </c>
      <c r="F25" s="5">
        <f t="shared" si="5"/>
        <v>1.4410621304898647E-3</v>
      </c>
      <c r="G25" s="5">
        <f t="shared" si="6"/>
        <v>0</v>
      </c>
      <c r="H25" s="5">
        <f t="shared" si="7"/>
        <v>1.5313636625000002E-3</v>
      </c>
      <c r="I25" s="5">
        <f t="shared" si="8"/>
        <v>1.5491093408783784E-3</v>
      </c>
      <c r="J25" s="5">
        <f t="shared" si="9"/>
        <v>7.5274960594594615E-3</v>
      </c>
      <c r="K25" s="5">
        <f t="shared" si="10"/>
        <v>1.3580317588682436E-3</v>
      </c>
      <c r="L25" s="5">
        <f t="shared" si="11"/>
        <v>1.2896314365709461E-3</v>
      </c>
      <c r="M25" s="5">
        <f t="shared" si="12"/>
        <v>1.4323799760135138E-3</v>
      </c>
      <c r="N25" s="5">
        <f t="shared" si="13"/>
        <v>2.2120307062415544E-2</v>
      </c>
    </row>
    <row r="26" spans="1:14" x14ac:dyDescent="0.25">
      <c r="A26" s="5" t="s">
        <v>6</v>
      </c>
      <c r="B26" s="5">
        <f t="shared" si="1"/>
        <v>2.1593174175675682E-3</v>
      </c>
      <c r="C26" s="5">
        <f t="shared" si="2"/>
        <v>2.0467213597972979E-3</v>
      </c>
      <c r="D26" s="5">
        <f t="shared" si="3"/>
        <v>2.0016750543918925E-3</v>
      </c>
      <c r="E26" s="5">
        <f t="shared" si="4"/>
        <v>2.1113284121621625E-3</v>
      </c>
      <c r="F26" s="5">
        <f t="shared" si="5"/>
        <v>2.0273191561655407E-3</v>
      </c>
      <c r="G26" s="5">
        <f t="shared" si="6"/>
        <v>2.1870372669763518E-3</v>
      </c>
      <c r="H26" s="5">
        <f t="shared" si="7"/>
        <v>0</v>
      </c>
      <c r="I26" s="5">
        <f t="shared" si="8"/>
        <v>1.9974459192567571E-3</v>
      </c>
      <c r="J26" s="5">
        <f t="shared" si="9"/>
        <v>1.9839719405405406E-3</v>
      </c>
      <c r="K26" s="5">
        <f t="shared" si="10"/>
        <v>3.0527062690033782E-3</v>
      </c>
      <c r="L26" s="5">
        <f t="shared" si="11"/>
        <v>1.9968434608108113E-3</v>
      </c>
      <c r="M26" s="5">
        <f t="shared" si="12"/>
        <v>2.0507392926520274E-3</v>
      </c>
      <c r="N26" s="5">
        <f t="shared" si="13"/>
        <v>2.3615105549324323E-2</v>
      </c>
    </row>
    <row r="27" spans="1:14" x14ac:dyDescent="0.25">
      <c r="A27" s="5" t="s">
        <v>7</v>
      </c>
      <c r="B27" s="5">
        <f t="shared" si="1"/>
        <v>1.4869355480574328E-3</v>
      </c>
      <c r="C27" s="5">
        <f t="shared" si="2"/>
        <v>1.308727060810811E-3</v>
      </c>
      <c r="D27" s="5">
        <f t="shared" si="3"/>
        <v>1.446167719256757E-3</v>
      </c>
      <c r="E27" s="5">
        <f t="shared" si="4"/>
        <v>1.4114894973817568E-3</v>
      </c>
      <c r="F27" s="5">
        <f t="shared" si="5"/>
        <v>1.4226243581081078E-3</v>
      </c>
      <c r="G27" s="5">
        <f t="shared" si="6"/>
        <v>1.4901974392736489E-3</v>
      </c>
      <c r="H27" s="5">
        <f t="shared" si="7"/>
        <v>1.2637001246621627E-3</v>
      </c>
      <c r="I27" s="5">
        <f t="shared" si="8"/>
        <v>0</v>
      </c>
      <c r="J27" s="5">
        <f t="shared" si="9"/>
        <v>5.2107766810810833E-3</v>
      </c>
      <c r="K27" s="5">
        <f t="shared" si="10"/>
        <v>9.8656351541385138E-3</v>
      </c>
      <c r="L27" s="5">
        <f t="shared" si="11"/>
        <v>9.4011651675675705E-3</v>
      </c>
      <c r="M27" s="5">
        <f t="shared" si="12"/>
        <v>8.373633352702704E-3</v>
      </c>
      <c r="N27" s="5">
        <f t="shared" si="13"/>
        <v>4.2681052103040545E-2</v>
      </c>
    </row>
    <row r="28" spans="1:14" x14ac:dyDescent="0.25">
      <c r="A28" s="5" t="s">
        <v>8</v>
      </c>
      <c r="B28" s="5">
        <f t="shared" si="1"/>
        <v>5.6691175976351345E-3</v>
      </c>
      <c r="C28" s="5">
        <f t="shared" si="2"/>
        <v>1.3019469973817568E-3</v>
      </c>
      <c r="D28" s="5">
        <f t="shared" si="3"/>
        <v>1.3616800543918919E-3</v>
      </c>
      <c r="E28" s="5">
        <f t="shared" si="4"/>
        <v>1.4149339163006761E-3</v>
      </c>
      <c r="F28" s="5">
        <f t="shared" si="5"/>
        <v>1.2201083649493246E-3</v>
      </c>
      <c r="G28" s="5">
        <f t="shared" si="6"/>
        <v>1.4266600486486486E-3</v>
      </c>
      <c r="H28" s="5">
        <f t="shared" si="7"/>
        <v>7.3135758108108136E-3</v>
      </c>
      <c r="I28" s="5">
        <f t="shared" si="8"/>
        <v>1.4454623003378379E-3</v>
      </c>
      <c r="J28" s="5">
        <f t="shared" si="9"/>
        <v>0</v>
      </c>
      <c r="K28" s="5">
        <f t="shared" si="10"/>
        <v>9.914045358868244E-3</v>
      </c>
      <c r="L28" s="5">
        <f t="shared" si="11"/>
        <v>9.0549802048141906E-3</v>
      </c>
      <c r="M28" s="5">
        <f t="shared" si="12"/>
        <v>9.4085891913006786E-3</v>
      </c>
      <c r="N28" s="5">
        <f t="shared" si="13"/>
        <v>4.95310998454392E-2</v>
      </c>
    </row>
    <row r="29" spans="1:14" x14ac:dyDescent="0.25">
      <c r="A29" s="5" t="s">
        <v>9</v>
      </c>
      <c r="B29" s="5">
        <f t="shared" si="1"/>
        <v>1.3320480814189191E-3</v>
      </c>
      <c r="C29" s="5">
        <f t="shared" si="2"/>
        <v>1.3721804138513516E-3</v>
      </c>
      <c r="D29" s="5">
        <f t="shared" si="3"/>
        <v>1.4126046757601354E-3</v>
      </c>
      <c r="E29" s="5">
        <f t="shared" si="4"/>
        <v>1.7205846706081084E-3</v>
      </c>
      <c r="F29" s="5">
        <f t="shared" si="5"/>
        <v>1.3943829489864868E-3</v>
      </c>
      <c r="G29" s="5">
        <f t="shared" si="6"/>
        <v>1.4940175108952706E-3</v>
      </c>
      <c r="H29" s="5">
        <f t="shared" si="7"/>
        <v>1.3360463690033787E-3</v>
      </c>
      <c r="I29" s="5">
        <f t="shared" si="8"/>
        <v>1.59023525008446E-3</v>
      </c>
      <c r="J29" s="5">
        <f t="shared" si="9"/>
        <v>1.3707773381756757E-3</v>
      </c>
      <c r="K29" s="5">
        <f t="shared" si="10"/>
        <v>0</v>
      </c>
      <c r="L29" s="5">
        <f t="shared" si="11"/>
        <v>1.6710504433277023E-3</v>
      </c>
      <c r="M29" s="5">
        <f t="shared" si="12"/>
        <v>1.2746428399493246E-3</v>
      </c>
      <c r="N29" s="5">
        <f t="shared" si="13"/>
        <v>1.5968570542060811E-2</v>
      </c>
    </row>
    <row r="30" spans="1:14" x14ac:dyDescent="0.25">
      <c r="A30" s="5" t="s">
        <v>10</v>
      </c>
      <c r="B30" s="5">
        <f t="shared" si="1"/>
        <v>1.4536568480574327E-3</v>
      </c>
      <c r="C30" s="5">
        <f t="shared" si="2"/>
        <v>1.2577081246621623E-3</v>
      </c>
      <c r="D30" s="5">
        <f t="shared" si="3"/>
        <v>1.5676117061655405E-3</v>
      </c>
      <c r="E30" s="5">
        <f t="shared" si="4"/>
        <v>1.4219943922297298E-3</v>
      </c>
      <c r="F30" s="5">
        <f t="shared" si="5"/>
        <v>1.3155285949324326E-3</v>
      </c>
      <c r="G30" s="5">
        <f t="shared" si="6"/>
        <v>1.4296265581925679E-3</v>
      </c>
      <c r="H30" s="5">
        <f t="shared" si="7"/>
        <v>1.3530927581081084E-3</v>
      </c>
      <c r="I30" s="5">
        <f t="shared" si="8"/>
        <v>1.3360083381756759E-3</v>
      </c>
      <c r="J30" s="5">
        <f t="shared" si="9"/>
        <v>1.3951115891891895E-3</v>
      </c>
      <c r="K30" s="5">
        <f t="shared" si="10"/>
        <v>1.4095491297297302E-3</v>
      </c>
      <c r="L30" s="5">
        <f t="shared" si="11"/>
        <v>0</v>
      </c>
      <c r="M30" s="5">
        <f t="shared" si="12"/>
        <v>9.4713240625000032E-3</v>
      </c>
      <c r="N30" s="5">
        <f>SUM(B30:M30)</f>
        <v>2.3411212101942573E-2</v>
      </c>
    </row>
    <row r="31" spans="1:14" x14ac:dyDescent="0.25">
      <c r="A31" s="5" t="s">
        <v>11</v>
      </c>
      <c r="B31" s="5">
        <f t="shared" si="1"/>
        <v>1.546006230067568E-3</v>
      </c>
      <c r="C31" s="5">
        <f t="shared" si="2"/>
        <v>1.4869612918918919E-3</v>
      </c>
      <c r="D31" s="5">
        <f t="shared" si="3"/>
        <v>1.4401195480574327E-3</v>
      </c>
      <c r="E31" s="5">
        <f t="shared" si="4"/>
        <v>1.6772445706081081E-3</v>
      </c>
      <c r="F31" s="5">
        <f t="shared" si="5"/>
        <v>1.6692705743243249E-3</v>
      </c>
      <c r="G31" s="5">
        <f t="shared" si="6"/>
        <v>1.4386533345439191E-3</v>
      </c>
      <c r="H31" s="5">
        <f t="shared" si="7"/>
        <v>1.3964796246621624E-3</v>
      </c>
      <c r="I31" s="5">
        <f t="shared" si="8"/>
        <v>1.6086965435810814E-3</v>
      </c>
      <c r="J31" s="5">
        <f t="shared" si="9"/>
        <v>1.7138403922297301E-3</v>
      </c>
      <c r="K31" s="5">
        <f t="shared" si="10"/>
        <v>1.5044533868243247E-3</v>
      </c>
      <c r="L31" s="5">
        <f t="shared" si="11"/>
        <v>1.776836275675676E-3</v>
      </c>
      <c r="M31" s="5">
        <f t="shared" si="12"/>
        <v>0</v>
      </c>
      <c r="N31" s="5">
        <f t="shared" si="13"/>
        <v>1.7258561772466222E-2</v>
      </c>
    </row>
    <row r="32" spans="1:14" x14ac:dyDescent="0.25">
      <c r="A32" s="5" t="s">
        <v>81</v>
      </c>
      <c r="B32" s="5">
        <f t="shared" ref="B32:M32" si="14">SUM(B20:B31)</f>
        <v>2.6792911602027032E-2</v>
      </c>
      <c r="C32" s="5">
        <f t="shared" si="14"/>
        <v>2.4605838125844597E-2</v>
      </c>
      <c r="D32" s="5">
        <f t="shared" si="14"/>
        <v>3.3406215336993242E-2</v>
      </c>
      <c r="E32" s="5">
        <f t="shared" si="14"/>
        <v>2.8077197435472972E-2</v>
      </c>
      <c r="F32" s="5">
        <f t="shared" si="14"/>
        <v>2.3585858656250003E-2</v>
      </c>
      <c r="G32" s="5">
        <f t="shared" si="14"/>
        <v>3.4161095017736481E-2</v>
      </c>
      <c r="H32" s="5">
        <f t="shared" si="14"/>
        <v>3.8466210883023648E-2</v>
      </c>
      <c r="I32" s="5">
        <f t="shared" si="14"/>
        <v>2.0754458270608112E-2</v>
      </c>
      <c r="J32" s="5">
        <f t="shared" si="14"/>
        <v>6.269358335498311E-2</v>
      </c>
      <c r="K32" s="5">
        <f t="shared" si="14"/>
        <v>6.2252567458868244E-2</v>
      </c>
      <c r="L32" s="5">
        <f t="shared" si="14"/>
        <v>5.3550630693243256E-2</v>
      </c>
      <c r="M32" s="5">
        <f t="shared" si="14"/>
        <v>6.1326817214189207E-2</v>
      </c>
      <c r="N32" s="5" t="s">
        <v>82</v>
      </c>
    </row>
    <row r="33" spans="1:53" x14ac:dyDescent="0.25">
      <c r="N33" s="5">
        <f>MAX(B32:M32,N20:N31)</f>
        <v>7.3799163455236502E-2</v>
      </c>
    </row>
    <row r="34" spans="1:53" x14ac:dyDescent="0.25">
      <c r="A34" s="5" t="s">
        <v>80</v>
      </c>
      <c r="P34" s="5" t="s">
        <v>83</v>
      </c>
      <c r="AC34" s="5" t="s">
        <v>84</v>
      </c>
    </row>
    <row r="35" spans="1:53" x14ac:dyDescent="0.25">
      <c r="AP35" s="5" t="s">
        <v>85</v>
      </c>
    </row>
    <row r="36" spans="1:53" x14ac:dyDescent="0.25">
      <c r="B36" s="5" t="s">
        <v>0</v>
      </c>
      <c r="C36" s="5" t="s">
        <v>1</v>
      </c>
      <c r="D36" s="5" t="s">
        <v>2</v>
      </c>
      <c r="E36" s="5" t="s">
        <v>3</v>
      </c>
      <c r="F36" s="5" t="s">
        <v>4</v>
      </c>
      <c r="G36" s="5" t="s">
        <v>5</v>
      </c>
      <c r="H36" s="5" t="s">
        <v>6</v>
      </c>
      <c r="I36" s="5" t="s">
        <v>7</v>
      </c>
      <c r="J36" s="5" t="s">
        <v>8</v>
      </c>
      <c r="K36" s="5" t="s">
        <v>9</v>
      </c>
      <c r="L36" s="5" t="s">
        <v>10</v>
      </c>
      <c r="M36" s="5" t="s">
        <v>11</v>
      </c>
    </row>
    <row r="37" spans="1:53" x14ac:dyDescent="0.25">
      <c r="A37" s="5" t="s">
        <v>0</v>
      </c>
      <c r="B37" s="5">
        <f t="shared" ref="B37:M37" si="15">B20/$N$33</f>
        <v>0</v>
      </c>
      <c r="C37" s="5">
        <f t="shared" si="15"/>
        <v>0.10345480561023514</v>
      </c>
      <c r="D37" s="5">
        <f t="shared" si="15"/>
        <v>0.1034818351272357</v>
      </c>
      <c r="E37" s="5">
        <f t="shared" si="15"/>
        <v>3.6561087364311413E-2</v>
      </c>
      <c r="F37" s="5">
        <f t="shared" si="15"/>
        <v>5.3538794548545848E-2</v>
      </c>
      <c r="G37" s="5">
        <f t="shared" si="15"/>
        <v>3.3479101114587927E-2</v>
      </c>
      <c r="H37" s="5">
        <f t="shared" si="15"/>
        <v>4.1489667561954553E-2</v>
      </c>
      <c r="I37" s="5">
        <f t="shared" si="15"/>
        <v>3.1043952204555494E-2</v>
      </c>
      <c r="J37" s="5">
        <f t="shared" si="15"/>
        <v>0.11336088154319313</v>
      </c>
      <c r="K37" s="5">
        <f t="shared" si="15"/>
        <v>3.0261634173928555E-2</v>
      </c>
      <c r="L37" s="5">
        <f t="shared" si="15"/>
        <v>3.6860976699886583E-2</v>
      </c>
      <c r="M37" s="5">
        <f t="shared" si="15"/>
        <v>3.8648636291887986E-2</v>
      </c>
      <c r="P37" s="5">
        <v>1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C37" s="5">
        <f>P37-B37</f>
        <v>1</v>
      </c>
      <c r="AD37" s="5">
        <f t="shared" ref="AD37:AN48" si="16">Q37-C37</f>
        <v>-0.10345480561023514</v>
      </c>
      <c r="AE37" s="5">
        <f t="shared" si="16"/>
        <v>-0.1034818351272357</v>
      </c>
      <c r="AF37" s="5">
        <f t="shared" si="16"/>
        <v>-3.6561087364311413E-2</v>
      </c>
      <c r="AG37" s="5">
        <f t="shared" si="16"/>
        <v>-5.3538794548545848E-2</v>
      </c>
      <c r="AH37" s="5">
        <f t="shared" si="16"/>
        <v>-3.3479101114587927E-2</v>
      </c>
      <c r="AI37" s="5">
        <f t="shared" si="16"/>
        <v>-4.1489667561954553E-2</v>
      </c>
      <c r="AJ37" s="5">
        <f t="shared" si="16"/>
        <v>-3.1043952204555494E-2</v>
      </c>
      <c r="AK37" s="5">
        <f t="shared" si="16"/>
        <v>-0.11336088154319313</v>
      </c>
      <c r="AL37" s="5">
        <f t="shared" si="16"/>
        <v>-3.0261634173928555E-2</v>
      </c>
      <c r="AM37" s="5">
        <f t="shared" si="16"/>
        <v>-3.6860976699886583E-2</v>
      </c>
      <c r="AN37" s="5">
        <f t="shared" si="16"/>
        <v>-3.8648636291887986E-2</v>
      </c>
      <c r="AP37" s="5">
        <f t="array" ref="AP37:BA48">MINVERSE(AC37:AN48)</f>
        <v>1.047245154413939</v>
      </c>
      <c r="AQ37" s="5">
        <v>0.13359663276900249</v>
      </c>
      <c r="AR37" s="5">
        <v>0.14943218060227423</v>
      </c>
      <c r="AS37" s="5">
        <v>8.2109624703331885E-2</v>
      </c>
      <c r="AT37" s="5">
        <v>8.6993541998639137E-2</v>
      </c>
      <c r="AU37" s="5">
        <v>8.4391263341758782E-2</v>
      </c>
      <c r="AV37" s="5">
        <v>0.1051888323181559</v>
      </c>
      <c r="AW37" s="5">
        <v>6.2123333030248848E-2</v>
      </c>
      <c r="AX37" s="5">
        <v>0.19611721416283079</v>
      </c>
      <c r="AY37" s="5">
        <v>0.13116882466255303</v>
      </c>
      <c r="AZ37" s="5">
        <v>0.12227862514532753</v>
      </c>
      <c r="BA37" s="5">
        <v>0.13941622262686204</v>
      </c>
    </row>
    <row r="38" spans="1:53" x14ac:dyDescent="0.25">
      <c r="A38" s="5" t="s">
        <v>1</v>
      </c>
      <c r="B38" s="5">
        <f t="shared" ref="B38:M48" si="17">B21/$N$33</f>
        <v>3.5510836569604506E-2</v>
      </c>
      <c r="C38" s="5">
        <f t="shared" si="17"/>
        <v>0</v>
      </c>
      <c r="D38" s="5">
        <f t="shared" si="17"/>
        <v>0.13611595559966702</v>
      </c>
      <c r="E38" s="5">
        <f t="shared" si="17"/>
        <v>0.11837933380782129</v>
      </c>
      <c r="F38" s="5">
        <f t="shared" si="17"/>
        <v>5.0451258912967437E-2</v>
      </c>
      <c r="G38" s="5">
        <f t="shared" si="17"/>
        <v>9.0230906889924786E-2</v>
      </c>
      <c r="H38" s="5">
        <f t="shared" si="17"/>
        <v>9.1265420410918036E-2</v>
      </c>
      <c r="I38" s="5">
        <f t="shared" si="17"/>
        <v>2.769346505368141E-2</v>
      </c>
      <c r="J38" s="5">
        <f t="shared" si="17"/>
        <v>9.4201243584417449E-2</v>
      </c>
      <c r="K38" s="5">
        <f t="shared" si="17"/>
        <v>0.138788879226205</v>
      </c>
      <c r="L38" s="5">
        <f t="shared" si="17"/>
        <v>9.5068854170705611E-2</v>
      </c>
      <c r="M38" s="5">
        <f t="shared" si="17"/>
        <v>0.12229384577408731</v>
      </c>
      <c r="P38" s="5">
        <v>0</v>
      </c>
      <c r="Q38" s="5">
        <v>1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C38" s="5">
        <f t="shared" ref="AC38:AC48" si="18">P38-B38</f>
        <v>-3.5510836569604506E-2</v>
      </c>
      <c r="AD38" s="5">
        <f t="shared" si="16"/>
        <v>1</v>
      </c>
      <c r="AE38" s="5">
        <f t="shared" si="16"/>
        <v>-0.13611595559966702</v>
      </c>
      <c r="AF38" s="5">
        <f t="shared" si="16"/>
        <v>-0.11837933380782129</v>
      </c>
      <c r="AG38" s="5">
        <f t="shared" si="16"/>
        <v>-5.0451258912967437E-2</v>
      </c>
      <c r="AH38" s="5">
        <f t="shared" si="16"/>
        <v>-9.0230906889924786E-2</v>
      </c>
      <c r="AI38" s="5">
        <f t="shared" si="16"/>
        <v>-9.1265420410918036E-2</v>
      </c>
      <c r="AJ38" s="5">
        <f t="shared" si="16"/>
        <v>-2.769346505368141E-2</v>
      </c>
      <c r="AK38" s="5">
        <f t="shared" si="16"/>
        <v>-9.4201243584417449E-2</v>
      </c>
      <c r="AL38" s="5">
        <f t="shared" si="16"/>
        <v>-0.138788879226205</v>
      </c>
      <c r="AM38" s="5">
        <f t="shared" si="16"/>
        <v>-9.5068854170705611E-2</v>
      </c>
      <c r="AN38" s="5">
        <f t="shared" si="16"/>
        <v>-0.12229384577408731</v>
      </c>
      <c r="AP38" s="5">
        <v>9.6793234065401801E-2</v>
      </c>
      <c r="AQ38" s="5">
        <v>1.0498810429436998</v>
      </c>
      <c r="AR38" s="5">
        <v>0.18985923757945244</v>
      </c>
      <c r="AS38" s="5">
        <v>0.16856445561770422</v>
      </c>
      <c r="AT38" s="5">
        <v>9.7304569148986705E-2</v>
      </c>
      <c r="AU38" s="5">
        <v>0.1515332445569352</v>
      </c>
      <c r="AV38" s="5">
        <v>0.17026990024669109</v>
      </c>
      <c r="AW38" s="5">
        <v>7.2831755262182912E-2</v>
      </c>
      <c r="AX38" s="5">
        <v>0.20781139087276573</v>
      </c>
      <c r="AY38" s="5">
        <v>0.25095247763580319</v>
      </c>
      <c r="AZ38" s="5">
        <v>0.20021675684810294</v>
      </c>
      <c r="BA38" s="5">
        <v>0.24553319826340844</v>
      </c>
    </row>
    <row r="39" spans="1:53" x14ac:dyDescent="0.25">
      <c r="A39" s="5" t="s">
        <v>2</v>
      </c>
      <c r="B39" s="5">
        <f t="shared" si="17"/>
        <v>5.2874875353916224E-2</v>
      </c>
      <c r="C39" s="5">
        <f t="shared" si="17"/>
        <v>1.7367997519582862E-2</v>
      </c>
      <c r="D39" s="5">
        <f t="shared" si="17"/>
        <v>0</v>
      </c>
      <c r="E39" s="5">
        <f t="shared" si="17"/>
        <v>5.4478580855003268E-2</v>
      </c>
      <c r="F39" s="5">
        <f t="shared" si="17"/>
        <v>2.026909717658678E-2</v>
      </c>
      <c r="G39" s="5">
        <f t="shared" si="17"/>
        <v>5.2675791599586963E-2</v>
      </c>
      <c r="H39" s="5">
        <f t="shared" si="17"/>
        <v>5.6760205771216134E-2</v>
      </c>
      <c r="I39" s="5">
        <f t="shared" si="17"/>
        <v>2.3560030968243162E-2</v>
      </c>
      <c r="J39" s="5">
        <f t="shared" si="17"/>
        <v>0.13474973698932063</v>
      </c>
      <c r="K39" s="5">
        <f t="shared" si="17"/>
        <v>0.13929539928695656</v>
      </c>
      <c r="L39" s="5">
        <f t="shared" si="17"/>
        <v>0.11159715043303202</v>
      </c>
      <c r="M39" s="5">
        <f t="shared" si="17"/>
        <v>0.12658052588816213</v>
      </c>
      <c r="P39" s="5">
        <v>0</v>
      </c>
      <c r="Q39" s="5">
        <v>0</v>
      </c>
      <c r="R39" s="5">
        <v>1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C39" s="5">
        <f t="shared" si="18"/>
        <v>-5.2874875353916224E-2</v>
      </c>
      <c r="AD39" s="5">
        <f t="shared" si="16"/>
        <v>-1.7367997519582862E-2</v>
      </c>
      <c r="AE39" s="5">
        <f t="shared" si="16"/>
        <v>1</v>
      </c>
      <c r="AF39" s="5">
        <f t="shared" si="16"/>
        <v>-5.4478580855003268E-2</v>
      </c>
      <c r="AG39" s="5">
        <f t="shared" si="16"/>
        <v>-2.026909717658678E-2</v>
      </c>
      <c r="AH39" s="5">
        <f t="shared" si="16"/>
        <v>-5.2675791599586963E-2</v>
      </c>
      <c r="AI39" s="5">
        <f t="shared" si="16"/>
        <v>-5.6760205771216134E-2</v>
      </c>
      <c r="AJ39" s="5">
        <f t="shared" si="16"/>
        <v>-2.3560030968243162E-2</v>
      </c>
      <c r="AK39" s="5">
        <f t="shared" si="16"/>
        <v>-0.13474973698932063</v>
      </c>
      <c r="AL39" s="5">
        <f t="shared" si="16"/>
        <v>-0.13929539928695656</v>
      </c>
      <c r="AM39" s="5">
        <f t="shared" si="16"/>
        <v>-0.11159715043303202</v>
      </c>
      <c r="AN39" s="5">
        <f t="shared" si="16"/>
        <v>-0.12658052588816213</v>
      </c>
      <c r="AP39" s="5">
        <v>9.7228539084919088E-2</v>
      </c>
      <c r="AQ39" s="5">
        <v>5.5443228053991739E-2</v>
      </c>
      <c r="AR39" s="5">
        <v>1.0454242801220623</v>
      </c>
      <c r="AS39" s="5">
        <v>9.1870767079125906E-2</v>
      </c>
      <c r="AT39" s="5">
        <v>5.587155454782821E-2</v>
      </c>
      <c r="AU39" s="5">
        <v>9.4843447466710071E-2</v>
      </c>
      <c r="AV39" s="5">
        <v>0.11504352547098866</v>
      </c>
      <c r="AW39" s="5">
        <v>5.659012130989264E-2</v>
      </c>
      <c r="AX39" s="5">
        <v>0.2047877808277726</v>
      </c>
      <c r="AY39" s="5">
        <v>0.21680185585143022</v>
      </c>
      <c r="AZ39" s="5">
        <v>0.18483726456226826</v>
      </c>
      <c r="BA39" s="5">
        <v>0.21717888630176946</v>
      </c>
    </row>
    <row r="40" spans="1:53" x14ac:dyDescent="0.25">
      <c r="A40" s="5" t="s">
        <v>3</v>
      </c>
      <c r="B40" s="5">
        <f t="shared" si="17"/>
        <v>4.9771964376965967E-2</v>
      </c>
      <c r="C40" s="5">
        <f t="shared" si="17"/>
        <v>5.1478566843420663E-2</v>
      </c>
      <c r="D40" s="5">
        <f t="shared" si="17"/>
        <v>5.0093860146528751E-2</v>
      </c>
      <c r="E40" s="5">
        <f t="shared" si="17"/>
        <v>0</v>
      </c>
      <c r="F40" s="5">
        <f t="shared" si="17"/>
        <v>5.3189507519619338E-2</v>
      </c>
      <c r="G40" s="5">
        <f t="shared" si="17"/>
        <v>5.4496616709805726E-2</v>
      </c>
      <c r="H40" s="5">
        <f t="shared" si="17"/>
        <v>0.11579562170829713</v>
      </c>
      <c r="I40" s="5">
        <f t="shared" si="17"/>
        <v>4.5459056564792273E-2</v>
      </c>
      <c r="J40" s="5">
        <f t="shared" si="17"/>
        <v>0.12623277654238019</v>
      </c>
      <c r="K40" s="5">
        <f t="shared" si="17"/>
        <v>4.5060236153078109E-2</v>
      </c>
      <c r="L40" s="5">
        <f t="shared" si="17"/>
        <v>0.11687386797822756</v>
      </c>
      <c r="M40" s="5">
        <f t="shared" si="17"/>
        <v>8.7429827911381916E-2</v>
      </c>
      <c r="P40" s="5">
        <v>0</v>
      </c>
      <c r="Q40" s="5">
        <v>0</v>
      </c>
      <c r="R40" s="5">
        <v>0</v>
      </c>
      <c r="S40" s="5">
        <v>1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C40" s="5">
        <f t="shared" ref="AC40:AN40" si="19">P40-B40</f>
        <v>-4.9771964376965967E-2</v>
      </c>
      <c r="AD40" s="5">
        <f t="shared" si="19"/>
        <v>-5.1478566843420663E-2</v>
      </c>
      <c r="AE40" s="5">
        <f t="shared" si="19"/>
        <v>-5.0093860146528751E-2</v>
      </c>
      <c r="AF40" s="5">
        <f t="shared" si="19"/>
        <v>1</v>
      </c>
      <c r="AG40" s="5">
        <f t="shared" si="19"/>
        <v>-5.3189507519619338E-2</v>
      </c>
      <c r="AH40" s="5">
        <f t="shared" si="19"/>
        <v>-5.4496616709805726E-2</v>
      </c>
      <c r="AI40" s="5">
        <f t="shared" si="19"/>
        <v>-0.11579562170829713</v>
      </c>
      <c r="AJ40" s="5">
        <f t="shared" si="19"/>
        <v>-4.5459056564792273E-2</v>
      </c>
      <c r="AK40" s="5">
        <f t="shared" si="19"/>
        <v>-0.12623277654238019</v>
      </c>
      <c r="AL40" s="5">
        <f t="shared" si="19"/>
        <v>-4.5060236153078109E-2</v>
      </c>
      <c r="AM40" s="5">
        <f t="shared" si="19"/>
        <v>-0.11687386797822756</v>
      </c>
      <c r="AN40" s="5">
        <f t="shared" si="19"/>
        <v>-8.7429827911381916E-2</v>
      </c>
      <c r="AP40" s="5">
        <v>9.7427538357062221E-2</v>
      </c>
      <c r="AQ40" s="5">
        <v>8.9450356012820462E-2</v>
      </c>
      <c r="AR40" s="5">
        <v>9.9067881088218318E-2</v>
      </c>
      <c r="AS40" s="5">
        <v>1.0452706324551448</v>
      </c>
      <c r="AT40" s="5">
        <v>8.9651237118258051E-2</v>
      </c>
      <c r="AU40" s="5">
        <v>0.10403379479210854</v>
      </c>
      <c r="AV40" s="5">
        <v>0.17485134084297799</v>
      </c>
      <c r="AW40" s="5">
        <v>7.931727172430017E-2</v>
      </c>
      <c r="AX40" s="5">
        <v>0.20731593949649116</v>
      </c>
      <c r="AY40" s="5">
        <v>0.14253629506176457</v>
      </c>
      <c r="AZ40" s="5">
        <v>0.19736720404315294</v>
      </c>
      <c r="BA40" s="5">
        <v>0.1907301321492042</v>
      </c>
    </row>
    <row r="41" spans="1:53" x14ac:dyDescent="0.25">
      <c r="A41" s="5" t="s">
        <v>4</v>
      </c>
      <c r="B41" s="5">
        <f t="shared" si="17"/>
        <v>1.85274460439207E-2</v>
      </c>
      <c r="C41" s="5">
        <f t="shared" si="17"/>
        <v>2.2329428348011496E-2</v>
      </c>
      <c r="D41" s="5">
        <f t="shared" si="17"/>
        <v>1.803879171889872E-2</v>
      </c>
      <c r="E41" s="5">
        <f t="shared" si="17"/>
        <v>1.8836950193126284E-2</v>
      </c>
      <c r="F41" s="5">
        <f t="shared" si="17"/>
        <v>0</v>
      </c>
      <c r="G41" s="5">
        <f t="shared" si="17"/>
        <v>0.10374065667234847</v>
      </c>
      <c r="H41" s="5">
        <f t="shared" si="17"/>
        <v>2.3581058343487647E-2</v>
      </c>
      <c r="I41" s="5">
        <f t="shared" si="17"/>
        <v>2.4379373891201556E-2</v>
      </c>
      <c r="J41" s="5">
        <f t="shared" si="17"/>
        <v>0.12077924142352492</v>
      </c>
      <c r="K41" s="5">
        <f t="shared" si="17"/>
        <v>0.12286139615382362</v>
      </c>
      <c r="L41" s="5">
        <f t="shared" si="17"/>
        <v>2.3887025765382638E-2</v>
      </c>
      <c r="M41" s="5">
        <f t="shared" si="17"/>
        <v>2.2280779348188583E-2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C41" s="5">
        <f t="shared" si="18"/>
        <v>-1.85274460439207E-2</v>
      </c>
      <c r="AD41" s="5">
        <f t="shared" si="16"/>
        <v>-2.2329428348011496E-2</v>
      </c>
      <c r="AE41" s="5">
        <f t="shared" si="16"/>
        <v>-1.803879171889872E-2</v>
      </c>
      <c r="AF41" s="5">
        <f t="shared" si="16"/>
        <v>-1.8836950193126284E-2</v>
      </c>
      <c r="AG41" s="5">
        <f t="shared" si="16"/>
        <v>1</v>
      </c>
      <c r="AH41" s="5">
        <f t="shared" si="16"/>
        <v>-0.10374065667234847</v>
      </c>
      <c r="AI41" s="5">
        <f t="shared" si="16"/>
        <v>-2.3581058343487647E-2</v>
      </c>
      <c r="AJ41" s="5">
        <f t="shared" si="16"/>
        <v>-2.4379373891201556E-2</v>
      </c>
      <c r="AK41" s="5">
        <f t="shared" si="16"/>
        <v>-0.12077924142352492</v>
      </c>
      <c r="AL41" s="5">
        <f t="shared" si="16"/>
        <v>-0.12286139615382362</v>
      </c>
      <c r="AM41" s="5">
        <f t="shared" si="16"/>
        <v>-2.3887025765382638E-2</v>
      </c>
      <c r="AN41" s="5">
        <f t="shared" si="16"/>
        <v>-2.2280779348188583E-2</v>
      </c>
      <c r="AP41" s="5">
        <v>5.0635126143166675E-2</v>
      </c>
      <c r="AQ41" s="5">
        <v>4.5837039773732803E-2</v>
      </c>
      <c r="AR41" s="5">
        <v>4.735602160993687E-2</v>
      </c>
      <c r="AS41" s="5">
        <v>4.535953961337031E-2</v>
      </c>
      <c r="AT41" s="5">
        <v>1.0231327937913011</v>
      </c>
      <c r="AU41" s="5">
        <v>0.12989763368571666</v>
      </c>
      <c r="AV41" s="5">
        <v>6.5045120573198348E-2</v>
      </c>
      <c r="AW41" s="5">
        <v>4.5927895613997155E-2</v>
      </c>
      <c r="AX41" s="5">
        <v>0.17076223747888425</v>
      </c>
      <c r="AY41" s="5">
        <v>0.17961990486416757</v>
      </c>
      <c r="AZ41" s="5">
        <v>7.8190665531584824E-2</v>
      </c>
      <c r="BA41" s="5">
        <v>8.4766396027804017E-2</v>
      </c>
    </row>
    <row r="42" spans="1:53" x14ac:dyDescent="0.25">
      <c r="A42" s="5" t="s">
        <v>5</v>
      </c>
      <c r="B42" s="5">
        <f t="shared" si="17"/>
        <v>2.1444672950585178E-2</v>
      </c>
      <c r="C42" s="5">
        <f t="shared" si="17"/>
        <v>1.9891862048092804E-2</v>
      </c>
      <c r="D42" s="5">
        <f t="shared" si="17"/>
        <v>1.9866178386090051E-2</v>
      </c>
      <c r="E42" s="5">
        <f t="shared" si="17"/>
        <v>1.9980221720846923E-2</v>
      </c>
      <c r="F42" s="5">
        <f t="shared" si="17"/>
        <v>1.9526808476141508E-2</v>
      </c>
      <c r="G42" s="5">
        <f t="shared" si="17"/>
        <v>0</v>
      </c>
      <c r="H42" s="5">
        <f t="shared" si="17"/>
        <v>2.0750420340860116E-2</v>
      </c>
      <c r="I42" s="5">
        <f t="shared" si="17"/>
        <v>2.0990879413125104E-2</v>
      </c>
      <c r="J42" s="5">
        <f t="shared" si="17"/>
        <v>0.10199974778881236</v>
      </c>
      <c r="K42" s="5">
        <f t="shared" si="17"/>
        <v>1.8401722936764304E-2</v>
      </c>
      <c r="L42" s="5">
        <f t="shared" si="17"/>
        <v>1.7474878795247901E-2</v>
      </c>
      <c r="M42" s="5">
        <f t="shared" si="17"/>
        <v>1.940916277299452E-2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C42" s="5">
        <f t="shared" si="18"/>
        <v>-2.1444672950585178E-2</v>
      </c>
      <c r="AD42" s="5">
        <f t="shared" si="16"/>
        <v>-1.9891862048092804E-2</v>
      </c>
      <c r="AE42" s="5">
        <f t="shared" si="16"/>
        <v>-1.9866178386090051E-2</v>
      </c>
      <c r="AF42" s="5">
        <f t="shared" si="16"/>
        <v>-1.9980221720846923E-2</v>
      </c>
      <c r="AG42" s="5">
        <f t="shared" si="16"/>
        <v>-1.9526808476141508E-2</v>
      </c>
      <c r="AH42" s="5">
        <f t="shared" si="16"/>
        <v>1</v>
      </c>
      <c r="AI42" s="5">
        <f t="shared" si="16"/>
        <v>-2.0750420340860116E-2</v>
      </c>
      <c r="AJ42" s="5">
        <f t="shared" si="16"/>
        <v>-2.0990879413125104E-2</v>
      </c>
      <c r="AK42" s="5">
        <f t="shared" si="16"/>
        <v>-0.10199974778881236</v>
      </c>
      <c r="AL42" s="5">
        <f t="shared" si="16"/>
        <v>-1.8401722936764304E-2</v>
      </c>
      <c r="AM42" s="5">
        <f t="shared" si="16"/>
        <v>-1.7474878795247901E-2</v>
      </c>
      <c r="AN42" s="5">
        <f t="shared" si="16"/>
        <v>-1.940916277299452E-2</v>
      </c>
      <c r="AP42" s="5">
        <v>4.41454844694152E-2</v>
      </c>
      <c r="AQ42" s="5">
        <v>3.6279508720125475E-2</v>
      </c>
      <c r="AR42" s="5">
        <v>4.066433656543552E-2</v>
      </c>
      <c r="AS42" s="5">
        <v>3.8044249924224623E-2</v>
      </c>
      <c r="AT42" s="5">
        <v>3.5054287682169435E-2</v>
      </c>
      <c r="AU42" s="5">
        <v>1.0211657876749225</v>
      </c>
      <c r="AV42" s="5">
        <v>5.1322858750552473E-2</v>
      </c>
      <c r="AW42" s="5">
        <v>3.5268164953177521E-2</v>
      </c>
      <c r="AX42" s="5">
        <v>0.13480277508514793</v>
      </c>
      <c r="AY42" s="5">
        <v>6.4260465380360676E-2</v>
      </c>
      <c r="AZ42" s="5">
        <v>5.821827116737862E-2</v>
      </c>
      <c r="BA42" s="5">
        <v>6.6412784211934764E-2</v>
      </c>
    </row>
    <row r="43" spans="1:53" x14ac:dyDescent="0.25">
      <c r="A43" s="5" t="s">
        <v>6</v>
      </c>
      <c r="B43" s="5">
        <f t="shared" si="17"/>
        <v>2.9259375262123671E-2</v>
      </c>
      <c r="C43" s="5">
        <f t="shared" si="17"/>
        <v>2.7733666128055147E-2</v>
      </c>
      <c r="D43" s="5">
        <f t="shared" si="17"/>
        <v>2.7123275667020604E-2</v>
      </c>
      <c r="E43" s="5">
        <f t="shared" si="17"/>
        <v>2.8609110365360797E-2</v>
      </c>
      <c r="F43" s="5">
        <f t="shared" si="17"/>
        <v>2.7470760659708941E-2</v>
      </c>
      <c r="G43" s="5">
        <f t="shared" si="17"/>
        <v>2.9634987235362328E-2</v>
      </c>
      <c r="H43" s="5">
        <f t="shared" si="17"/>
        <v>0</v>
      </c>
      <c r="I43" s="5">
        <f t="shared" si="17"/>
        <v>2.7065969663305527E-2</v>
      </c>
      <c r="J43" s="5">
        <f t="shared" si="17"/>
        <v>2.6883393356402139E-2</v>
      </c>
      <c r="K43" s="5">
        <f t="shared" si="17"/>
        <v>4.1365052475899985E-2</v>
      </c>
      <c r="L43" s="5">
        <f t="shared" si="17"/>
        <v>2.7057806177193503E-2</v>
      </c>
      <c r="M43" s="5">
        <f t="shared" si="17"/>
        <v>2.7788110279812595E-2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C43" s="5">
        <f t="shared" si="18"/>
        <v>-2.9259375262123671E-2</v>
      </c>
      <c r="AD43" s="5">
        <f t="shared" si="16"/>
        <v>-2.7733666128055147E-2</v>
      </c>
      <c r="AE43" s="5">
        <f t="shared" si="16"/>
        <v>-2.7123275667020604E-2</v>
      </c>
      <c r="AF43" s="5">
        <f t="shared" si="16"/>
        <v>-2.8609110365360797E-2</v>
      </c>
      <c r="AG43" s="5">
        <f t="shared" si="16"/>
        <v>-2.7470760659708941E-2</v>
      </c>
      <c r="AH43" s="5">
        <f t="shared" si="16"/>
        <v>-2.9634987235362328E-2</v>
      </c>
      <c r="AI43" s="5">
        <f t="shared" si="16"/>
        <v>1</v>
      </c>
      <c r="AJ43" s="5">
        <f t="shared" si="16"/>
        <v>-2.7065969663305527E-2</v>
      </c>
      <c r="AK43" s="5">
        <f t="shared" si="16"/>
        <v>-2.6883393356402139E-2</v>
      </c>
      <c r="AL43" s="5">
        <f t="shared" si="16"/>
        <v>-4.1365052475899985E-2</v>
      </c>
      <c r="AM43" s="5">
        <f t="shared" si="16"/>
        <v>-2.7057806177193503E-2</v>
      </c>
      <c r="AN43" s="5">
        <f t="shared" si="16"/>
        <v>-2.7788110279812595E-2</v>
      </c>
      <c r="AP43" s="5">
        <v>4.9003710585972249E-2</v>
      </c>
      <c r="AQ43" s="5">
        <v>4.4984349831837064E-2</v>
      </c>
      <c r="AR43" s="5">
        <v>4.9764054143957979E-2</v>
      </c>
      <c r="AS43" s="5">
        <v>4.8040056565917783E-2</v>
      </c>
      <c r="AT43" s="5">
        <v>4.4003822313798673E-2</v>
      </c>
      <c r="AU43" s="5">
        <v>5.2468910526902626E-2</v>
      </c>
      <c r="AV43" s="5">
        <v>1.0281778797886585</v>
      </c>
      <c r="AW43" s="5">
        <v>4.1982560082800144E-2</v>
      </c>
      <c r="AX43" s="5">
        <v>6.82600310326682E-2</v>
      </c>
      <c r="AY43" s="5">
        <v>8.3197315894586649E-2</v>
      </c>
      <c r="AZ43" s="5">
        <v>6.4371207533862829E-2</v>
      </c>
      <c r="BA43" s="5">
        <v>7.1628748487366556E-2</v>
      </c>
    </row>
    <row r="44" spans="1:53" x14ac:dyDescent="0.25">
      <c r="A44" s="5" t="s">
        <v>7</v>
      </c>
      <c r="B44" s="5">
        <f t="shared" si="17"/>
        <v>2.0148406546089726E-2</v>
      </c>
      <c r="C44" s="5">
        <f t="shared" si="17"/>
        <v>1.7733630024202515E-2</v>
      </c>
      <c r="D44" s="5">
        <f t="shared" si="17"/>
        <v>1.9595990679947776E-2</v>
      </c>
      <c r="E44" s="5">
        <f t="shared" si="17"/>
        <v>1.9126090748141169E-2</v>
      </c>
      <c r="F44" s="5">
        <f t="shared" si="17"/>
        <v>1.9276971330047833E-2</v>
      </c>
      <c r="G44" s="5">
        <f t="shared" si="17"/>
        <v>2.0192606115075281E-2</v>
      </c>
      <c r="H44" s="5">
        <f t="shared" si="17"/>
        <v>1.7123502022196643E-2</v>
      </c>
      <c r="I44" s="5">
        <f t="shared" si="17"/>
        <v>0</v>
      </c>
      <c r="J44" s="5">
        <f t="shared" si="17"/>
        <v>7.0607530453129369E-2</v>
      </c>
      <c r="K44" s="5">
        <f t="shared" si="17"/>
        <v>0.13368220847276402</v>
      </c>
      <c r="L44" s="5">
        <f t="shared" si="17"/>
        <v>0.12738850587744027</v>
      </c>
      <c r="M44" s="5">
        <f t="shared" si="17"/>
        <v>0.11346515272875418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0</v>
      </c>
      <c r="Y44" s="5">
        <v>0</v>
      </c>
      <c r="Z44" s="5">
        <v>0</v>
      </c>
      <c r="AA44" s="5">
        <v>0</v>
      </c>
      <c r="AC44" s="5">
        <f t="shared" si="18"/>
        <v>-2.0148406546089726E-2</v>
      </c>
      <c r="AD44" s="5">
        <f t="shared" si="16"/>
        <v>-1.7733630024202515E-2</v>
      </c>
      <c r="AE44" s="5">
        <f t="shared" si="16"/>
        <v>-1.9595990679947776E-2</v>
      </c>
      <c r="AF44" s="5">
        <f t="shared" si="16"/>
        <v>-1.9126090748141169E-2</v>
      </c>
      <c r="AG44" s="5">
        <f t="shared" si="16"/>
        <v>-1.9276971330047833E-2</v>
      </c>
      <c r="AH44" s="5">
        <f t="shared" si="16"/>
        <v>-2.0192606115075281E-2</v>
      </c>
      <c r="AI44" s="5">
        <f t="shared" si="16"/>
        <v>-1.7123502022196643E-2</v>
      </c>
      <c r="AJ44" s="5">
        <f t="shared" si="16"/>
        <v>1</v>
      </c>
      <c r="AK44" s="5">
        <f t="shared" si="16"/>
        <v>-7.0607530453129369E-2</v>
      </c>
      <c r="AL44" s="5">
        <f t="shared" si="16"/>
        <v>-0.13368220847276402</v>
      </c>
      <c r="AM44" s="5">
        <f t="shared" si="16"/>
        <v>-0.12738850587744027</v>
      </c>
      <c r="AN44" s="5">
        <f t="shared" si="16"/>
        <v>-0.11346515272875418</v>
      </c>
      <c r="AP44" s="5">
        <v>4.9931319414184647E-2</v>
      </c>
      <c r="AQ44" s="5">
        <v>4.2041392459421685E-2</v>
      </c>
      <c r="AR44" s="5">
        <v>4.9340201322491582E-2</v>
      </c>
      <c r="AS44" s="5">
        <v>4.6341368677315822E-2</v>
      </c>
      <c r="AT44" s="5">
        <v>4.2977829768113845E-2</v>
      </c>
      <c r="AU44" s="5">
        <v>5.0133494409362947E-2</v>
      </c>
      <c r="AV44" s="5">
        <v>5.5095169360259544E-2</v>
      </c>
      <c r="AW44" s="5">
        <v>1.022832174678052</v>
      </c>
      <c r="AX44" s="5">
        <v>0.11693489610524971</v>
      </c>
      <c r="AY44" s="5">
        <v>0.18415329716367607</v>
      </c>
      <c r="AZ44" s="5">
        <v>0.1732341765328646</v>
      </c>
      <c r="BA44" s="5">
        <v>0.17720704788929439</v>
      </c>
    </row>
    <row r="45" spans="1:53" x14ac:dyDescent="0.25">
      <c r="A45" s="5" t="s">
        <v>8</v>
      </c>
      <c r="B45" s="5">
        <f t="shared" si="17"/>
        <v>7.6818182377823091E-2</v>
      </c>
      <c r="C45" s="5">
        <f t="shared" si="17"/>
        <v>1.7641758204636881E-2</v>
      </c>
      <c r="D45" s="5">
        <f t="shared" si="17"/>
        <v>1.8451158395824233E-2</v>
      </c>
      <c r="E45" s="5">
        <f t="shared" si="17"/>
        <v>1.9172763620266726E-2</v>
      </c>
      <c r="F45" s="5">
        <f t="shared" si="17"/>
        <v>1.6532821075802458E-2</v>
      </c>
      <c r="G45" s="5">
        <f t="shared" si="17"/>
        <v>1.9331656103581733E-2</v>
      </c>
      <c r="H45" s="5">
        <f t="shared" si="17"/>
        <v>9.9101066575733254E-2</v>
      </c>
      <c r="I45" s="5">
        <f t="shared" si="17"/>
        <v>1.9586432049661311E-2</v>
      </c>
      <c r="J45" s="5">
        <f t="shared" si="17"/>
        <v>0</v>
      </c>
      <c r="K45" s="5">
        <f t="shared" si="17"/>
        <v>0.13433818074213932</v>
      </c>
      <c r="L45" s="5">
        <f t="shared" si="17"/>
        <v>0.12269759955079389</v>
      </c>
      <c r="M45" s="5">
        <f t="shared" si="17"/>
        <v>0.12748910354529339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  <c r="Y45" s="5">
        <v>0</v>
      </c>
      <c r="Z45" s="5">
        <v>0</v>
      </c>
      <c r="AA45" s="5">
        <v>0</v>
      </c>
      <c r="AC45" s="5">
        <f t="shared" si="18"/>
        <v>-7.6818182377823091E-2</v>
      </c>
      <c r="AD45" s="5">
        <f t="shared" si="16"/>
        <v>-1.7641758204636881E-2</v>
      </c>
      <c r="AE45" s="5">
        <f t="shared" si="16"/>
        <v>-1.8451158395824233E-2</v>
      </c>
      <c r="AF45" s="5">
        <f t="shared" si="16"/>
        <v>-1.9172763620266726E-2</v>
      </c>
      <c r="AG45" s="5">
        <f t="shared" si="16"/>
        <v>-1.6532821075802458E-2</v>
      </c>
      <c r="AH45" s="5">
        <f t="shared" si="16"/>
        <v>-1.9331656103581733E-2</v>
      </c>
      <c r="AI45" s="5">
        <f t="shared" si="16"/>
        <v>-9.9101066575733254E-2</v>
      </c>
      <c r="AJ45" s="5">
        <f t="shared" si="16"/>
        <v>-1.9586432049661311E-2</v>
      </c>
      <c r="AK45" s="5">
        <f t="shared" si="16"/>
        <v>1</v>
      </c>
      <c r="AL45" s="5">
        <f t="shared" si="16"/>
        <v>-0.13433818074213932</v>
      </c>
      <c r="AM45" s="5">
        <f t="shared" si="16"/>
        <v>-0.12269759955079389</v>
      </c>
      <c r="AN45" s="5">
        <f t="shared" si="16"/>
        <v>-0.12748910354529339</v>
      </c>
      <c r="AP45" s="5">
        <v>0.10679345728404245</v>
      </c>
      <c r="AQ45" s="5">
        <v>5.0573250219438766E-2</v>
      </c>
      <c r="AR45" s="5">
        <v>5.7748696100172012E-2</v>
      </c>
      <c r="AS45" s="5">
        <v>5.2294167615227594E-2</v>
      </c>
      <c r="AT45" s="5">
        <v>4.6522681141386427E-2</v>
      </c>
      <c r="AU45" s="5">
        <v>5.5301205352443872E-2</v>
      </c>
      <c r="AV45" s="5">
        <v>0.13679342221908852</v>
      </c>
      <c r="AW45" s="5">
        <v>4.6645145879632741E-2</v>
      </c>
      <c r="AX45" s="5">
        <v>1.0607535728689976</v>
      </c>
      <c r="AY45" s="5">
        <v>0.18902066899523776</v>
      </c>
      <c r="AZ45" s="5">
        <v>0.17212443928616572</v>
      </c>
      <c r="BA45" s="5">
        <v>0.19398744470212975</v>
      </c>
    </row>
    <row r="46" spans="1:53" x14ac:dyDescent="0.25">
      <c r="A46" s="5" t="s">
        <v>9</v>
      </c>
      <c r="B46" s="5">
        <f t="shared" si="17"/>
        <v>1.8049636595499945E-2</v>
      </c>
      <c r="C46" s="5">
        <f t="shared" si="17"/>
        <v>1.8593441302131548E-2</v>
      </c>
      <c r="D46" s="5">
        <f t="shared" si="17"/>
        <v>1.9141201737563902E-2</v>
      </c>
      <c r="E46" s="5">
        <f t="shared" si="17"/>
        <v>2.3314419704116882E-2</v>
      </c>
      <c r="F46" s="5">
        <f t="shared" si="17"/>
        <v>1.8894292071918423E-2</v>
      </c>
      <c r="G46" s="5">
        <f t="shared" si="17"/>
        <v>2.0244369189922857E-2</v>
      </c>
      <c r="H46" s="5">
        <f t="shared" si="17"/>
        <v>1.8103814548165831E-2</v>
      </c>
      <c r="I46" s="5">
        <f t="shared" si="17"/>
        <v>2.1548147372280588E-2</v>
      </c>
      <c r="J46" s="5">
        <f t="shared" si="17"/>
        <v>1.857442922109994E-2</v>
      </c>
      <c r="K46" s="5">
        <f t="shared" si="17"/>
        <v>0</v>
      </c>
      <c r="L46" s="5">
        <f t="shared" si="17"/>
        <v>2.2643216604227391E-2</v>
      </c>
      <c r="M46" s="5">
        <f t="shared" si="17"/>
        <v>1.7271778977853453E-2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1</v>
      </c>
      <c r="Z46" s="5">
        <v>0</v>
      </c>
      <c r="AA46" s="5">
        <v>0</v>
      </c>
      <c r="AC46" s="5">
        <f t="shared" si="18"/>
        <v>-1.8049636595499945E-2</v>
      </c>
      <c r="AD46" s="5">
        <f t="shared" si="16"/>
        <v>-1.8593441302131548E-2</v>
      </c>
      <c r="AE46" s="5">
        <f t="shared" si="16"/>
        <v>-1.9141201737563902E-2</v>
      </c>
      <c r="AF46" s="5">
        <f t="shared" si="16"/>
        <v>-2.3314419704116882E-2</v>
      </c>
      <c r="AG46" s="5">
        <f t="shared" si="16"/>
        <v>-1.8894292071918423E-2</v>
      </c>
      <c r="AH46" s="5">
        <f t="shared" si="16"/>
        <v>-2.0244369189922857E-2</v>
      </c>
      <c r="AI46" s="5">
        <f t="shared" si="16"/>
        <v>-1.8103814548165831E-2</v>
      </c>
      <c r="AJ46" s="5">
        <f t="shared" si="16"/>
        <v>-2.1548147372280588E-2</v>
      </c>
      <c r="AK46" s="5">
        <f t="shared" si="16"/>
        <v>-1.857442922109994E-2</v>
      </c>
      <c r="AL46" s="5">
        <f t="shared" si="16"/>
        <v>1</v>
      </c>
      <c r="AM46" s="5">
        <f t="shared" si="16"/>
        <v>-2.2643216604227391E-2</v>
      </c>
      <c r="AN46" s="5">
        <f t="shared" si="16"/>
        <v>-1.7271778977853453E-2</v>
      </c>
      <c r="AP46" s="5">
        <v>3.2093060246181374E-2</v>
      </c>
      <c r="AQ46" s="5">
        <v>3.0643863731775332E-2</v>
      </c>
      <c r="AR46" s="5">
        <v>3.4842691493533577E-2</v>
      </c>
      <c r="AS46" s="5">
        <v>3.6675940145462889E-2</v>
      </c>
      <c r="AT46" s="5">
        <v>3.0512764265652199E-2</v>
      </c>
      <c r="AU46" s="5">
        <v>3.6280395750610164E-2</v>
      </c>
      <c r="AV46" s="5">
        <v>3.7575824027831613E-2</v>
      </c>
      <c r="AW46" s="5">
        <v>3.194409187014103E-2</v>
      </c>
      <c r="AX46" s="5">
        <v>4.7700383179742047E-2</v>
      </c>
      <c r="AY46" s="5">
        <v>1.0303122721781528</v>
      </c>
      <c r="AZ46" s="5">
        <v>4.9077984309763643E-2</v>
      </c>
      <c r="BA46" s="5">
        <v>4.8832842141395702E-2</v>
      </c>
    </row>
    <row r="47" spans="1:53" x14ac:dyDescent="0.25">
      <c r="A47" s="5" t="s">
        <v>10</v>
      </c>
      <c r="B47" s="5">
        <f t="shared" ref="B47:M47" si="20">B30/$N$33</f>
        <v>1.9697470540288173E-2</v>
      </c>
      <c r="C47" s="5">
        <f t="shared" si="20"/>
        <v>1.704230868992215E-2</v>
      </c>
      <c r="D47" s="5">
        <f t="shared" si="20"/>
        <v>2.1241591811760691E-2</v>
      </c>
      <c r="E47" s="5">
        <f t="shared" si="20"/>
        <v>1.9268435110274013E-2</v>
      </c>
      <c r="F47" s="5">
        <f t="shared" si="20"/>
        <v>1.7825792777859568E-2</v>
      </c>
      <c r="G47" s="5">
        <f t="shared" si="20"/>
        <v>1.9371853165513452E-2</v>
      </c>
      <c r="H47" s="5">
        <f t="shared" si="20"/>
        <v>1.8334798048609834E-2</v>
      </c>
      <c r="I47" s="5">
        <f t="shared" si="20"/>
        <v>1.8103299219455825E-2</v>
      </c>
      <c r="J47" s="5">
        <f t="shared" si="20"/>
        <v>1.8904165357313381E-2</v>
      </c>
      <c r="K47" s="5">
        <f t="shared" si="20"/>
        <v>1.9099798205500038E-2</v>
      </c>
      <c r="L47" s="5">
        <f t="shared" si="20"/>
        <v>0</v>
      </c>
      <c r="M47" s="5">
        <f t="shared" si="20"/>
        <v>0.12833917918656237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1</v>
      </c>
      <c r="AA47" s="5">
        <v>0</v>
      </c>
      <c r="AC47" s="5">
        <f t="shared" si="18"/>
        <v>-1.9697470540288173E-2</v>
      </c>
      <c r="AD47" s="5">
        <f t="shared" si="16"/>
        <v>-1.704230868992215E-2</v>
      </c>
      <c r="AE47" s="5">
        <f t="shared" si="16"/>
        <v>-2.1241591811760691E-2</v>
      </c>
      <c r="AF47" s="5">
        <f t="shared" si="16"/>
        <v>-1.9268435110274013E-2</v>
      </c>
      <c r="AG47" s="5">
        <f t="shared" si="16"/>
        <v>-1.7825792777859568E-2</v>
      </c>
      <c r="AH47" s="5">
        <f t="shared" si="16"/>
        <v>-1.9371853165513452E-2</v>
      </c>
      <c r="AI47" s="5">
        <f t="shared" si="16"/>
        <v>-1.8334798048609834E-2</v>
      </c>
      <c r="AJ47" s="5">
        <f t="shared" si="16"/>
        <v>-1.8103299219455825E-2</v>
      </c>
      <c r="AK47" s="5">
        <f t="shared" si="16"/>
        <v>-1.8904165357313381E-2</v>
      </c>
      <c r="AL47" s="5">
        <f t="shared" si="16"/>
        <v>-1.9099798205500038E-2</v>
      </c>
      <c r="AM47" s="5">
        <f t="shared" si="16"/>
        <v>1</v>
      </c>
      <c r="AN47" s="5">
        <f t="shared" si="16"/>
        <v>-0.12833917918656237</v>
      </c>
      <c r="AP47" s="5">
        <v>3.7038604024041397E-2</v>
      </c>
      <c r="AQ47" s="5">
        <v>3.2327554564498012E-2</v>
      </c>
      <c r="AR47" s="5">
        <v>4.0174501676878638E-2</v>
      </c>
      <c r="AS47" s="5">
        <v>3.6309393801426233E-2</v>
      </c>
      <c r="AT47" s="5">
        <v>3.2741859468531739E-2</v>
      </c>
      <c r="AU47" s="5">
        <v>3.8707958752216519E-2</v>
      </c>
      <c r="AV47" s="5">
        <v>4.1215660963894514E-2</v>
      </c>
      <c r="AW47" s="5">
        <v>3.1709459672555479E-2</v>
      </c>
      <c r="AX47" s="5">
        <v>5.2693998851628274E-2</v>
      </c>
      <c r="AY47" s="5">
        <v>5.3554267026923806E-2</v>
      </c>
      <c r="AZ47" s="5">
        <v>1.0313059194452363</v>
      </c>
      <c r="BA47" s="5">
        <v>0.15986865667520611</v>
      </c>
    </row>
    <row r="48" spans="1:53" x14ac:dyDescent="0.25">
      <c r="A48" s="5" t="s">
        <v>11</v>
      </c>
      <c r="B48" s="5">
        <f t="shared" si="17"/>
        <v>2.0948831364535871E-2</v>
      </c>
      <c r="C48" s="5">
        <f t="shared" si="17"/>
        <v>2.0148755382489135E-2</v>
      </c>
      <c r="D48" s="5">
        <f t="shared" si="17"/>
        <v>1.9514036211683471E-2</v>
      </c>
      <c r="E48" s="5">
        <f t="shared" si="17"/>
        <v>2.272714881958594E-2</v>
      </c>
      <c r="F48" s="5">
        <f t="shared" si="17"/>
        <v>2.2619098864675273E-2</v>
      </c>
      <c r="G48" s="5">
        <f t="shared" si="17"/>
        <v>1.9494168594696149E-2</v>
      </c>
      <c r="H48" s="5">
        <f t="shared" si="17"/>
        <v>1.8922702633468316E-2</v>
      </c>
      <c r="I48" s="5">
        <f t="shared" si="17"/>
        <v>2.179830323628058E-2</v>
      </c>
      <c r="J48" s="5">
        <f t="shared" si="17"/>
        <v>2.322303278233329E-2</v>
      </c>
      <c r="K48" s="5">
        <f t="shared" si="17"/>
        <v>2.0385778325751124E-2</v>
      </c>
      <c r="L48" s="5">
        <f t="shared" si="17"/>
        <v>2.4076645215002076E-2</v>
      </c>
      <c r="M48" s="5">
        <f t="shared" si="17"/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1</v>
      </c>
      <c r="AC48" s="5">
        <f t="shared" si="18"/>
        <v>-2.0948831364535871E-2</v>
      </c>
      <c r="AD48" s="5">
        <f t="shared" si="16"/>
        <v>-2.0148755382489135E-2</v>
      </c>
      <c r="AE48" s="5">
        <f t="shared" si="16"/>
        <v>-1.9514036211683471E-2</v>
      </c>
      <c r="AF48" s="5">
        <f t="shared" si="16"/>
        <v>-2.272714881958594E-2</v>
      </c>
      <c r="AG48" s="5">
        <f t="shared" si="16"/>
        <v>-2.2619098864675273E-2</v>
      </c>
      <c r="AH48" s="5">
        <f t="shared" si="16"/>
        <v>-1.9494168594696149E-2</v>
      </c>
      <c r="AI48" s="5">
        <f t="shared" si="16"/>
        <v>-1.8922702633468316E-2</v>
      </c>
      <c r="AJ48" s="5">
        <f t="shared" si="16"/>
        <v>-2.179830323628058E-2</v>
      </c>
      <c r="AK48" s="5">
        <f t="shared" si="16"/>
        <v>-2.322303278233329E-2</v>
      </c>
      <c r="AL48" s="5">
        <f t="shared" si="16"/>
        <v>-2.0385778325751124E-2</v>
      </c>
      <c r="AM48" s="5">
        <f t="shared" si="16"/>
        <v>-2.4076645215002076E-2</v>
      </c>
      <c r="AN48" s="5">
        <f t="shared" si="16"/>
        <v>1</v>
      </c>
      <c r="AP48" s="5">
        <v>3.6048073154785032E-2</v>
      </c>
      <c r="AQ48" s="5">
        <v>3.3156552571655791E-2</v>
      </c>
      <c r="AR48" s="5">
        <v>3.6507568129868599E-2</v>
      </c>
      <c r="AS48" s="5">
        <v>3.718840435169974E-2</v>
      </c>
      <c r="AT48" s="5">
        <v>3.4996724899410477E-2</v>
      </c>
      <c r="AU48" s="5">
        <v>3.6922722377638426E-2</v>
      </c>
      <c r="AV48" s="5">
        <v>3.9916894995584588E-2</v>
      </c>
      <c r="AW48" s="5">
        <v>3.2990542470149549E-2</v>
      </c>
      <c r="AX48" s="5">
        <v>5.4209525407160786E-2</v>
      </c>
      <c r="AY48" s="5">
        <v>5.2861186609451424E-2</v>
      </c>
      <c r="AZ48" s="5">
        <v>5.2414166299460392E-2</v>
      </c>
      <c r="BA48" s="5">
        <v>1.0342203812247346</v>
      </c>
    </row>
    <row r="50" spans="1:14" x14ac:dyDescent="0.25">
      <c r="A50" s="5" t="s">
        <v>86</v>
      </c>
    </row>
    <row r="52" spans="1:14" x14ac:dyDescent="0.25">
      <c r="B52" s="5" t="s">
        <v>0</v>
      </c>
      <c r="C52" s="5" t="s">
        <v>1</v>
      </c>
      <c r="D52" s="5" t="s">
        <v>2</v>
      </c>
      <c r="E52" s="5" t="s">
        <v>3</v>
      </c>
      <c r="F52" s="5" t="s">
        <v>4</v>
      </c>
      <c r="G52" s="5" t="s">
        <v>5</v>
      </c>
      <c r="H52" s="5" t="s">
        <v>6</v>
      </c>
      <c r="I52" s="5" t="s">
        <v>7</v>
      </c>
      <c r="J52" s="5" t="s">
        <v>8</v>
      </c>
      <c r="K52" s="5" t="s">
        <v>9</v>
      </c>
      <c r="L52" s="5" t="s">
        <v>10</v>
      </c>
      <c r="M52" s="5" t="s">
        <v>11</v>
      </c>
      <c r="N52" s="5" t="s">
        <v>90</v>
      </c>
    </row>
    <row r="53" spans="1:14" x14ac:dyDescent="0.25">
      <c r="A53" s="5" t="s">
        <v>0</v>
      </c>
      <c r="B53" s="5">
        <f t="array" ref="B53:M64">ROUND(MMULT(B37:M48,AP37:BA48), 4)</f>
        <v>4.7199999999999999E-2</v>
      </c>
      <c r="C53" s="5">
        <v>0.1336</v>
      </c>
      <c r="D53" s="5">
        <v>0.14940000000000001</v>
      </c>
      <c r="E53" s="5">
        <v>8.2100000000000006E-2</v>
      </c>
      <c r="F53" s="5">
        <v>8.6999999999999994E-2</v>
      </c>
      <c r="G53" s="5">
        <v>8.4400000000000003E-2</v>
      </c>
      <c r="H53" s="5">
        <v>0.1052</v>
      </c>
      <c r="I53" s="5">
        <v>6.2100000000000002E-2</v>
      </c>
      <c r="J53" s="5">
        <v>0.1961</v>
      </c>
      <c r="K53" s="5">
        <v>0.13120000000000001</v>
      </c>
      <c r="L53" s="5">
        <v>0.12230000000000001</v>
      </c>
      <c r="M53" s="5">
        <v>0.1394</v>
      </c>
      <c r="N53" s="5">
        <f>SUM(B53:M53)</f>
        <v>1.34</v>
      </c>
    </row>
    <row r="54" spans="1:14" x14ac:dyDescent="0.25">
      <c r="A54" s="5" t="s">
        <v>1</v>
      </c>
      <c r="B54" s="5">
        <v>9.6799999999999997E-2</v>
      </c>
      <c r="C54" s="5">
        <v>4.99E-2</v>
      </c>
      <c r="D54" s="5">
        <v>0.18990000000000001</v>
      </c>
      <c r="E54" s="5">
        <v>0.1686</v>
      </c>
      <c r="F54" s="5">
        <v>9.7299999999999998E-2</v>
      </c>
      <c r="G54" s="5">
        <v>0.1515</v>
      </c>
      <c r="H54" s="5">
        <v>0.17030000000000001</v>
      </c>
      <c r="I54" s="5">
        <v>7.2800000000000004E-2</v>
      </c>
      <c r="J54" s="5">
        <v>0.20780000000000001</v>
      </c>
      <c r="K54" s="5">
        <v>0.251</v>
      </c>
      <c r="L54" s="5">
        <v>0.20019999999999999</v>
      </c>
      <c r="M54" s="5">
        <v>0.2455</v>
      </c>
      <c r="N54" s="5">
        <f t="shared" ref="N54:N64" si="21">SUM(B54:M54)</f>
        <v>1.9016000000000002</v>
      </c>
    </row>
    <row r="55" spans="1:14" x14ac:dyDescent="0.25">
      <c r="A55" s="5" t="s">
        <v>2</v>
      </c>
      <c r="B55" s="5">
        <v>9.7199999999999995E-2</v>
      </c>
      <c r="C55" s="5">
        <v>5.5399999999999998E-2</v>
      </c>
      <c r="D55" s="5">
        <v>4.5400000000000003E-2</v>
      </c>
      <c r="E55" s="5">
        <v>9.1899999999999996E-2</v>
      </c>
      <c r="F55" s="5">
        <v>5.5899999999999998E-2</v>
      </c>
      <c r="G55" s="5">
        <v>9.4799999999999995E-2</v>
      </c>
      <c r="H55" s="5">
        <v>0.115</v>
      </c>
      <c r="I55" s="5">
        <v>5.6599999999999998E-2</v>
      </c>
      <c r="J55" s="5">
        <v>0.20480000000000001</v>
      </c>
      <c r="K55" s="5">
        <v>0.21679999999999999</v>
      </c>
      <c r="L55" s="5">
        <v>0.18479999999999999</v>
      </c>
      <c r="M55" s="5">
        <v>0.2172</v>
      </c>
      <c r="N55" s="5">
        <f t="shared" si="21"/>
        <v>1.4358</v>
      </c>
    </row>
    <row r="56" spans="1:14" x14ac:dyDescent="0.25">
      <c r="A56" s="5" t="s">
        <v>3</v>
      </c>
      <c r="B56" s="5">
        <v>9.74E-2</v>
      </c>
      <c r="C56" s="5">
        <v>8.9499999999999996E-2</v>
      </c>
      <c r="D56" s="5">
        <v>9.9099999999999994E-2</v>
      </c>
      <c r="E56" s="5">
        <v>4.53E-2</v>
      </c>
      <c r="F56" s="5">
        <v>8.9700000000000002E-2</v>
      </c>
      <c r="G56" s="5">
        <v>0.104</v>
      </c>
      <c r="H56" s="5">
        <v>0.1749</v>
      </c>
      <c r="I56" s="5">
        <v>7.9299999999999995E-2</v>
      </c>
      <c r="J56" s="5">
        <v>0.20730000000000001</v>
      </c>
      <c r="K56" s="5">
        <v>0.14249999999999999</v>
      </c>
      <c r="L56" s="5">
        <v>0.19739999999999999</v>
      </c>
      <c r="M56" s="5">
        <v>0.19070000000000001</v>
      </c>
      <c r="N56" s="5">
        <f t="shared" si="21"/>
        <v>1.5171000000000001</v>
      </c>
    </row>
    <row r="57" spans="1:14" x14ac:dyDescent="0.25">
      <c r="A57" s="5" t="s">
        <v>4</v>
      </c>
      <c r="B57" s="5">
        <v>5.0599999999999999E-2</v>
      </c>
      <c r="C57" s="5">
        <v>4.58E-2</v>
      </c>
      <c r="D57" s="5">
        <v>4.7399999999999998E-2</v>
      </c>
      <c r="E57" s="5">
        <v>4.5400000000000003E-2</v>
      </c>
      <c r="F57" s="5">
        <v>2.3099999999999999E-2</v>
      </c>
      <c r="G57" s="5">
        <v>0.12989999999999999</v>
      </c>
      <c r="H57" s="5">
        <v>6.5000000000000002E-2</v>
      </c>
      <c r="I57" s="5">
        <v>4.5900000000000003E-2</v>
      </c>
      <c r="J57" s="5">
        <v>0.17080000000000001</v>
      </c>
      <c r="K57" s="5">
        <v>0.17960000000000001</v>
      </c>
      <c r="L57" s="5">
        <v>7.8200000000000006E-2</v>
      </c>
      <c r="M57" s="5">
        <v>8.48E-2</v>
      </c>
      <c r="N57" s="5">
        <f t="shared" si="21"/>
        <v>0.96649999999999991</v>
      </c>
    </row>
    <row r="58" spans="1:14" x14ac:dyDescent="0.25">
      <c r="A58" s="5" t="s">
        <v>5</v>
      </c>
      <c r="B58" s="5">
        <v>4.41E-2</v>
      </c>
      <c r="C58" s="5">
        <v>3.6299999999999999E-2</v>
      </c>
      <c r="D58" s="5">
        <v>4.07E-2</v>
      </c>
      <c r="E58" s="5">
        <v>3.7999999999999999E-2</v>
      </c>
      <c r="F58" s="5">
        <v>3.5099999999999999E-2</v>
      </c>
      <c r="G58" s="5">
        <v>2.12E-2</v>
      </c>
      <c r="H58" s="5">
        <v>5.1299999999999998E-2</v>
      </c>
      <c r="I58" s="5">
        <v>3.5299999999999998E-2</v>
      </c>
      <c r="J58" s="5">
        <v>0.1348</v>
      </c>
      <c r="K58" s="5">
        <v>6.4299999999999996E-2</v>
      </c>
      <c r="L58" s="5">
        <v>5.8200000000000002E-2</v>
      </c>
      <c r="M58" s="5">
        <v>6.6400000000000001E-2</v>
      </c>
      <c r="N58" s="5">
        <f t="shared" si="21"/>
        <v>0.62570000000000003</v>
      </c>
    </row>
    <row r="59" spans="1:14" x14ac:dyDescent="0.25">
      <c r="A59" s="5" t="s">
        <v>6</v>
      </c>
      <c r="B59" s="5">
        <v>4.9000000000000002E-2</v>
      </c>
      <c r="C59" s="5">
        <v>4.4999999999999998E-2</v>
      </c>
      <c r="D59" s="5">
        <v>4.9799999999999997E-2</v>
      </c>
      <c r="E59" s="5">
        <v>4.8000000000000001E-2</v>
      </c>
      <c r="F59" s="5">
        <v>4.3999999999999997E-2</v>
      </c>
      <c r="G59" s="5">
        <v>5.2499999999999998E-2</v>
      </c>
      <c r="H59" s="5">
        <v>2.8199999999999999E-2</v>
      </c>
      <c r="I59" s="5">
        <v>4.2000000000000003E-2</v>
      </c>
      <c r="J59" s="5">
        <v>6.83E-2</v>
      </c>
      <c r="K59" s="5">
        <v>8.3199999999999996E-2</v>
      </c>
      <c r="L59" s="5">
        <v>6.4399999999999999E-2</v>
      </c>
      <c r="M59" s="5">
        <v>7.1599999999999997E-2</v>
      </c>
      <c r="N59" s="5">
        <f t="shared" si="21"/>
        <v>0.64600000000000002</v>
      </c>
    </row>
    <row r="60" spans="1:14" x14ac:dyDescent="0.25">
      <c r="A60" s="5" t="s">
        <v>7</v>
      </c>
      <c r="B60" s="5">
        <v>4.99E-2</v>
      </c>
      <c r="C60" s="5">
        <v>4.2000000000000003E-2</v>
      </c>
      <c r="D60" s="5">
        <v>4.9299999999999997E-2</v>
      </c>
      <c r="E60" s="5">
        <v>4.6300000000000001E-2</v>
      </c>
      <c r="F60" s="5">
        <v>4.2999999999999997E-2</v>
      </c>
      <c r="G60" s="5">
        <v>5.0099999999999999E-2</v>
      </c>
      <c r="H60" s="5">
        <v>5.5100000000000003E-2</v>
      </c>
      <c r="I60" s="5">
        <v>2.2800000000000001E-2</v>
      </c>
      <c r="J60" s="5">
        <v>0.1169</v>
      </c>
      <c r="K60" s="5">
        <v>0.1842</v>
      </c>
      <c r="L60" s="5">
        <v>0.17319999999999999</v>
      </c>
      <c r="M60" s="5">
        <v>0.1772</v>
      </c>
      <c r="N60" s="5">
        <f>SUM(B60:M60)</f>
        <v>1.01</v>
      </c>
    </row>
    <row r="61" spans="1:14" x14ac:dyDescent="0.25">
      <c r="A61" s="5" t="s">
        <v>8</v>
      </c>
      <c r="B61" s="5">
        <v>0.10680000000000001</v>
      </c>
      <c r="C61" s="5">
        <v>5.0599999999999999E-2</v>
      </c>
      <c r="D61" s="5">
        <v>5.7700000000000001E-2</v>
      </c>
      <c r="E61" s="5">
        <v>5.2299999999999999E-2</v>
      </c>
      <c r="F61" s="5">
        <v>4.65E-2</v>
      </c>
      <c r="G61" s="5">
        <v>5.5300000000000002E-2</v>
      </c>
      <c r="H61" s="5">
        <v>0.1368</v>
      </c>
      <c r="I61" s="5">
        <v>4.6600000000000003E-2</v>
      </c>
      <c r="J61" s="5">
        <v>6.08E-2</v>
      </c>
      <c r="K61" s="5">
        <v>0.189</v>
      </c>
      <c r="L61" s="5">
        <v>0.1721</v>
      </c>
      <c r="M61" s="5">
        <v>0.19400000000000001</v>
      </c>
      <c r="N61" s="5">
        <f t="shared" si="21"/>
        <v>1.1685000000000001</v>
      </c>
    </row>
    <row r="62" spans="1:14" x14ac:dyDescent="0.25">
      <c r="A62" s="5" t="s">
        <v>9</v>
      </c>
      <c r="B62" s="5">
        <v>3.2099999999999997E-2</v>
      </c>
      <c r="C62" s="5">
        <v>3.0599999999999999E-2</v>
      </c>
      <c r="D62" s="5">
        <v>3.4799999999999998E-2</v>
      </c>
      <c r="E62" s="5">
        <v>3.6700000000000003E-2</v>
      </c>
      <c r="F62" s="5">
        <v>3.0499999999999999E-2</v>
      </c>
      <c r="G62" s="5">
        <v>3.6299999999999999E-2</v>
      </c>
      <c r="H62" s="5">
        <v>3.7600000000000001E-2</v>
      </c>
      <c r="I62" s="5">
        <v>3.1899999999999998E-2</v>
      </c>
      <c r="J62" s="5">
        <v>4.7699999999999999E-2</v>
      </c>
      <c r="K62" s="5">
        <v>3.0300000000000001E-2</v>
      </c>
      <c r="L62" s="5">
        <v>4.9099999999999998E-2</v>
      </c>
      <c r="M62" s="5">
        <v>4.8800000000000003E-2</v>
      </c>
      <c r="N62" s="5">
        <f t="shared" si="21"/>
        <v>0.44639999999999996</v>
      </c>
    </row>
    <row r="63" spans="1:14" x14ac:dyDescent="0.25">
      <c r="A63" s="5" t="s">
        <v>10</v>
      </c>
      <c r="B63" s="5">
        <v>3.6999999999999998E-2</v>
      </c>
      <c r="C63" s="5">
        <v>3.2300000000000002E-2</v>
      </c>
      <c r="D63" s="5">
        <v>4.02E-2</v>
      </c>
      <c r="E63" s="5">
        <v>3.6299999999999999E-2</v>
      </c>
      <c r="F63" s="5">
        <v>3.27E-2</v>
      </c>
      <c r="G63" s="5">
        <v>3.8699999999999998E-2</v>
      </c>
      <c r="H63" s="5">
        <v>4.1200000000000001E-2</v>
      </c>
      <c r="I63" s="5">
        <v>3.1699999999999999E-2</v>
      </c>
      <c r="J63" s="5">
        <v>5.2699999999999997E-2</v>
      </c>
      <c r="K63" s="5">
        <v>5.3600000000000002E-2</v>
      </c>
      <c r="L63" s="5">
        <v>3.1300000000000001E-2</v>
      </c>
      <c r="M63" s="5">
        <v>0.15989999999999999</v>
      </c>
      <c r="N63" s="5">
        <f t="shared" si="21"/>
        <v>0.5875999999999999</v>
      </c>
    </row>
    <row r="64" spans="1:14" x14ac:dyDescent="0.25">
      <c r="A64" s="5" t="s">
        <v>11</v>
      </c>
      <c r="B64" s="5">
        <v>3.5999999999999997E-2</v>
      </c>
      <c r="C64" s="5">
        <v>3.32E-2</v>
      </c>
      <c r="D64" s="5">
        <v>3.6499999999999998E-2</v>
      </c>
      <c r="E64" s="5">
        <v>3.7199999999999997E-2</v>
      </c>
      <c r="F64" s="5">
        <v>3.5000000000000003E-2</v>
      </c>
      <c r="G64" s="5">
        <v>3.6900000000000002E-2</v>
      </c>
      <c r="H64" s="5">
        <v>3.9899999999999998E-2</v>
      </c>
      <c r="I64" s="5">
        <v>3.3000000000000002E-2</v>
      </c>
      <c r="J64" s="5">
        <v>5.4199999999999998E-2</v>
      </c>
      <c r="K64" s="5">
        <v>5.2900000000000003E-2</v>
      </c>
      <c r="L64" s="5">
        <v>5.2400000000000002E-2</v>
      </c>
      <c r="M64" s="5">
        <v>3.4200000000000001E-2</v>
      </c>
      <c r="N64" s="5">
        <f t="shared" si="21"/>
        <v>0.48139999999999999</v>
      </c>
    </row>
    <row r="65" spans="1:13" x14ac:dyDescent="0.25">
      <c r="A65" s="5" t="s">
        <v>89</v>
      </c>
      <c r="B65" s="5">
        <f>SUM(B53:B64)</f>
        <v>0.74409999999999998</v>
      </c>
      <c r="C65" s="5">
        <f t="shared" ref="C65:M65" si="22">SUM(C53:C64)</f>
        <v>0.64419999999999999</v>
      </c>
      <c r="D65" s="5">
        <f t="shared" si="22"/>
        <v>0.84019999999999984</v>
      </c>
      <c r="E65" s="5">
        <f t="shared" si="22"/>
        <v>0.72809999999999997</v>
      </c>
      <c r="F65" s="5">
        <f t="shared" si="22"/>
        <v>0.61979999999999991</v>
      </c>
      <c r="G65" s="5">
        <f t="shared" si="22"/>
        <v>0.85560000000000003</v>
      </c>
      <c r="H65" s="5">
        <f t="shared" si="22"/>
        <v>1.0205000000000002</v>
      </c>
      <c r="I65" s="5">
        <f t="shared" si="22"/>
        <v>0.55999999999999994</v>
      </c>
      <c r="J65" s="5">
        <f t="shared" si="22"/>
        <v>1.5222000000000002</v>
      </c>
      <c r="K65" s="5">
        <f t="shared" si="22"/>
        <v>1.5786</v>
      </c>
      <c r="L65" s="5">
        <f t="shared" si="22"/>
        <v>1.3835999999999999</v>
      </c>
      <c r="M65" s="5">
        <f t="shared" si="22"/>
        <v>1.6296999999999999</v>
      </c>
    </row>
    <row r="67" spans="1:13" x14ac:dyDescent="0.25">
      <c r="A67" s="5" t="s">
        <v>87</v>
      </c>
    </row>
    <row r="69" spans="1:13" x14ac:dyDescent="0.25">
      <c r="A69" s="5" t="s">
        <v>88</v>
      </c>
      <c r="B69" s="5" t="s">
        <v>90</v>
      </c>
      <c r="C69" s="5" t="s">
        <v>89</v>
      </c>
      <c r="D69" s="5" t="s">
        <v>91</v>
      </c>
      <c r="E69" s="5" t="s">
        <v>93</v>
      </c>
      <c r="F69" s="5" t="s">
        <v>94</v>
      </c>
      <c r="G69" s="5" t="s">
        <v>95</v>
      </c>
      <c r="H69" s="5" t="s">
        <v>96</v>
      </c>
    </row>
    <row r="70" spans="1:13" x14ac:dyDescent="0.25">
      <c r="A70" s="5" t="s">
        <v>0</v>
      </c>
      <c r="B70" s="5">
        <f>N53</f>
        <v>1.34</v>
      </c>
      <c r="C70" s="5">
        <f t="array" ref="C70:C81">TRANSPOSE(B65:M65)</f>
        <v>0.74409999999999998</v>
      </c>
      <c r="D70" s="5">
        <f>B70+C70</f>
        <v>2.0841000000000003</v>
      </c>
      <c r="E70" s="5">
        <f>ROUND(D70/$D$82,4)</f>
        <v>8.5900000000000004E-2</v>
      </c>
      <c r="F70" s="5">
        <f>RANK(E70,$E$70:$E$81)</f>
        <v>6</v>
      </c>
      <c r="G70" s="5">
        <f>B70-C70</f>
        <v>0.5959000000000001</v>
      </c>
      <c r="H70" s="5" t="str">
        <f t="shared" ref="H70:H81" si="23">IF(G70&gt;0, "Cause", "Effect")</f>
        <v>Cause</v>
      </c>
      <c r="I70" s="5">
        <f>RANK(D70,$D$70:$D$81)</f>
        <v>6</v>
      </c>
    </row>
    <row r="71" spans="1:13" x14ac:dyDescent="0.25">
      <c r="A71" s="5" t="s">
        <v>1</v>
      </c>
      <c r="B71" s="5">
        <f t="shared" ref="B71:B81" si="24">N54</f>
        <v>1.9016000000000002</v>
      </c>
      <c r="C71" s="5">
        <v>0.64419999999999999</v>
      </c>
      <c r="D71" s="5">
        <f t="shared" ref="D71:D81" si="25">B71+C71</f>
        <v>2.5458000000000003</v>
      </c>
      <c r="E71" s="5">
        <f t="shared" ref="E71:E81" si="26">ROUND(D71/$D$82,4)</f>
        <v>0.105</v>
      </c>
      <c r="F71" s="5">
        <f t="shared" ref="F71:F81" si="27">RANK(E71,$E$70:$E$81)</f>
        <v>2</v>
      </c>
      <c r="G71" s="5">
        <f t="shared" ref="G71:G81" si="28">B71-C71</f>
        <v>1.2574000000000001</v>
      </c>
      <c r="H71" s="5" t="str">
        <f t="shared" si="23"/>
        <v>Cause</v>
      </c>
      <c r="I71" s="5">
        <f t="shared" ref="I71:I81" si="29">RANK(D71,$D$70:$D$81)</f>
        <v>2</v>
      </c>
    </row>
    <row r="72" spans="1:13" x14ac:dyDescent="0.25">
      <c r="A72" s="5" t="s">
        <v>2</v>
      </c>
      <c r="B72" s="5">
        <f t="shared" si="24"/>
        <v>1.4358</v>
      </c>
      <c r="C72" s="5">
        <v>0.84019999999999984</v>
      </c>
      <c r="D72" s="5">
        <f t="shared" si="25"/>
        <v>2.2759999999999998</v>
      </c>
      <c r="E72" s="5">
        <f t="shared" si="26"/>
        <v>9.3799999999999994E-2</v>
      </c>
      <c r="F72" s="5">
        <f t="shared" si="27"/>
        <v>3</v>
      </c>
      <c r="G72" s="5">
        <f t="shared" si="28"/>
        <v>0.59560000000000013</v>
      </c>
      <c r="H72" s="5" t="str">
        <f t="shared" si="23"/>
        <v>Cause</v>
      </c>
      <c r="I72" s="5">
        <f t="shared" si="29"/>
        <v>3</v>
      </c>
    </row>
    <row r="73" spans="1:13" x14ac:dyDescent="0.25">
      <c r="A73" s="5" t="s">
        <v>3</v>
      </c>
      <c r="B73" s="5">
        <f t="shared" si="24"/>
        <v>1.5171000000000001</v>
      </c>
      <c r="C73" s="5">
        <v>0.72809999999999997</v>
      </c>
      <c r="D73" s="5">
        <f t="shared" si="25"/>
        <v>2.2452000000000001</v>
      </c>
      <c r="E73" s="5">
        <f t="shared" si="26"/>
        <v>9.2600000000000002E-2</v>
      </c>
      <c r="F73" s="5">
        <f t="shared" si="27"/>
        <v>4</v>
      </c>
      <c r="G73" s="5">
        <f t="shared" si="28"/>
        <v>0.78900000000000015</v>
      </c>
      <c r="H73" s="5" t="str">
        <f t="shared" si="23"/>
        <v>Cause</v>
      </c>
      <c r="I73" s="5">
        <f t="shared" si="29"/>
        <v>4</v>
      </c>
    </row>
    <row r="74" spans="1:13" x14ac:dyDescent="0.25">
      <c r="A74" s="5" t="s">
        <v>4</v>
      </c>
      <c r="B74" s="5">
        <f t="shared" si="24"/>
        <v>0.96649999999999991</v>
      </c>
      <c r="C74" s="5">
        <v>0.61979999999999991</v>
      </c>
      <c r="D74" s="5">
        <f t="shared" si="25"/>
        <v>1.5862999999999998</v>
      </c>
      <c r="E74" s="5">
        <f t="shared" si="26"/>
        <v>6.54E-2</v>
      </c>
      <c r="F74" s="5">
        <f t="shared" si="27"/>
        <v>10</v>
      </c>
      <c r="G74" s="5">
        <f t="shared" si="28"/>
        <v>0.34670000000000001</v>
      </c>
      <c r="H74" s="5" t="str">
        <f t="shared" si="23"/>
        <v>Cause</v>
      </c>
      <c r="I74" s="5">
        <f t="shared" si="29"/>
        <v>10</v>
      </c>
    </row>
    <row r="75" spans="1:13" x14ac:dyDescent="0.25">
      <c r="A75" s="5" t="s">
        <v>5</v>
      </c>
      <c r="B75" s="5">
        <f t="shared" si="24"/>
        <v>0.62570000000000003</v>
      </c>
      <c r="C75" s="5">
        <v>0.85560000000000003</v>
      </c>
      <c r="D75" s="5">
        <f t="shared" si="25"/>
        <v>1.4813000000000001</v>
      </c>
      <c r="E75" s="5">
        <f t="shared" si="26"/>
        <v>6.1100000000000002E-2</v>
      </c>
      <c r="F75" s="5">
        <f t="shared" si="27"/>
        <v>12</v>
      </c>
      <c r="G75" s="5">
        <f t="shared" si="28"/>
        <v>-0.22989999999999999</v>
      </c>
      <c r="H75" s="5" t="str">
        <f t="shared" si="23"/>
        <v>Effect</v>
      </c>
      <c r="I75" s="5">
        <f t="shared" si="29"/>
        <v>12</v>
      </c>
    </row>
    <row r="76" spans="1:13" x14ac:dyDescent="0.25">
      <c r="A76" s="5" t="s">
        <v>6</v>
      </c>
      <c r="B76" s="5">
        <f t="shared" si="24"/>
        <v>0.64600000000000002</v>
      </c>
      <c r="C76" s="5">
        <v>1.0205000000000002</v>
      </c>
      <c r="D76" s="5">
        <f t="shared" si="25"/>
        <v>1.6665000000000001</v>
      </c>
      <c r="E76" s="5">
        <f t="shared" si="26"/>
        <v>6.8699999999999997E-2</v>
      </c>
      <c r="F76" s="5">
        <f t="shared" si="27"/>
        <v>9</v>
      </c>
      <c r="G76" s="5">
        <f t="shared" si="28"/>
        <v>-0.37450000000000017</v>
      </c>
      <c r="H76" s="5" t="str">
        <f t="shared" si="23"/>
        <v>Effect</v>
      </c>
      <c r="I76" s="5">
        <f t="shared" si="29"/>
        <v>9</v>
      </c>
    </row>
    <row r="77" spans="1:13" x14ac:dyDescent="0.25">
      <c r="A77" s="5" t="s">
        <v>7</v>
      </c>
      <c r="B77" s="5">
        <f>N60</f>
        <v>1.01</v>
      </c>
      <c r="C77" s="5">
        <v>0.55999999999999994</v>
      </c>
      <c r="D77" s="5">
        <f t="shared" si="25"/>
        <v>1.5699999999999998</v>
      </c>
      <c r="E77" s="5">
        <f t="shared" si="26"/>
        <v>6.4699999999999994E-2</v>
      </c>
      <c r="F77" s="5">
        <f t="shared" si="27"/>
        <v>11</v>
      </c>
      <c r="G77" s="5">
        <f t="shared" si="28"/>
        <v>0.45000000000000007</v>
      </c>
      <c r="H77" s="5" t="str">
        <f t="shared" si="23"/>
        <v>Cause</v>
      </c>
      <c r="I77" s="5">
        <f t="shared" si="29"/>
        <v>11</v>
      </c>
    </row>
    <row r="78" spans="1:13" x14ac:dyDescent="0.25">
      <c r="A78" s="5" t="s">
        <v>8</v>
      </c>
      <c r="B78" s="5">
        <f t="shared" si="24"/>
        <v>1.1685000000000001</v>
      </c>
      <c r="C78" s="5">
        <v>1.5222000000000002</v>
      </c>
      <c r="D78" s="5">
        <f t="shared" si="25"/>
        <v>2.6907000000000005</v>
      </c>
      <c r="E78" s="5">
        <f t="shared" si="26"/>
        <v>0.1109</v>
      </c>
      <c r="F78" s="5">
        <f t="shared" si="27"/>
        <v>1</v>
      </c>
      <c r="G78" s="5">
        <f t="shared" si="28"/>
        <v>-0.35370000000000013</v>
      </c>
      <c r="H78" s="5" t="str">
        <f t="shared" si="23"/>
        <v>Effect</v>
      </c>
      <c r="I78" s="5">
        <f t="shared" si="29"/>
        <v>1</v>
      </c>
    </row>
    <row r="79" spans="1:13" x14ac:dyDescent="0.25">
      <c r="A79" s="5" t="s">
        <v>9</v>
      </c>
      <c r="B79" s="5">
        <f t="shared" si="24"/>
        <v>0.44639999999999996</v>
      </c>
      <c r="C79" s="5">
        <v>1.5786</v>
      </c>
      <c r="D79" s="5">
        <f t="shared" si="25"/>
        <v>2.0249999999999999</v>
      </c>
      <c r="E79" s="5">
        <f t="shared" si="26"/>
        <v>8.3500000000000005E-2</v>
      </c>
      <c r="F79" s="5">
        <f t="shared" si="27"/>
        <v>7</v>
      </c>
      <c r="G79" s="5">
        <f t="shared" si="28"/>
        <v>-1.1322000000000001</v>
      </c>
      <c r="H79" s="5" t="str">
        <f t="shared" si="23"/>
        <v>Effect</v>
      </c>
      <c r="I79" s="5">
        <f t="shared" si="29"/>
        <v>7</v>
      </c>
    </row>
    <row r="80" spans="1:13" x14ac:dyDescent="0.25">
      <c r="A80" s="5" t="s">
        <v>10</v>
      </c>
      <c r="B80" s="5">
        <f t="shared" si="24"/>
        <v>0.5875999999999999</v>
      </c>
      <c r="C80" s="5">
        <v>1.3835999999999999</v>
      </c>
      <c r="D80" s="5">
        <f>B80+C80</f>
        <v>1.9711999999999998</v>
      </c>
      <c r="E80" s="5">
        <f>ROUND(D80/$D$82,4)</f>
        <v>8.1299999999999997E-2</v>
      </c>
      <c r="F80" s="5">
        <f t="shared" si="27"/>
        <v>8</v>
      </c>
      <c r="G80" s="5">
        <f>B80-C80</f>
        <v>-0.79600000000000004</v>
      </c>
      <c r="H80" s="5" t="str">
        <f t="shared" si="23"/>
        <v>Effect</v>
      </c>
      <c r="I80" s="5">
        <f t="shared" si="29"/>
        <v>8</v>
      </c>
    </row>
    <row r="81" spans="1:9" x14ac:dyDescent="0.25">
      <c r="A81" s="5" t="s">
        <v>11</v>
      </c>
      <c r="B81" s="5">
        <f t="shared" si="24"/>
        <v>0.48139999999999999</v>
      </c>
      <c r="C81" s="5">
        <v>1.6296999999999999</v>
      </c>
      <c r="D81" s="5">
        <f t="shared" si="25"/>
        <v>2.1111</v>
      </c>
      <c r="E81" s="5">
        <f t="shared" si="26"/>
        <v>8.6999999999999994E-2</v>
      </c>
      <c r="F81" s="5">
        <f t="shared" si="27"/>
        <v>5</v>
      </c>
      <c r="G81" s="5">
        <f t="shared" si="28"/>
        <v>-1.1482999999999999</v>
      </c>
      <c r="H81" s="5" t="str">
        <f t="shared" si="23"/>
        <v>Effect</v>
      </c>
      <c r="I81" s="5">
        <f t="shared" si="29"/>
        <v>5</v>
      </c>
    </row>
    <row r="82" spans="1:9" x14ac:dyDescent="0.25">
      <c r="C82" s="5" t="s">
        <v>92</v>
      </c>
      <c r="D82" s="5">
        <f>SUM(D70:D81)</f>
        <v>24.2532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BC6EC-AE67-4CCB-A3A9-73FA62199A42}">
  <sheetPr codeName="Sheet2"/>
  <dimension ref="A1:D27"/>
  <sheetViews>
    <sheetView topLeftCell="A7" workbookViewId="0">
      <selection activeCell="C16" sqref="C16"/>
    </sheetView>
  </sheetViews>
  <sheetFormatPr defaultRowHeight="14.4" x14ac:dyDescent="0.3"/>
  <cols>
    <col min="4" max="4" width="23.44140625" bestFit="1" customWidth="1"/>
  </cols>
  <sheetData>
    <row r="1" spans="1:4" ht="15.6" x14ac:dyDescent="0.3">
      <c r="A1" s="2" t="s">
        <v>28</v>
      </c>
      <c r="B1" s="2" t="s">
        <v>29</v>
      </c>
      <c r="C1" s="2" t="s">
        <v>30</v>
      </c>
      <c r="D1" s="2" t="s">
        <v>31</v>
      </c>
    </row>
    <row r="2" spans="1:4" ht="15.6" x14ac:dyDescent="0.3">
      <c r="A2" s="3" t="s">
        <v>32</v>
      </c>
      <c r="B2" s="3" t="s">
        <v>33</v>
      </c>
      <c r="C2" s="3" t="s">
        <v>18</v>
      </c>
      <c r="D2" s="3" t="s">
        <v>34</v>
      </c>
    </row>
    <row r="3" spans="1:4" ht="15.6" x14ac:dyDescent="0.3">
      <c r="A3" s="3" t="s">
        <v>32</v>
      </c>
      <c r="B3" s="3" t="s">
        <v>35</v>
      </c>
      <c r="C3" s="3" t="s">
        <v>25</v>
      </c>
      <c r="D3" s="3" t="s">
        <v>36</v>
      </c>
    </row>
    <row r="4" spans="1:4" ht="15.6" x14ac:dyDescent="0.3">
      <c r="A4" s="3" t="s">
        <v>37</v>
      </c>
      <c r="B4" s="3" t="s">
        <v>33</v>
      </c>
      <c r="C4" s="3" t="s">
        <v>13</v>
      </c>
      <c r="D4" s="3" t="s">
        <v>38</v>
      </c>
    </row>
    <row r="5" spans="1:4" ht="15.6" x14ac:dyDescent="0.3">
      <c r="A5" s="3" t="s">
        <v>32</v>
      </c>
      <c r="B5" s="3" t="s">
        <v>39</v>
      </c>
      <c r="C5" s="3" t="s">
        <v>40</v>
      </c>
      <c r="D5" s="3" t="s">
        <v>41</v>
      </c>
    </row>
    <row r="6" spans="1:4" ht="15.6" x14ac:dyDescent="0.3">
      <c r="A6" s="3" t="s">
        <v>37</v>
      </c>
      <c r="B6" s="3" t="s">
        <v>35</v>
      </c>
      <c r="C6" s="3" t="s">
        <v>12</v>
      </c>
      <c r="D6" s="3" t="s">
        <v>42</v>
      </c>
    </row>
    <row r="7" spans="1:4" ht="15.6" x14ac:dyDescent="0.3">
      <c r="A7" s="3" t="s">
        <v>37</v>
      </c>
      <c r="B7" s="3" t="s">
        <v>39</v>
      </c>
      <c r="C7" s="3" t="s">
        <v>19</v>
      </c>
      <c r="D7" s="3" t="s">
        <v>43</v>
      </c>
    </row>
    <row r="8" spans="1:4" ht="15.6" x14ac:dyDescent="0.3">
      <c r="A8" s="3" t="s">
        <v>32</v>
      </c>
      <c r="B8" s="3" t="s">
        <v>44</v>
      </c>
      <c r="C8" s="3" t="s">
        <v>45</v>
      </c>
      <c r="D8" s="3" t="s">
        <v>46</v>
      </c>
    </row>
    <row r="9" spans="1:4" ht="15.6" x14ac:dyDescent="0.3">
      <c r="A9" s="3" t="s">
        <v>47</v>
      </c>
      <c r="B9" s="3" t="s">
        <v>33</v>
      </c>
      <c r="C9" s="3" t="s">
        <v>27</v>
      </c>
      <c r="D9" s="3" t="s">
        <v>48</v>
      </c>
    </row>
    <row r="10" spans="1:4" ht="15.6" x14ac:dyDescent="0.3">
      <c r="A10" s="3" t="s">
        <v>47</v>
      </c>
      <c r="B10" s="3" t="s">
        <v>35</v>
      </c>
      <c r="C10" s="3" t="s">
        <v>21</v>
      </c>
      <c r="D10" s="3" t="s">
        <v>49</v>
      </c>
    </row>
    <row r="11" spans="1:4" ht="15.6" x14ac:dyDescent="0.3">
      <c r="A11" s="3" t="s">
        <v>37</v>
      </c>
      <c r="B11" s="3" t="s">
        <v>44</v>
      </c>
      <c r="C11" s="3" t="s">
        <v>50</v>
      </c>
      <c r="D11" s="3" t="s">
        <v>51</v>
      </c>
    </row>
    <row r="12" spans="1:4" ht="15.6" x14ac:dyDescent="0.3">
      <c r="A12" s="3" t="s">
        <v>47</v>
      </c>
      <c r="B12" s="3" t="s">
        <v>39</v>
      </c>
      <c r="C12" s="3" t="s">
        <v>22</v>
      </c>
      <c r="D12" s="3" t="s">
        <v>52</v>
      </c>
    </row>
    <row r="13" spans="1:4" ht="15.6" x14ac:dyDescent="0.3">
      <c r="A13" s="3" t="s">
        <v>32</v>
      </c>
      <c r="B13" s="3" t="s">
        <v>53</v>
      </c>
      <c r="C13" s="3" t="s">
        <v>54</v>
      </c>
      <c r="D13" s="3" t="s">
        <v>55</v>
      </c>
    </row>
    <row r="14" spans="1:4" ht="15.6" x14ac:dyDescent="0.3">
      <c r="A14" s="3" t="s">
        <v>47</v>
      </c>
      <c r="B14" s="3" t="s">
        <v>44</v>
      </c>
      <c r="C14" s="3" t="s">
        <v>26</v>
      </c>
      <c r="D14" s="3" t="s">
        <v>56</v>
      </c>
    </row>
    <row r="15" spans="1:4" ht="15.6" x14ac:dyDescent="0.3">
      <c r="A15" s="3" t="s">
        <v>37</v>
      </c>
      <c r="B15" s="3" t="s">
        <v>53</v>
      </c>
      <c r="C15" s="3" t="s">
        <v>57</v>
      </c>
      <c r="D15" s="3" t="s">
        <v>58</v>
      </c>
    </row>
    <row r="16" spans="1:4" ht="15.6" x14ac:dyDescent="0.3">
      <c r="A16" s="3" t="s">
        <v>59</v>
      </c>
      <c r="B16" s="3" t="s">
        <v>33</v>
      </c>
      <c r="C16" s="3" t="s">
        <v>60</v>
      </c>
      <c r="D16" s="3" t="s">
        <v>61</v>
      </c>
    </row>
    <row r="17" spans="1:4" ht="15.6" x14ac:dyDescent="0.3">
      <c r="A17" s="3" t="s">
        <v>59</v>
      </c>
      <c r="B17" s="3" t="s">
        <v>35</v>
      </c>
      <c r="C17" s="3" t="s">
        <v>62</v>
      </c>
      <c r="D17" s="3" t="s">
        <v>63</v>
      </c>
    </row>
    <row r="18" spans="1:4" ht="15.6" x14ac:dyDescent="0.3">
      <c r="A18" s="3" t="s">
        <v>59</v>
      </c>
      <c r="B18" s="3" t="s">
        <v>39</v>
      </c>
      <c r="C18" s="3" t="s">
        <v>15</v>
      </c>
      <c r="D18" s="3" t="s">
        <v>64</v>
      </c>
    </row>
    <row r="19" spans="1:4" ht="15.6" x14ac:dyDescent="0.3">
      <c r="A19" s="3" t="s">
        <v>47</v>
      </c>
      <c r="B19" s="3" t="s">
        <v>53</v>
      </c>
      <c r="C19" s="3" t="s">
        <v>14</v>
      </c>
      <c r="D19" s="3" t="s">
        <v>65</v>
      </c>
    </row>
    <row r="20" spans="1:4" ht="15.6" x14ac:dyDescent="0.3">
      <c r="A20" s="3" t="s">
        <v>59</v>
      </c>
      <c r="B20" s="3" t="s">
        <v>44</v>
      </c>
      <c r="C20" s="3" t="s">
        <v>20</v>
      </c>
      <c r="D20" s="3" t="s">
        <v>66</v>
      </c>
    </row>
    <row r="21" spans="1:4" ht="15.6" x14ac:dyDescent="0.3">
      <c r="A21" s="3" t="s">
        <v>67</v>
      </c>
      <c r="B21" s="3" t="s">
        <v>33</v>
      </c>
      <c r="C21" s="3" t="s">
        <v>68</v>
      </c>
      <c r="D21" s="3" t="s">
        <v>69</v>
      </c>
    </row>
    <row r="22" spans="1:4" ht="15.6" x14ac:dyDescent="0.3">
      <c r="A22" s="3" t="s">
        <v>59</v>
      </c>
      <c r="B22" s="3" t="s">
        <v>53</v>
      </c>
      <c r="C22" s="3" t="s">
        <v>17</v>
      </c>
      <c r="D22" s="3" t="s">
        <v>70</v>
      </c>
    </row>
    <row r="23" spans="1:4" ht="15.6" x14ac:dyDescent="0.3">
      <c r="A23" s="3" t="s">
        <v>67</v>
      </c>
      <c r="B23" s="3" t="s">
        <v>35</v>
      </c>
      <c r="C23" s="3" t="s">
        <v>71</v>
      </c>
      <c r="D23" s="3" t="s">
        <v>72</v>
      </c>
    </row>
    <row r="24" spans="1:4" ht="15.6" x14ac:dyDescent="0.3">
      <c r="A24" s="3" t="s">
        <v>67</v>
      </c>
      <c r="B24" s="3" t="s">
        <v>39</v>
      </c>
      <c r="C24" s="3" t="s">
        <v>16</v>
      </c>
      <c r="D24" s="3" t="s">
        <v>73</v>
      </c>
    </row>
    <row r="25" spans="1:4" ht="15.6" x14ac:dyDescent="0.3">
      <c r="A25" s="3" t="s">
        <v>67</v>
      </c>
      <c r="B25" s="3" t="s">
        <v>44</v>
      </c>
      <c r="C25" s="3" t="s">
        <v>24</v>
      </c>
      <c r="D25" s="3" t="s">
        <v>74</v>
      </c>
    </row>
    <row r="26" spans="1:4" ht="15.6" x14ac:dyDescent="0.3">
      <c r="A26" s="3" t="s">
        <v>67</v>
      </c>
      <c r="B26" s="3" t="s">
        <v>53</v>
      </c>
      <c r="C26" s="3" t="s">
        <v>23</v>
      </c>
      <c r="D26" s="3" t="s">
        <v>75</v>
      </c>
    </row>
    <row r="27" spans="1:4" ht="15.6" x14ac:dyDescent="0.3">
      <c r="A27" s="4"/>
      <c r="B27" s="4"/>
      <c r="C27">
        <v>0</v>
      </c>
      <c r="D27" s="3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M69"/>
  <sheetViews>
    <sheetView workbookViewId="0">
      <selection activeCell="B2" sqref="B2"/>
    </sheetView>
  </sheetViews>
  <sheetFormatPr defaultRowHeight="14.4" x14ac:dyDescent="0.3"/>
  <cols>
    <col min="12" max="12" width="8.88671875" customWidth="1"/>
  </cols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12</v>
      </c>
      <c r="D2" t="s">
        <v>13</v>
      </c>
      <c r="E2" t="s">
        <v>21</v>
      </c>
      <c r="F2" t="s">
        <v>15</v>
      </c>
      <c r="G2" t="s">
        <v>24</v>
      </c>
      <c r="H2" t="s">
        <v>16</v>
      </c>
      <c r="I2" t="s">
        <v>16</v>
      </c>
      <c r="J2" t="s">
        <v>12</v>
      </c>
      <c r="K2" t="s">
        <v>24</v>
      </c>
      <c r="L2" t="s">
        <v>16</v>
      </c>
      <c r="M2" t="s">
        <v>20</v>
      </c>
    </row>
    <row r="3" spans="1:13" x14ac:dyDescent="0.3">
      <c r="A3" s="1" t="s">
        <v>1</v>
      </c>
      <c r="B3" t="s">
        <v>15</v>
      </c>
      <c r="C3">
        <v>0</v>
      </c>
      <c r="D3" t="s">
        <v>18</v>
      </c>
      <c r="E3" t="s">
        <v>18</v>
      </c>
      <c r="F3" t="s">
        <v>16</v>
      </c>
      <c r="G3" t="s">
        <v>15</v>
      </c>
      <c r="H3" t="s">
        <v>13</v>
      </c>
      <c r="I3" t="s">
        <v>16</v>
      </c>
      <c r="J3" t="s">
        <v>12</v>
      </c>
      <c r="K3" t="s">
        <v>25</v>
      </c>
      <c r="L3" t="s">
        <v>18</v>
      </c>
      <c r="M3" t="s">
        <v>13</v>
      </c>
    </row>
    <row r="4" spans="1:13" x14ac:dyDescent="0.3">
      <c r="A4" s="1" t="s">
        <v>2</v>
      </c>
      <c r="B4" t="s">
        <v>15</v>
      </c>
      <c r="C4" t="s">
        <v>15</v>
      </c>
      <c r="D4">
        <v>0</v>
      </c>
      <c r="E4" t="s">
        <v>19</v>
      </c>
      <c r="F4" t="s">
        <v>15</v>
      </c>
      <c r="G4" t="s">
        <v>21</v>
      </c>
      <c r="H4" t="s">
        <v>20</v>
      </c>
      <c r="I4" t="s">
        <v>20</v>
      </c>
      <c r="J4" t="s">
        <v>18</v>
      </c>
      <c r="K4" t="s">
        <v>18</v>
      </c>
      <c r="L4" t="s">
        <v>13</v>
      </c>
      <c r="M4" t="s">
        <v>18</v>
      </c>
    </row>
    <row r="5" spans="1:13" x14ac:dyDescent="0.3">
      <c r="A5" s="1" t="s">
        <v>3</v>
      </c>
      <c r="B5" t="s">
        <v>22</v>
      </c>
      <c r="C5" t="s">
        <v>71</v>
      </c>
      <c r="D5" t="s">
        <v>20</v>
      </c>
      <c r="E5">
        <v>0</v>
      </c>
      <c r="F5" t="s">
        <v>12</v>
      </c>
      <c r="G5" t="s">
        <v>15</v>
      </c>
      <c r="H5" t="s">
        <v>13</v>
      </c>
      <c r="I5" t="s">
        <v>16</v>
      </c>
      <c r="J5" t="s">
        <v>18</v>
      </c>
      <c r="K5" t="s">
        <v>15</v>
      </c>
      <c r="L5" t="s">
        <v>13</v>
      </c>
      <c r="M5" t="s">
        <v>18</v>
      </c>
    </row>
    <row r="6" spans="1:13" x14ac:dyDescent="0.3">
      <c r="A6" s="1" t="s">
        <v>4</v>
      </c>
      <c r="B6" t="s">
        <v>16</v>
      </c>
      <c r="C6" t="s">
        <v>17</v>
      </c>
      <c r="D6" t="s">
        <v>24</v>
      </c>
      <c r="E6" t="s">
        <v>15</v>
      </c>
      <c r="F6">
        <v>0</v>
      </c>
      <c r="G6" t="s">
        <v>21</v>
      </c>
      <c r="H6" t="s">
        <v>16</v>
      </c>
      <c r="I6" t="s">
        <v>24</v>
      </c>
      <c r="J6" t="s">
        <v>12</v>
      </c>
      <c r="K6" t="s">
        <v>25</v>
      </c>
      <c r="L6" t="s">
        <v>71</v>
      </c>
      <c r="M6" t="s">
        <v>15</v>
      </c>
    </row>
    <row r="7" spans="1:13" x14ac:dyDescent="0.3">
      <c r="A7" s="1" t="s">
        <v>5</v>
      </c>
      <c r="B7" t="s">
        <v>15</v>
      </c>
      <c r="C7" t="s">
        <v>24</v>
      </c>
      <c r="D7" t="s">
        <v>20</v>
      </c>
      <c r="E7" t="s">
        <v>16</v>
      </c>
      <c r="F7" t="s">
        <v>16</v>
      </c>
      <c r="G7">
        <v>0</v>
      </c>
      <c r="H7" t="s">
        <v>15</v>
      </c>
      <c r="I7" t="s">
        <v>16</v>
      </c>
      <c r="J7" t="s">
        <v>18</v>
      </c>
      <c r="K7" t="s">
        <v>23</v>
      </c>
      <c r="L7" s="6" t="s">
        <v>23</v>
      </c>
      <c r="M7" t="s">
        <v>17</v>
      </c>
    </row>
    <row r="8" spans="1:13" x14ac:dyDescent="0.3">
      <c r="A8" s="1" t="s">
        <v>6</v>
      </c>
      <c r="B8" t="s">
        <v>16</v>
      </c>
      <c r="C8" t="s">
        <v>24</v>
      </c>
      <c r="D8" t="s">
        <v>20</v>
      </c>
      <c r="E8" t="s">
        <v>23</v>
      </c>
      <c r="F8" t="s">
        <v>22</v>
      </c>
      <c r="G8" t="s">
        <v>22</v>
      </c>
      <c r="H8">
        <v>0</v>
      </c>
      <c r="I8" t="s">
        <v>15</v>
      </c>
      <c r="J8" t="s">
        <v>22</v>
      </c>
      <c r="K8" t="s">
        <v>24</v>
      </c>
      <c r="L8" s="6" t="s">
        <v>24</v>
      </c>
      <c r="M8" t="s">
        <v>22</v>
      </c>
    </row>
    <row r="9" spans="1:13" x14ac:dyDescent="0.3">
      <c r="A9" s="1" t="s">
        <v>7</v>
      </c>
      <c r="B9" t="s">
        <v>62</v>
      </c>
      <c r="C9" t="s">
        <v>16</v>
      </c>
      <c r="D9" t="s">
        <v>15</v>
      </c>
      <c r="E9" t="s">
        <v>16</v>
      </c>
      <c r="F9" t="s">
        <v>20</v>
      </c>
      <c r="G9" t="s">
        <v>20</v>
      </c>
      <c r="H9" t="s">
        <v>15</v>
      </c>
      <c r="I9">
        <v>0</v>
      </c>
      <c r="J9" t="s">
        <v>18</v>
      </c>
      <c r="K9" t="s">
        <v>18</v>
      </c>
      <c r="L9" s="6" t="s">
        <v>12</v>
      </c>
      <c r="M9" t="s">
        <v>13</v>
      </c>
    </row>
    <row r="10" spans="1:13" x14ac:dyDescent="0.3">
      <c r="A10" s="1" t="s">
        <v>8</v>
      </c>
      <c r="B10" t="s">
        <v>12</v>
      </c>
      <c r="C10" t="s">
        <v>20</v>
      </c>
      <c r="D10" t="s">
        <v>20</v>
      </c>
      <c r="E10" t="s">
        <v>15</v>
      </c>
      <c r="F10" t="s">
        <v>24</v>
      </c>
      <c r="G10" t="s">
        <v>16</v>
      </c>
      <c r="H10" t="s">
        <v>12</v>
      </c>
      <c r="I10" t="s">
        <v>16</v>
      </c>
      <c r="J10">
        <v>0</v>
      </c>
      <c r="K10" t="s">
        <v>25</v>
      </c>
      <c r="L10" s="6" t="s">
        <v>12</v>
      </c>
      <c r="M10" t="s">
        <v>18</v>
      </c>
    </row>
    <row r="11" spans="1:13" x14ac:dyDescent="0.3">
      <c r="A11" s="1" t="s">
        <v>9</v>
      </c>
      <c r="B11" t="s">
        <v>15</v>
      </c>
      <c r="C11" t="s">
        <v>62</v>
      </c>
      <c r="D11" t="s">
        <v>20</v>
      </c>
      <c r="E11" t="s">
        <v>15</v>
      </c>
      <c r="F11" t="s">
        <v>22</v>
      </c>
      <c r="G11" t="s">
        <v>20</v>
      </c>
      <c r="H11" t="s">
        <v>24</v>
      </c>
      <c r="I11" t="s">
        <v>20</v>
      </c>
      <c r="J11" t="s">
        <v>16</v>
      </c>
      <c r="K11">
        <v>0</v>
      </c>
      <c r="L11" s="6" t="s">
        <v>16</v>
      </c>
      <c r="M11" t="s">
        <v>20</v>
      </c>
    </row>
    <row r="12" spans="1:13" x14ac:dyDescent="0.3">
      <c r="A12" s="1" t="s">
        <v>10</v>
      </c>
      <c r="B12" t="s">
        <v>16</v>
      </c>
      <c r="C12" t="s">
        <v>15</v>
      </c>
      <c r="D12" t="s">
        <v>23</v>
      </c>
      <c r="E12" t="s">
        <v>16</v>
      </c>
      <c r="F12" t="s">
        <v>16</v>
      </c>
      <c r="G12" t="s">
        <v>71</v>
      </c>
      <c r="H12" t="s">
        <v>20</v>
      </c>
      <c r="I12" t="s">
        <v>16</v>
      </c>
      <c r="J12" t="s">
        <v>20</v>
      </c>
      <c r="K12" t="s">
        <v>16</v>
      </c>
      <c r="L12">
        <v>0</v>
      </c>
      <c r="M12" t="s">
        <v>13</v>
      </c>
    </row>
    <row r="13" spans="1:13" x14ac:dyDescent="0.3">
      <c r="A13" s="1" t="s">
        <v>11</v>
      </c>
      <c r="B13" t="s">
        <v>24</v>
      </c>
      <c r="C13" t="s">
        <v>62</v>
      </c>
      <c r="D13" t="s">
        <v>16</v>
      </c>
      <c r="E13" t="s">
        <v>22</v>
      </c>
      <c r="F13" t="s">
        <v>24</v>
      </c>
      <c r="G13" t="s">
        <v>16</v>
      </c>
      <c r="H13" t="s">
        <v>23</v>
      </c>
      <c r="I13" t="s">
        <v>20</v>
      </c>
      <c r="J13" t="s">
        <v>16</v>
      </c>
      <c r="K13" t="s">
        <v>21</v>
      </c>
      <c r="L13" t="s">
        <v>20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(0,1673; 0,251; 0,3347)</v>
      </c>
      <c r="D16" t="str">
        <f>VLOOKUP(D2,'Thang đánh giá'!$C$2:$D$27,2,FALSE)</f>
        <v>(0,1897; 0,2846; 0,3795)</v>
      </c>
      <c r="E16" t="str">
        <f>VLOOKUP(E2,'Thang đánh giá'!$C$2:$D$27,2,FALSE)</f>
        <v>(0,0837; 0,1673; 0,251)</v>
      </c>
      <c r="F16" t="str">
        <f>VLOOKUP(F2,'Thang đánh giá'!$C$2:$D$27,2,FALSE)</f>
        <v>(0; 0,0707; 0,1414)</v>
      </c>
      <c r="G16" t="str">
        <f>VLOOKUP(G2,'Thang đánh giá'!$C$2:$D$27,2,FALSE)</f>
        <v>(0; 0; 0,0548)</v>
      </c>
      <c r="H16" t="str">
        <f>VLOOKUP(H2,'Thang đánh giá'!$C$2:$D$27,2,FALSE)</f>
        <v>(0; 0; 0,0707)</v>
      </c>
      <c r="I16" t="str">
        <f>VLOOKUP(I2,'Thang đánh giá'!$C$2:$D$27,2,FALSE)</f>
        <v>(0; 0; 0,0707)</v>
      </c>
      <c r="J16" t="str">
        <f>VLOOKUP(J2,'Thang đánh giá'!$C$2:$D$27,2,FALSE)</f>
        <v>(0,1673; 0,251; 0,3347)</v>
      </c>
      <c r="K16" t="str">
        <f>VLOOKUP(K2,'Thang đánh giá'!$C$2:$D$27,2,FALSE)</f>
        <v>(0; 0; 0,0548)</v>
      </c>
      <c r="L16" t="str">
        <f>VLOOKUP(L2,'Thang đánh giá'!$C$2:$D$27,2,FALSE)</f>
        <v>(0; 0; 0,0707)</v>
      </c>
      <c r="M16" t="str">
        <f>VLOOKUP(M2,'Thang đánh giá'!$C$2:$D$27,2,FALSE)</f>
        <v>(0; 0,0548; 0,1095)</v>
      </c>
    </row>
    <row r="17" spans="1:13" x14ac:dyDescent="0.3">
      <c r="A17" t="s">
        <v>1</v>
      </c>
      <c r="B17" t="str">
        <f>VLOOKUP(B3,'Thang đánh giá'!$C$2:$D$27,2,FALSE)</f>
        <v>(0; 0,0707; 0,1414)</v>
      </c>
      <c r="C17" t="str">
        <f>VLOOKUP(C3,'Thang đánh giá'!$C$2:$D$27,2,FALSE)</f>
        <v>(0; 0; 0)</v>
      </c>
      <c r="D17" t="str">
        <f>VLOOKUP(D3,'Thang đánh giá'!$C$2:$D$27,2,FALSE)</f>
        <v>(0,2846; 0,3795; 0,3795)</v>
      </c>
      <c r="E17" t="str">
        <f>VLOOKUP(E3,'Thang đánh giá'!$C$2:$D$27,2,FALSE)</f>
        <v>(0,2846; 0,3795; 0,3795)</v>
      </c>
      <c r="F17" t="str">
        <f>VLOOKUP(F3,'Thang đánh giá'!$C$2:$D$27,2,FALSE)</f>
        <v>(0; 0; 0,0707)</v>
      </c>
      <c r="G17" t="str">
        <f>VLOOKUP(G3,'Thang đánh giá'!$C$2:$D$27,2,FALSE)</f>
        <v>(0; 0,0707; 0,1414)</v>
      </c>
      <c r="H17" t="str">
        <f>VLOOKUP(H3,'Thang đánh giá'!$C$2:$D$27,2,FALSE)</f>
        <v>(0,1897; 0,2846; 0,3795)</v>
      </c>
      <c r="I17" t="str">
        <f>VLOOKUP(I3,'Thang đánh giá'!$C$2:$D$27,2,FALSE)</f>
        <v>(0; 0; 0,0707)</v>
      </c>
      <c r="J17" t="str">
        <f>VLOOKUP(J3,'Thang đánh giá'!$C$2:$D$27,2,FALSE)</f>
        <v>(0,1673; 0,251; 0,3347)</v>
      </c>
      <c r="K17" t="str">
        <f>VLOOKUP(K3,'Thang đánh giá'!$C$2:$D$27,2,FALSE)</f>
        <v>(0,251; 0,3347; 0,3347)</v>
      </c>
      <c r="L17" t="str">
        <f>VLOOKUP(L3,'Thang đánh giá'!$C$2:$D$27,2,FALSE)</f>
        <v>(0,2846; 0,3795; 0,3795)</v>
      </c>
      <c r="M17" t="str">
        <f>VLOOKUP(M3,'Thang đánh giá'!$C$2:$D$27,2,FALSE)</f>
        <v>(0,1897; 0,2846; 0,3795)</v>
      </c>
    </row>
    <row r="18" spans="1:13" x14ac:dyDescent="0.3">
      <c r="A18" t="s">
        <v>2</v>
      </c>
      <c r="B18" t="str">
        <f>VLOOKUP(B4,'Thang đánh giá'!$C$2:$D$27,2,FALSE)</f>
        <v>(0; 0,0707; 0,1414)</v>
      </c>
      <c r="C18" t="str">
        <f>VLOOKUP(C4,'Thang đánh giá'!$C$2:$D$27,2,FALSE)</f>
        <v>(0; 0,0707; 0,1414)</v>
      </c>
      <c r="D18" t="str">
        <f>VLOOKUP(D4,'Thang đánh giá'!$C$2:$D$27,2,FALSE)</f>
        <v>(0; 0; 0)</v>
      </c>
      <c r="E18" t="str">
        <f>VLOOKUP(E4,'Thang đánh giá'!$C$2:$D$27,2,FALSE)</f>
        <v>(0,1414; 0,2121; 0,2828)</v>
      </c>
      <c r="F18" t="str">
        <f>VLOOKUP(F4,'Thang đánh giá'!$C$2:$D$27,2,FALSE)</f>
        <v>(0; 0,0707; 0,1414)</v>
      </c>
      <c r="G18" t="str">
        <f>VLOOKUP(G4,'Thang đánh giá'!$C$2:$D$27,2,FALSE)</f>
        <v>(0,0837; 0,1673; 0,251)</v>
      </c>
      <c r="H18" t="str">
        <f>VLOOKUP(H4,'Thang đánh giá'!$C$2:$D$27,2,FALSE)</f>
        <v>(0; 0,0548; 0,1095)</v>
      </c>
      <c r="I18" t="str">
        <f>VLOOKUP(I4,'Thang đánh giá'!$C$2:$D$27,2,FALSE)</f>
        <v>(0; 0,0548; 0,1095)</v>
      </c>
      <c r="J18" t="str">
        <f>VLOOKUP(J4,'Thang đánh giá'!$C$2:$D$27,2,FALSE)</f>
        <v>(0,2846; 0,3795; 0,3795)</v>
      </c>
      <c r="K18" t="str">
        <f>VLOOKUP(K4,'Thang đánh giá'!$C$2:$D$27,2,FALSE)</f>
        <v>(0,2846; 0,3795; 0,3795)</v>
      </c>
      <c r="L18" t="str">
        <f>VLOOKUP(L4,'Thang đánh giá'!$C$2:$D$27,2,FALSE)</f>
        <v>(0,1897; 0,2846; 0,3795)</v>
      </c>
      <c r="M18" t="str">
        <f>VLOOKUP(M4,'Thang đánh giá'!$C$2:$D$27,2,FALSE)</f>
        <v>(0,2846; 0,3795; 0,3795)</v>
      </c>
    </row>
    <row r="19" spans="1:13" x14ac:dyDescent="0.3">
      <c r="A19" t="s">
        <v>3</v>
      </c>
      <c r="B19" t="str">
        <f>VLOOKUP(B5,'Thang đánh giá'!$C$2:$D$27,2,FALSE)</f>
        <v>(0,0707; 0,1414; 0,2121)</v>
      </c>
      <c r="C19" t="str">
        <f>VLOOKUP(C5,'Thang đánh giá'!$C$2:$D$27,2,FALSE)</f>
        <v>(0; 0; 0,0837)</v>
      </c>
      <c r="D19" t="str">
        <f>VLOOKUP(D5,'Thang đánh giá'!$C$2:$D$27,2,FALSE)</f>
        <v>(0; 0,0548; 0,1095)</v>
      </c>
      <c r="E19" t="str">
        <f>VLOOKUP(E5,'Thang đánh giá'!$C$2:$D$27,2,FALSE)</f>
        <v>(0; 0; 0)</v>
      </c>
      <c r="F19" t="str">
        <f>VLOOKUP(F5,'Thang đánh giá'!$C$2:$D$27,2,FALSE)</f>
        <v>(0,1673; 0,251; 0,3347)</v>
      </c>
      <c r="G19" t="str">
        <f>VLOOKUP(G5,'Thang đánh giá'!$C$2:$D$27,2,FALSE)</f>
        <v>(0; 0,0707; 0,1414)</v>
      </c>
      <c r="H19" t="str">
        <f>VLOOKUP(H5,'Thang đánh giá'!$C$2:$D$27,2,FALSE)</f>
        <v>(0,1897; 0,2846; 0,3795)</v>
      </c>
      <c r="I19" t="str">
        <f>VLOOKUP(I5,'Thang đánh giá'!$C$2:$D$27,2,FALSE)</f>
        <v>(0; 0; 0,0707)</v>
      </c>
      <c r="J19" t="str">
        <f>VLOOKUP(J5,'Thang đánh giá'!$C$2:$D$27,2,FALSE)</f>
        <v>(0,2846; 0,3795; 0,3795)</v>
      </c>
      <c r="K19" t="str">
        <f>VLOOKUP(K5,'Thang đánh giá'!$C$2:$D$27,2,FALSE)</f>
        <v>(0; 0,0707; 0,1414)</v>
      </c>
      <c r="L19" t="str">
        <f>VLOOKUP(L5,'Thang đánh giá'!$C$2:$D$27,2,FALSE)</f>
        <v>(0,1897; 0,2846; 0,3795)</v>
      </c>
      <c r="M19" t="str">
        <f>VLOOKUP(M5,'Thang đánh giá'!$C$2:$D$27,2,FALSE)</f>
        <v>(0,2846; 0,3795; 0,3795)</v>
      </c>
    </row>
    <row r="20" spans="1:13" x14ac:dyDescent="0.3">
      <c r="A20" t="s">
        <v>4</v>
      </c>
      <c r="B20" t="str">
        <f>VLOOKUP(B6,'Thang đánh giá'!$C$2:$D$27,2,FALSE)</f>
        <v>(0; 0; 0,0707)</v>
      </c>
      <c r="C20" t="str">
        <f>VLOOKUP(C6,'Thang đánh giá'!$C$2:$D$27,2,FALSE)</f>
        <v>(0; 0,0316; 0,0632)</v>
      </c>
      <c r="D20" t="str">
        <f>VLOOKUP(D6,'Thang đánh giá'!$C$2:$D$27,2,FALSE)</f>
        <v>(0; 0; 0,0548)</v>
      </c>
      <c r="E20" t="str">
        <f>VLOOKUP(E6,'Thang đánh giá'!$C$2:$D$27,2,FALSE)</f>
        <v>(0; 0,0707; 0,1414)</v>
      </c>
      <c r="F20" t="str">
        <f>VLOOKUP(F6,'Thang đánh giá'!$C$2:$D$27,2,FALSE)</f>
        <v>(0; 0; 0)</v>
      </c>
      <c r="G20" t="str">
        <f>VLOOKUP(G6,'Thang đánh giá'!$C$2:$D$27,2,FALSE)</f>
        <v>(0,0837; 0,1673; 0,251)</v>
      </c>
      <c r="H20" t="str">
        <f>VLOOKUP(H6,'Thang đánh giá'!$C$2:$D$27,2,FALSE)</f>
        <v>(0; 0; 0,0707)</v>
      </c>
      <c r="I20" t="str">
        <f>VLOOKUP(I6,'Thang đánh giá'!$C$2:$D$27,2,FALSE)</f>
        <v>(0; 0; 0,0548)</v>
      </c>
      <c r="J20" t="str">
        <f>VLOOKUP(J6,'Thang đánh giá'!$C$2:$D$27,2,FALSE)</f>
        <v>(0,1673; 0,251; 0,3347)</v>
      </c>
      <c r="K20" t="str">
        <f>VLOOKUP(K6,'Thang đánh giá'!$C$2:$D$27,2,FALSE)</f>
        <v>(0,251; 0,3347; 0,3347)</v>
      </c>
      <c r="L20" t="str">
        <f>VLOOKUP(L6,'Thang đánh giá'!$C$2:$D$27,2,FALSE)</f>
        <v>(0; 0; 0,0837)</v>
      </c>
      <c r="M20" t="str">
        <f>VLOOKUP(M6,'Thang đánh giá'!$C$2:$D$27,2,FALSE)</f>
        <v>(0; 0,0707; 0,1414)</v>
      </c>
    </row>
    <row r="21" spans="1:13" x14ac:dyDescent="0.3">
      <c r="A21" t="s">
        <v>5</v>
      </c>
      <c r="B21" t="str">
        <f>VLOOKUP(B7,'Thang đánh giá'!$C$2:$D$27,2,FALSE)</f>
        <v>(0; 0,0707; 0,1414)</v>
      </c>
      <c r="C21" t="str">
        <f>VLOOKUP(C7,'Thang đánh giá'!$C$2:$D$27,2,FALSE)</f>
        <v>(0; 0; 0,0548)</v>
      </c>
      <c r="D21" t="str">
        <f>VLOOKUP(D7,'Thang đánh giá'!$C$2:$D$27,2,FALSE)</f>
        <v>(0; 0,0548; 0,1095)</v>
      </c>
      <c r="E21" t="str">
        <f>VLOOKUP(E7,'Thang đánh giá'!$C$2:$D$27,2,FALSE)</f>
        <v>(0; 0; 0,0707)</v>
      </c>
      <c r="F21" t="str">
        <f>VLOOKUP(F7,'Thang đánh giá'!$C$2:$D$27,2,FALSE)</f>
        <v>(0; 0; 0,0707)</v>
      </c>
      <c r="G21" t="str">
        <f>VLOOKUP(G7,'Thang đánh giá'!$C$2:$D$27,2,FALSE)</f>
        <v>(0; 0; 0)</v>
      </c>
      <c r="H21" t="str">
        <f>VLOOKUP(H7,'Thang đánh giá'!$C$2:$D$27,2,FALSE)</f>
        <v>(0; 0,0707; 0,1414)</v>
      </c>
      <c r="I21" t="str">
        <f>VLOOKUP(I7,'Thang đánh giá'!$C$2:$D$27,2,FALSE)</f>
        <v>(0; 0; 0,0707)</v>
      </c>
      <c r="J21" t="str">
        <f>VLOOKUP(J7,'Thang đánh giá'!$C$2:$D$27,2,FALSE)</f>
        <v>(0,2846; 0,3795; 0,3795)</v>
      </c>
      <c r="K21" t="str">
        <f>VLOOKUP(K7,'Thang đánh giá'!$C$2:$D$27,2,FALSE)</f>
        <v>(0; 0; 0,0316)</v>
      </c>
      <c r="L21" t="str">
        <f>VLOOKUP(L7,'Thang đánh giá'!$C$2:$D$27,2,FALSE)</f>
        <v>(0; 0; 0,0316)</v>
      </c>
      <c r="M21" t="str">
        <f>VLOOKUP(M7,'Thang đánh giá'!$C$2:$D$27,2,FALSE)</f>
        <v>(0; 0,0316; 0,0632)</v>
      </c>
    </row>
    <row r="22" spans="1:13" x14ac:dyDescent="0.3">
      <c r="A22" t="s">
        <v>6</v>
      </c>
      <c r="B22" t="str">
        <f>VLOOKUP(B8,'Thang đánh giá'!$C$2:$D$27,2,FALSE)</f>
        <v>(0; 0; 0,0707)</v>
      </c>
      <c r="C22" t="str">
        <f>VLOOKUP(C8,'Thang đánh giá'!$C$2:$D$27,2,FALSE)</f>
        <v>(0; 0; 0,0548)</v>
      </c>
      <c r="D22" t="str">
        <f>VLOOKUP(D8,'Thang đánh giá'!$C$2:$D$27,2,FALSE)</f>
        <v>(0; 0,0548; 0,1095)</v>
      </c>
      <c r="E22" t="str">
        <f>VLOOKUP(E8,'Thang đánh giá'!$C$2:$D$27,2,FALSE)</f>
        <v>(0; 0; 0,0316)</v>
      </c>
      <c r="F22" t="str">
        <f>VLOOKUP(F8,'Thang đánh giá'!$C$2:$D$27,2,FALSE)</f>
        <v>(0,0707; 0,1414; 0,2121)</v>
      </c>
      <c r="G22" t="str">
        <f>VLOOKUP(G8,'Thang đánh giá'!$C$2:$D$27,2,FALSE)</f>
        <v>(0,0707; 0,1414; 0,2121)</v>
      </c>
      <c r="H22" t="str">
        <f>VLOOKUP(H8,'Thang đánh giá'!$C$2:$D$27,2,FALSE)</f>
        <v>(0; 0; 0)</v>
      </c>
      <c r="I22" t="str">
        <f>VLOOKUP(I8,'Thang đánh giá'!$C$2:$D$27,2,FALSE)</f>
        <v>(0; 0,0707; 0,1414)</v>
      </c>
      <c r="J22" t="str">
        <f>VLOOKUP(J8,'Thang đánh giá'!$C$2:$D$27,2,FALSE)</f>
        <v>(0,0707; 0,1414; 0,2121)</v>
      </c>
      <c r="K22" t="str">
        <f>VLOOKUP(K8,'Thang đánh giá'!$C$2:$D$27,2,FALSE)</f>
        <v>(0; 0; 0,0548)</v>
      </c>
      <c r="L22" t="str">
        <f>VLOOKUP(L8,'Thang đánh giá'!$C$2:$D$27,2,FALSE)</f>
        <v>(0; 0; 0,0548)</v>
      </c>
      <c r="M22" t="str">
        <f>VLOOKUP(M8,'Thang đánh giá'!$C$2:$D$27,2,FALSE)</f>
        <v>(0,0707; 0,1414; 0,2121)</v>
      </c>
    </row>
    <row r="23" spans="1:13" x14ac:dyDescent="0.3">
      <c r="A23" t="s">
        <v>7</v>
      </c>
      <c r="B23" t="str">
        <f>VLOOKUP(B9,'Thang đánh giá'!$C$2:$D$27,2,FALSE)</f>
        <v>(0; 0,0837; 0,1673)</v>
      </c>
      <c r="C23" t="str">
        <f>VLOOKUP(C9,'Thang đánh giá'!$C$2:$D$27,2,FALSE)</f>
        <v>(0; 0; 0,0707)</v>
      </c>
      <c r="D23" t="str">
        <f>VLOOKUP(D9,'Thang đánh giá'!$C$2:$D$27,2,FALSE)</f>
        <v>(0; 0,0707; 0,1414)</v>
      </c>
      <c r="E23" t="str">
        <f>VLOOKUP(E9,'Thang đánh giá'!$C$2:$D$27,2,FALSE)</f>
        <v>(0; 0; 0,0707)</v>
      </c>
      <c r="F23" t="str">
        <f>VLOOKUP(F9,'Thang đánh giá'!$C$2:$D$27,2,FALSE)</f>
        <v>(0; 0,0548; 0,1095)</v>
      </c>
      <c r="G23" t="str">
        <f>VLOOKUP(G9,'Thang đánh giá'!$C$2:$D$27,2,FALSE)</f>
        <v>(0; 0,0548; 0,1095)</v>
      </c>
      <c r="H23" t="str">
        <f>VLOOKUP(H9,'Thang đánh giá'!$C$2:$D$27,2,FALSE)</f>
        <v>(0; 0,0707; 0,1414)</v>
      </c>
      <c r="I23" t="str">
        <f>VLOOKUP(I9,'Thang đánh giá'!$C$2:$D$27,2,FALSE)</f>
        <v>(0; 0; 0)</v>
      </c>
      <c r="J23" t="str">
        <f>VLOOKUP(J9,'Thang đánh giá'!$C$2:$D$27,2,FALSE)</f>
        <v>(0,2846; 0,3795; 0,3795)</v>
      </c>
      <c r="K23" t="str">
        <f>VLOOKUP(K9,'Thang đánh giá'!$C$2:$D$27,2,FALSE)</f>
        <v>(0,2846; 0,3795; 0,3795)</v>
      </c>
      <c r="L23" t="str">
        <f>VLOOKUP(L9,'Thang đánh giá'!$C$2:$D$27,2,FALSE)</f>
        <v>(0,1673; 0,251; 0,3347)</v>
      </c>
      <c r="M23" t="str">
        <f>VLOOKUP(M9,'Thang đánh giá'!$C$2:$D$27,2,FALSE)</f>
        <v>(0,1897; 0,2846; 0,3795)</v>
      </c>
    </row>
    <row r="24" spans="1:13" x14ac:dyDescent="0.3">
      <c r="A24" t="s">
        <v>8</v>
      </c>
      <c r="B24" t="str">
        <f>VLOOKUP(B10,'Thang đánh giá'!$C$2:$D$27,2,FALSE)</f>
        <v>(0,1673; 0,251; 0,3347)</v>
      </c>
      <c r="C24" t="str">
        <f>VLOOKUP(C10,'Thang đánh giá'!$C$2:$D$27,2,FALSE)</f>
        <v>(0; 0,0548; 0,1095)</v>
      </c>
      <c r="D24" t="str">
        <f>VLOOKUP(D10,'Thang đánh giá'!$C$2:$D$27,2,FALSE)</f>
        <v>(0; 0,0548; 0,1095)</v>
      </c>
      <c r="E24" t="str">
        <f>VLOOKUP(E10,'Thang đánh giá'!$C$2:$D$27,2,FALSE)</f>
        <v>(0; 0,0707; 0,1414)</v>
      </c>
      <c r="F24" t="str">
        <f>VLOOKUP(F10,'Thang đánh giá'!$C$2:$D$27,2,FALSE)</f>
        <v>(0; 0; 0,0548)</v>
      </c>
      <c r="G24" t="str">
        <f>VLOOKUP(G10,'Thang đánh giá'!$C$2:$D$27,2,FALSE)</f>
        <v>(0; 0; 0,0707)</v>
      </c>
      <c r="H24" t="str">
        <f>VLOOKUP(H10,'Thang đánh giá'!$C$2:$D$27,2,FALSE)</f>
        <v>(0,1673; 0,251; 0,3347)</v>
      </c>
      <c r="I24" t="str">
        <f>VLOOKUP(I10,'Thang đánh giá'!$C$2:$D$27,2,FALSE)</f>
        <v>(0; 0; 0,0707)</v>
      </c>
      <c r="J24" t="str">
        <f>VLOOKUP(J10,'Thang đánh giá'!$C$2:$D$27,2,FALSE)</f>
        <v>(0; 0; 0)</v>
      </c>
      <c r="K24" t="str">
        <f>VLOOKUP(K10,'Thang đánh giá'!$C$2:$D$27,2,FALSE)</f>
        <v>(0,251; 0,3347; 0,3347)</v>
      </c>
      <c r="L24" t="str">
        <f>VLOOKUP(L10,'Thang đánh giá'!$C$2:$D$27,2,FALSE)</f>
        <v>(0,1673; 0,251; 0,3347)</v>
      </c>
      <c r="M24" t="str">
        <f>VLOOKUP(M10,'Thang đánh giá'!$C$2:$D$27,2,FALSE)</f>
        <v>(0,2846; 0,3795; 0,3795)</v>
      </c>
    </row>
    <row r="25" spans="1:13" x14ac:dyDescent="0.3">
      <c r="A25" t="s">
        <v>9</v>
      </c>
      <c r="B25" t="str">
        <f>VLOOKUP(B11,'Thang đánh giá'!$C$2:$D$27,2,FALSE)</f>
        <v>(0; 0,0707; 0,1414)</v>
      </c>
      <c r="C25" t="str">
        <f>VLOOKUP(C11,'Thang đánh giá'!$C$2:$D$27,2,FALSE)</f>
        <v>(0; 0,0837; 0,1673)</v>
      </c>
      <c r="D25" t="str">
        <f>VLOOKUP(D11,'Thang đánh giá'!$C$2:$D$27,2,FALSE)</f>
        <v>(0; 0,0548; 0,1095)</v>
      </c>
      <c r="E25" t="str">
        <f>VLOOKUP(E11,'Thang đánh giá'!$C$2:$D$27,2,FALSE)</f>
        <v>(0; 0,0707; 0,1414)</v>
      </c>
      <c r="F25" t="str">
        <f>VLOOKUP(F11,'Thang đánh giá'!$C$2:$D$27,2,FALSE)</f>
        <v>(0,0707; 0,1414; 0,2121)</v>
      </c>
      <c r="G25" t="str">
        <f>VLOOKUP(G11,'Thang đánh giá'!$C$2:$D$27,2,FALSE)</f>
        <v>(0; 0,0548; 0,1095)</v>
      </c>
      <c r="H25" t="str">
        <f>VLOOKUP(H11,'Thang đánh giá'!$C$2:$D$27,2,FALSE)</f>
        <v>(0; 0; 0,0548)</v>
      </c>
      <c r="I25" t="str">
        <f>VLOOKUP(I11,'Thang đánh giá'!$C$2:$D$27,2,FALSE)</f>
        <v>(0; 0,0548; 0,1095)</v>
      </c>
      <c r="J25" t="str">
        <f>VLOOKUP(J11,'Thang đánh giá'!$C$2:$D$27,2,FALSE)</f>
        <v>(0; 0; 0,0707)</v>
      </c>
      <c r="K25" t="str">
        <f>VLOOKUP(K11,'Thang đánh giá'!$C$2:$D$27,2,FALSE)</f>
        <v>(0; 0; 0)</v>
      </c>
      <c r="L25" t="str">
        <f>VLOOKUP(L11,'Thang đánh giá'!$C$2:$D$27,2,FALSE)</f>
        <v>(0; 0; 0,0707)</v>
      </c>
      <c r="M25" t="str">
        <f>VLOOKUP(M11,'Thang đánh giá'!$C$2:$D$27,2,FALSE)</f>
        <v>(0; 0,0548; 0,1095)</v>
      </c>
    </row>
    <row r="26" spans="1:13" x14ac:dyDescent="0.3">
      <c r="A26" t="s">
        <v>10</v>
      </c>
      <c r="B26" t="str">
        <f>VLOOKUP(B12,'Thang đánh giá'!$C$2:$D$27,2,FALSE)</f>
        <v>(0; 0; 0,0707)</v>
      </c>
      <c r="C26" t="str">
        <f>VLOOKUP(C12,'Thang đánh giá'!$C$2:$D$27,2,FALSE)</f>
        <v>(0; 0,0707; 0,1414)</v>
      </c>
      <c r="D26" t="str">
        <f>VLOOKUP(D12,'Thang đánh giá'!$C$2:$D$27,2,FALSE)</f>
        <v>(0; 0; 0,0316)</v>
      </c>
      <c r="E26" t="str">
        <f>VLOOKUP(E12,'Thang đánh giá'!$C$2:$D$27,2,FALSE)</f>
        <v>(0; 0; 0,0707)</v>
      </c>
      <c r="F26" t="str">
        <f>VLOOKUP(F12,'Thang đánh giá'!$C$2:$D$27,2,FALSE)</f>
        <v>(0; 0; 0,0707)</v>
      </c>
      <c r="G26" t="str">
        <f>VLOOKUP(G12,'Thang đánh giá'!$C$2:$D$27,2,FALSE)</f>
        <v>(0; 0; 0,0837)</v>
      </c>
      <c r="H26" t="str">
        <f>VLOOKUP(H12,'Thang đánh giá'!$C$2:$D$27,2,FALSE)</f>
        <v>(0; 0,0548; 0,1095)</v>
      </c>
      <c r="I26" t="str">
        <f>VLOOKUP(I12,'Thang đánh giá'!$C$2:$D$27,2,FALSE)</f>
        <v>(0; 0; 0,0707)</v>
      </c>
      <c r="J26" t="str">
        <f>VLOOKUP(J12,'Thang đánh giá'!$C$2:$D$27,2,FALSE)</f>
        <v>(0; 0,0548; 0,1095)</v>
      </c>
      <c r="K26" t="str">
        <f>VLOOKUP(K12,'Thang đánh giá'!$C$2:$D$27,2,FALSE)</f>
        <v>(0; 0; 0,0707)</v>
      </c>
      <c r="L26" t="str">
        <f>VLOOKUP(L12,'Thang đánh giá'!$C$2:$D$27,2,FALSE)</f>
        <v>(0; 0; 0)</v>
      </c>
      <c r="M26" t="str">
        <f>VLOOKUP(M12,'Thang đánh giá'!$C$2:$D$27,2,FALSE)</f>
        <v>(0,1897; 0,2846; 0,3795)</v>
      </c>
    </row>
    <row r="27" spans="1:13" x14ac:dyDescent="0.3">
      <c r="A27" t="s">
        <v>11</v>
      </c>
      <c r="B27" t="str">
        <f>VLOOKUP(B13,'Thang đánh giá'!$C$2:$D$27,2,FALSE)</f>
        <v>(0; 0; 0,0548)</v>
      </c>
      <c r="C27" t="str">
        <f>VLOOKUP(C13,'Thang đánh giá'!$C$2:$D$27,2,FALSE)</f>
        <v>(0; 0,0837; 0,1673)</v>
      </c>
      <c r="D27" t="str">
        <f>VLOOKUP(D13,'Thang đánh giá'!$C$2:$D$27,2,FALSE)</f>
        <v>(0; 0; 0,0707)</v>
      </c>
      <c r="E27" t="str">
        <f>VLOOKUP(E13,'Thang đánh giá'!$C$2:$D$27,2,FALSE)</f>
        <v>(0,0707; 0,1414; 0,2121)</v>
      </c>
      <c r="F27" t="str">
        <f>VLOOKUP(F13,'Thang đánh giá'!$C$2:$D$27,2,FALSE)</f>
        <v>(0; 0; 0,0548)</v>
      </c>
      <c r="G27" t="str">
        <f>VLOOKUP(G13,'Thang đánh giá'!$C$2:$D$27,2,FALSE)</f>
        <v>(0; 0; 0,0707)</v>
      </c>
      <c r="H27" t="str">
        <f>VLOOKUP(H13,'Thang đánh giá'!$C$2:$D$27,2,FALSE)</f>
        <v>(0; 0; 0,0316)</v>
      </c>
      <c r="I27" t="str">
        <f>VLOOKUP(I13,'Thang đánh giá'!$C$2:$D$27,2,FALSE)</f>
        <v>(0; 0,0548; 0,1095)</v>
      </c>
      <c r="J27" t="str">
        <f>VLOOKUP(J13,'Thang đánh giá'!$C$2:$D$27,2,FALSE)</f>
        <v>(0; 0; 0,0707)</v>
      </c>
      <c r="K27" t="str">
        <f>VLOOKUP(K13,'Thang đánh giá'!$C$2:$D$27,2,FALSE)</f>
        <v>(0,0837; 0,1673; 0,251)</v>
      </c>
      <c r="L27" t="str">
        <f>VLOOKUP(L13,'Thang đánh giá'!$C$2:$D$27,2,FALSE)</f>
        <v>(0; 0,0548; 0,1095)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0.1673</v>
      </c>
      <c r="D30">
        <f t="shared" si="0"/>
        <v>0.18970000000000001</v>
      </c>
      <c r="E30">
        <f t="shared" si="0"/>
        <v>8.3699999999999997E-2</v>
      </c>
      <c r="F30">
        <f t="shared" si="0"/>
        <v>0</v>
      </c>
      <c r="G30">
        <f t="shared" si="0"/>
        <v>0</v>
      </c>
      <c r="H30">
        <f t="shared" si="0"/>
        <v>0</v>
      </c>
      <c r="I30">
        <f t="shared" si="0"/>
        <v>0</v>
      </c>
      <c r="J30">
        <f t="shared" si="0"/>
        <v>0.1673</v>
      </c>
      <c r="K30">
        <f t="shared" si="0"/>
        <v>0</v>
      </c>
      <c r="L30">
        <f t="shared" si="0"/>
        <v>0</v>
      </c>
      <c r="M30">
        <f t="shared" si="0"/>
        <v>0</v>
      </c>
    </row>
    <row r="31" spans="1:13" x14ac:dyDescent="0.3">
      <c r="A31" t="s">
        <v>1</v>
      </c>
      <c r="B31">
        <f t="shared" ref="B31:M41" si="1">_xlfn.NUMBERVALUE(MID(B17,2,FIND(";",B17,1)-2))</f>
        <v>0</v>
      </c>
      <c r="C31">
        <f t="shared" si="1"/>
        <v>0</v>
      </c>
      <c r="D31">
        <f t="shared" si="1"/>
        <v>0.28460000000000002</v>
      </c>
      <c r="E31">
        <f t="shared" si="1"/>
        <v>0.28460000000000002</v>
      </c>
      <c r="F31">
        <f t="shared" si="1"/>
        <v>0</v>
      </c>
      <c r="G31">
        <f t="shared" si="1"/>
        <v>0</v>
      </c>
      <c r="H31">
        <f t="shared" si="1"/>
        <v>0.18970000000000001</v>
      </c>
      <c r="I31">
        <f t="shared" si="1"/>
        <v>0</v>
      </c>
      <c r="J31">
        <f t="shared" si="1"/>
        <v>0.1673</v>
      </c>
      <c r="K31">
        <f t="shared" si="1"/>
        <v>0.251</v>
      </c>
      <c r="L31">
        <f t="shared" si="1"/>
        <v>0.28460000000000002</v>
      </c>
      <c r="M31">
        <f t="shared" si="1"/>
        <v>0.18970000000000001</v>
      </c>
    </row>
    <row r="32" spans="1:13" x14ac:dyDescent="0.3">
      <c r="A32" t="s">
        <v>2</v>
      </c>
      <c r="B32">
        <f t="shared" si="1"/>
        <v>0</v>
      </c>
      <c r="C32">
        <f t="shared" si="1"/>
        <v>0</v>
      </c>
      <c r="D32">
        <f t="shared" si="1"/>
        <v>0</v>
      </c>
      <c r="E32">
        <f t="shared" si="1"/>
        <v>0.1414</v>
      </c>
      <c r="F32">
        <f t="shared" si="1"/>
        <v>0</v>
      </c>
      <c r="G32">
        <f t="shared" si="1"/>
        <v>8.3699999999999997E-2</v>
      </c>
      <c r="H32">
        <f t="shared" si="1"/>
        <v>0</v>
      </c>
      <c r="I32">
        <f t="shared" si="1"/>
        <v>0</v>
      </c>
      <c r="J32">
        <f t="shared" si="1"/>
        <v>0.28460000000000002</v>
      </c>
      <c r="K32">
        <f t="shared" si="1"/>
        <v>0.28460000000000002</v>
      </c>
      <c r="L32">
        <f t="shared" si="1"/>
        <v>0.18970000000000001</v>
      </c>
      <c r="M32">
        <f t="shared" si="1"/>
        <v>0.28460000000000002</v>
      </c>
    </row>
    <row r="33" spans="1:13" x14ac:dyDescent="0.3">
      <c r="A33" t="s">
        <v>3</v>
      </c>
      <c r="B33">
        <f t="shared" si="1"/>
        <v>7.0699999999999999E-2</v>
      </c>
      <c r="C33">
        <f t="shared" si="1"/>
        <v>0</v>
      </c>
      <c r="D33">
        <f t="shared" si="1"/>
        <v>0</v>
      </c>
      <c r="E33">
        <f t="shared" si="1"/>
        <v>0</v>
      </c>
      <c r="F33">
        <f t="shared" si="1"/>
        <v>0.1673</v>
      </c>
      <c r="G33">
        <f t="shared" si="1"/>
        <v>0</v>
      </c>
      <c r="H33">
        <f t="shared" si="1"/>
        <v>0.18970000000000001</v>
      </c>
      <c r="I33">
        <f t="shared" si="1"/>
        <v>0</v>
      </c>
      <c r="J33">
        <f t="shared" si="1"/>
        <v>0.28460000000000002</v>
      </c>
      <c r="K33">
        <f t="shared" si="1"/>
        <v>0</v>
      </c>
      <c r="L33">
        <f t="shared" si="1"/>
        <v>0.18970000000000001</v>
      </c>
      <c r="M33">
        <f t="shared" si="1"/>
        <v>0.28460000000000002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0</v>
      </c>
      <c r="D34">
        <f t="shared" si="2"/>
        <v>0</v>
      </c>
      <c r="E34">
        <f t="shared" si="2"/>
        <v>0</v>
      </c>
      <c r="F34">
        <f t="shared" si="2"/>
        <v>0</v>
      </c>
      <c r="G34">
        <f t="shared" si="2"/>
        <v>8.3699999999999997E-2</v>
      </c>
      <c r="H34">
        <f t="shared" si="2"/>
        <v>0</v>
      </c>
      <c r="I34">
        <f t="shared" si="2"/>
        <v>0</v>
      </c>
      <c r="J34">
        <f t="shared" si="2"/>
        <v>0.1673</v>
      </c>
      <c r="K34">
        <f t="shared" si="2"/>
        <v>0.251</v>
      </c>
      <c r="L34">
        <f t="shared" si="2"/>
        <v>0</v>
      </c>
      <c r="M34">
        <f t="shared" si="2"/>
        <v>0</v>
      </c>
    </row>
    <row r="35" spans="1:13" x14ac:dyDescent="0.3">
      <c r="A35" t="s">
        <v>5</v>
      </c>
      <c r="B35">
        <f t="shared" si="1"/>
        <v>0</v>
      </c>
      <c r="C35">
        <f t="shared" si="1"/>
        <v>0</v>
      </c>
      <c r="D35">
        <f t="shared" si="1"/>
        <v>0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0</v>
      </c>
      <c r="J35">
        <f t="shared" si="1"/>
        <v>0.28460000000000002</v>
      </c>
      <c r="K35">
        <f t="shared" si="1"/>
        <v>0</v>
      </c>
      <c r="L35">
        <f t="shared" si="1"/>
        <v>0</v>
      </c>
      <c r="M35">
        <f t="shared" si="1"/>
        <v>0</v>
      </c>
    </row>
    <row r="36" spans="1:13" x14ac:dyDescent="0.3">
      <c r="A36" t="s">
        <v>6</v>
      </c>
      <c r="B36">
        <f t="shared" si="1"/>
        <v>0</v>
      </c>
      <c r="C36">
        <f t="shared" si="1"/>
        <v>0</v>
      </c>
      <c r="D36">
        <f t="shared" si="1"/>
        <v>0</v>
      </c>
      <c r="E36">
        <f t="shared" si="1"/>
        <v>0</v>
      </c>
      <c r="F36">
        <f t="shared" si="1"/>
        <v>7.0699999999999999E-2</v>
      </c>
      <c r="G36">
        <f t="shared" si="1"/>
        <v>7.0699999999999999E-2</v>
      </c>
      <c r="H36">
        <f t="shared" si="1"/>
        <v>0</v>
      </c>
      <c r="I36">
        <f t="shared" si="1"/>
        <v>0</v>
      </c>
      <c r="J36">
        <f t="shared" si="1"/>
        <v>7.0699999999999999E-2</v>
      </c>
      <c r="K36">
        <f t="shared" si="1"/>
        <v>0</v>
      </c>
      <c r="L36">
        <f t="shared" si="1"/>
        <v>0</v>
      </c>
      <c r="M36">
        <f t="shared" si="1"/>
        <v>7.0699999999999999E-2</v>
      </c>
    </row>
    <row r="37" spans="1:13" x14ac:dyDescent="0.3">
      <c r="A37" t="s">
        <v>7</v>
      </c>
      <c r="B37">
        <f t="shared" si="1"/>
        <v>0</v>
      </c>
      <c r="C37">
        <f t="shared" si="1"/>
        <v>0</v>
      </c>
      <c r="D37">
        <f t="shared" si="1"/>
        <v>0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0.28460000000000002</v>
      </c>
      <c r="K37">
        <f t="shared" si="1"/>
        <v>0.28460000000000002</v>
      </c>
      <c r="L37">
        <f t="shared" si="1"/>
        <v>0.1673</v>
      </c>
      <c r="M37">
        <f t="shared" si="1"/>
        <v>0.18970000000000001</v>
      </c>
    </row>
    <row r="38" spans="1:13" x14ac:dyDescent="0.3">
      <c r="A38" t="s">
        <v>8</v>
      </c>
      <c r="B38">
        <f t="shared" si="1"/>
        <v>0.1673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0.1673</v>
      </c>
      <c r="I38">
        <f t="shared" si="1"/>
        <v>0</v>
      </c>
      <c r="J38">
        <f t="shared" si="1"/>
        <v>0</v>
      </c>
      <c r="K38">
        <f t="shared" si="1"/>
        <v>0.251</v>
      </c>
      <c r="L38">
        <f t="shared" si="1"/>
        <v>0.1673</v>
      </c>
      <c r="M38">
        <f t="shared" si="1"/>
        <v>0.28460000000000002</v>
      </c>
    </row>
    <row r="39" spans="1:13" x14ac:dyDescent="0.3">
      <c r="A39" t="s">
        <v>9</v>
      </c>
      <c r="B39">
        <f t="shared" si="1"/>
        <v>0</v>
      </c>
      <c r="C39">
        <f t="shared" si="1"/>
        <v>0</v>
      </c>
      <c r="D39">
        <f t="shared" si="1"/>
        <v>0</v>
      </c>
      <c r="E39">
        <f t="shared" si="1"/>
        <v>0</v>
      </c>
      <c r="F39">
        <f t="shared" si="1"/>
        <v>7.0699999999999999E-2</v>
      </c>
      <c r="G39">
        <f t="shared" si="1"/>
        <v>0</v>
      </c>
      <c r="H39">
        <f t="shared" si="1"/>
        <v>0</v>
      </c>
      <c r="I39">
        <f t="shared" si="1"/>
        <v>0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0</v>
      </c>
    </row>
    <row r="40" spans="1:13" x14ac:dyDescent="0.3">
      <c r="A40" t="s">
        <v>10</v>
      </c>
      <c r="B40">
        <f t="shared" si="1"/>
        <v>0</v>
      </c>
      <c r="C40">
        <f t="shared" si="1"/>
        <v>0</v>
      </c>
      <c r="D40">
        <f t="shared" si="1"/>
        <v>0</v>
      </c>
      <c r="E40">
        <f t="shared" si="1"/>
        <v>0</v>
      </c>
      <c r="F40">
        <f t="shared" si="1"/>
        <v>0</v>
      </c>
      <c r="G40">
        <f t="shared" si="1"/>
        <v>0</v>
      </c>
      <c r="H40">
        <f t="shared" si="1"/>
        <v>0</v>
      </c>
      <c r="I40">
        <f t="shared" si="1"/>
        <v>0</v>
      </c>
      <c r="J40">
        <f t="shared" si="1"/>
        <v>0</v>
      </c>
      <c r="K40">
        <f t="shared" si="1"/>
        <v>0</v>
      </c>
      <c r="L40">
        <f t="shared" si="1"/>
        <v>0</v>
      </c>
      <c r="M40">
        <f t="shared" si="1"/>
        <v>0.18970000000000001</v>
      </c>
    </row>
    <row r="41" spans="1:13" x14ac:dyDescent="0.3">
      <c r="A41" t="s">
        <v>11</v>
      </c>
      <c r="B41">
        <f t="shared" si="1"/>
        <v>0</v>
      </c>
      <c r="C41">
        <f t="shared" si="1"/>
        <v>0</v>
      </c>
      <c r="D41">
        <f t="shared" si="1"/>
        <v>0</v>
      </c>
      <c r="E41">
        <f t="shared" si="1"/>
        <v>7.0699999999999999E-2</v>
      </c>
      <c r="F41">
        <f t="shared" si="1"/>
        <v>0</v>
      </c>
      <c r="G41">
        <f t="shared" si="1"/>
        <v>0</v>
      </c>
      <c r="H41">
        <f t="shared" si="1"/>
        <v>0</v>
      </c>
      <c r="I41">
        <f t="shared" si="1"/>
        <v>0</v>
      </c>
      <c r="J41">
        <f t="shared" si="1"/>
        <v>0</v>
      </c>
      <c r="K41">
        <f t="shared" si="1"/>
        <v>8.3699999999999997E-2</v>
      </c>
      <c r="L41">
        <f t="shared" si="1"/>
        <v>0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0.251</v>
      </c>
      <c r="D44">
        <f t="shared" si="3"/>
        <v>0.28460000000000002</v>
      </c>
      <c r="E44">
        <f t="shared" si="3"/>
        <v>0.1673</v>
      </c>
      <c r="F44">
        <f t="shared" si="3"/>
        <v>7.0699999999999999E-2</v>
      </c>
      <c r="G44">
        <f t="shared" si="3"/>
        <v>0</v>
      </c>
      <c r="H44">
        <f t="shared" si="3"/>
        <v>0</v>
      </c>
      <c r="I44">
        <f t="shared" si="3"/>
        <v>0</v>
      </c>
      <c r="J44">
        <f t="shared" si="3"/>
        <v>0.251</v>
      </c>
      <c r="K44">
        <f t="shared" si="3"/>
        <v>0</v>
      </c>
      <c r="L44">
        <f t="shared" si="3"/>
        <v>0</v>
      </c>
      <c r="M44">
        <f t="shared" si="3"/>
        <v>5.4800000000000001E-2</v>
      </c>
    </row>
    <row r="45" spans="1:13" x14ac:dyDescent="0.3">
      <c r="A45" t="s">
        <v>1</v>
      </c>
      <c r="B45">
        <f t="shared" ref="B45:M45" si="4">_xlfn.NUMBERVALUE(MID(B17,FIND(";",B17,1)+1,FIND(";",B17,FIND(";",B17,1)+1)-FIND(";",B17,1)-1))</f>
        <v>7.0699999999999999E-2</v>
      </c>
      <c r="C45">
        <f t="shared" si="4"/>
        <v>0</v>
      </c>
      <c r="D45">
        <f t="shared" si="4"/>
        <v>0.3795</v>
      </c>
      <c r="E45">
        <f t="shared" si="4"/>
        <v>0.3795</v>
      </c>
      <c r="F45">
        <f t="shared" si="4"/>
        <v>0</v>
      </c>
      <c r="G45">
        <f t="shared" si="4"/>
        <v>7.0699999999999999E-2</v>
      </c>
      <c r="H45">
        <f t="shared" si="4"/>
        <v>0.28460000000000002</v>
      </c>
      <c r="I45">
        <f t="shared" si="4"/>
        <v>0</v>
      </c>
      <c r="J45">
        <f t="shared" si="4"/>
        <v>0.251</v>
      </c>
      <c r="K45">
        <f t="shared" si="4"/>
        <v>0.3347</v>
      </c>
      <c r="L45">
        <f t="shared" si="4"/>
        <v>0.3795</v>
      </c>
      <c r="M45">
        <f t="shared" si="4"/>
        <v>0.28460000000000002</v>
      </c>
    </row>
    <row r="46" spans="1:13" x14ac:dyDescent="0.3">
      <c r="A46" t="s">
        <v>2</v>
      </c>
      <c r="B46">
        <f t="shared" ref="B46:M46" si="5">_xlfn.NUMBERVALUE(MID(B18,FIND(";",B18,1)+1,FIND(";",B18,FIND(";",B18,1)+1)-FIND(";",B18,1)-1))</f>
        <v>7.0699999999999999E-2</v>
      </c>
      <c r="C46">
        <f t="shared" si="5"/>
        <v>7.0699999999999999E-2</v>
      </c>
      <c r="D46">
        <f t="shared" si="5"/>
        <v>0</v>
      </c>
      <c r="E46">
        <f t="shared" si="5"/>
        <v>0.21210000000000001</v>
      </c>
      <c r="F46">
        <f t="shared" si="5"/>
        <v>7.0699999999999999E-2</v>
      </c>
      <c r="G46">
        <f t="shared" si="5"/>
        <v>0.1673</v>
      </c>
      <c r="H46">
        <f t="shared" si="5"/>
        <v>5.4800000000000001E-2</v>
      </c>
      <c r="I46">
        <f t="shared" si="5"/>
        <v>5.4800000000000001E-2</v>
      </c>
      <c r="J46">
        <f t="shared" si="5"/>
        <v>0.3795</v>
      </c>
      <c r="K46">
        <f t="shared" si="5"/>
        <v>0.3795</v>
      </c>
      <c r="L46">
        <f t="shared" si="5"/>
        <v>0.28460000000000002</v>
      </c>
      <c r="M46">
        <f t="shared" si="5"/>
        <v>0.3795</v>
      </c>
    </row>
    <row r="47" spans="1:13" x14ac:dyDescent="0.3">
      <c r="A47" t="s">
        <v>3</v>
      </c>
      <c r="B47">
        <f t="shared" ref="B47:M47" si="6">_xlfn.NUMBERVALUE(MID(B19,FIND(";",B19,1)+1,FIND(";",B19,FIND(";",B19,1)+1)-FIND(";",B19,1)-1))</f>
        <v>0.1414</v>
      </c>
      <c r="C47">
        <f t="shared" si="6"/>
        <v>0</v>
      </c>
      <c r="D47">
        <f t="shared" si="6"/>
        <v>5.4800000000000001E-2</v>
      </c>
      <c r="E47">
        <f t="shared" si="6"/>
        <v>0</v>
      </c>
      <c r="F47">
        <f t="shared" si="6"/>
        <v>0.251</v>
      </c>
      <c r="G47">
        <f t="shared" si="6"/>
        <v>7.0699999999999999E-2</v>
      </c>
      <c r="H47">
        <f t="shared" si="6"/>
        <v>0.28460000000000002</v>
      </c>
      <c r="I47">
        <f t="shared" si="6"/>
        <v>0</v>
      </c>
      <c r="J47">
        <f t="shared" si="6"/>
        <v>0.3795</v>
      </c>
      <c r="K47">
        <f t="shared" si="6"/>
        <v>7.0699999999999999E-2</v>
      </c>
      <c r="L47">
        <f t="shared" si="6"/>
        <v>0.28460000000000002</v>
      </c>
      <c r="M47">
        <f t="shared" si="6"/>
        <v>0.3795</v>
      </c>
    </row>
    <row r="48" spans="1:13" x14ac:dyDescent="0.3">
      <c r="A48" t="s">
        <v>4</v>
      </c>
      <c r="B48">
        <f t="shared" ref="B48:M48" si="7">_xlfn.NUMBERVALUE(MID(B20,FIND(";",B20,1)+1,FIND(";",B20,FIND(";",B20,1)+1)-FIND(";",B20,1)-1))</f>
        <v>0</v>
      </c>
      <c r="C48">
        <f t="shared" si="7"/>
        <v>3.1600000000000003E-2</v>
      </c>
      <c r="D48">
        <f t="shared" si="7"/>
        <v>0</v>
      </c>
      <c r="E48">
        <f t="shared" si="7"/>
        <v>7.0699999999999999E-2</v>
      </c>
      <c r="F48">
        <f t="shared" si="7"/>
        <v>0</v>
      </c>
      <c r="G48">
        <f t="shared" si="7"/>
        <v>0.1673</v>
      </c>
      <c r="H48">
        <f t="shared" si="7"/>
        <v>0</v>
      </c>
      <c r="I48">
        <f t="shared" si="7"/>
        <v>0</v>
      </c>
      <c r="J48">
        <f t="shared" si="7"/>
        <v>0.251</v>
      </c>
      <c r="K48">
        <f t="shared" si="7"/>
        <v>0.3347</v>
      </c>
      <c r="L48">
        <f t="shared" si="7"/>
        <v>0</v>
      </c>
      <c r="M48">
        <f t="shared" si="7"/>
        <v>7.0699999999999999E-2</v>
      </c>
    </row>
    <row r="49" spans="1:13" x14ac:dyDescent="0.3">
      <c r="A49" t="s">
        <v>5</v>
      </c>
      <c r="B49">
        <f t="shared" ref="B49:M49" si="8">_xlfn.NUMBERVALUE(MID(B21,FIND(";",B21,1)+1,FIND(";",B21,FIND(";",B21,1)+1)-FIND(";",B21,1)-1))</f>
        <v>7.0699999999999999E-2</v>
      </c>
      <c r="C49">
        <f t="shared" si="8"/>
        <v>0</v>
      </c>
      <c r="D49">
        <f t="shared" si="8"/>
        <v>5.4800000000000001E-2</v>
      </c>
      <c r="E49">
        <f t="shared" si="8"/>
        <v>0</v>
      </c>
      <c r="F49">
        <f t="shared" si="8"/>
        <v>0</v>
      </c>
      <c r="G49">
        <f t="shared" si="8"/>
        <v>0</v>
      </c>
      <c r="H49">
        <f t="shared" si="8"/>
        <v>7.0699999999999999E-2</v>
      </c>
      <c r="I49">
        <f t="shared" si="8"/>
        <v>0</v>
      </c>
      <c r="J49">
        <f t="shared" si="8"/>
        <v>0.3795</v>
      </c>
      <c r="K49">
        <f t="shared" si="8"/>
        <v>0</v>
      </c>
      <c r="L49">
        <f t="shared" si="8"/>
        <v>0</v>
      </c>
      <c r="M49">
        <f t="shared" si="8"/>
        <v>3.1600000000000003E-2</v>
      </c>
    </row>
    <row r="50" spans="1:13" x14ac:dyDescent="0.3">
      <c r="A50" t="s">
        <v>6</v>
      </c>
      <c r="B50">
        <f t="shared" ref="B50:M50" si="9">_xlfn.NUMBERVALUE(MID(B22,FIND(";",B22,1)+1,FIND(";",B22,FIND(";",B22,1)+1)-FIND(";",B22,1)-1))</f>
        <v>0</v>
      </c>
      <c r="C50">
        <f t="shared" si="9"/>
        <v>0</v>
      </c>
      <c r="D50">
        <f t="shared" si="9"/>
        <v>5.4800000000000001E-2</v>
      </c>
      <c r="E50">
        <f t="shared" si="9"/>
        <v>0</v>
      </c>
      <c r="F50">
        <f t="shared" si="9"/>
        <v>0.1414</v>
      </c>
      <c r="G50">
        <f t="shared" si="9"/>
        <v>0.1414</v>
      </c>
      <c r="H50">
        <f t="shared" si="9"/>
        <v>0</v>
      </c>
      <c r="I50">
        <f t="shared" si="9"/>
        <v>7.0699999999999999E-2</v>
      </c>
      <c r="J50">
        <f t="shared" si="9"/>
        <v>0.1414</v>
      </c>
      <c r="K50">
        <f t="shared" si="9"/>
        <v>0</v>
      </c>
      <c r="L50">
        <f t="shared" si="9"/>
        <v>0</v>
      </c>
      <c r="M50">
        <f t="shared" si="9"/>
        <v>0.1414</v>
      </c>
    </row>
    <row r="51" spans="1:13" x14ac:dyDescent="0.3">
      <c r="A51" t="s">
        <v>7</v>
      </c>
      <c r="B51">
        <f t="shared" ref="B51:M51" si="10">_xlfn.NUMBERVALUE(MID(B23,FIND(";",B23,1)+1,FIND(";",B23,FIND(";",B23,1)+1)-FIND(";",B23,1)-1))</f>
        <v>8.3699999999999997E-2</v>
      </c>
      <c r="C51">
        <f t="shared" si="10"/>
        <v>0</v>
      </c>
      <c r="D51">
        <f t="shared" si="10"/>
        <v>7.0699999999999999E-2</v>
      </c>
      <c r="E51">
        <f t="shared" si="10"/>
        <v>0</v>
      </c>
      <c r="F51">
        <f t="shared" si="10"/>
        <v>5.4800000000000001E-2</v>
      </c>
      <c r="G51">
        <f t="shared" si="10"/>
        <v>5.4800000000000001E-2</v>
      </c>
      <c r="H51">
        <f t="shared" si="10"/>
        <v>7.0699999999999999E-2</v>
      </c>
      <c r="I51">
        <f t="shared" si="10"/>
        <v>0</v>
      </c>
      <c r="J51">
        <f t="shared" si="10"/>
        <v>0.3795</v>
      </c>
      <c r="K51">
        <f t="shared" si="10"/>
        <v>0.3795</v>
      </c>
      <c r="L51">
        <f t="shared" si="10"/>
        <v>0.251</v>
      </c>
      <c r="M51">
        <f t="shared" si="10"/>
        <v>0.28460000000000002</v>
      </c>
    </row>
    <row r="52" spans="1:13" x14ac:dyDescent="0.3">
      <c r="A52" t="s">
        <v>8</v>
      </c>
      <c r="B52">
        <f t="shared" ref="B52:M52" si="11">_xlfn.NUMBERVALUE(MID(B24,FIND(";",B24,1)+1,FIND(";",B24,FIND(";",B24,1)+1)-FIND(";",B24,1)-1))</f>
        <v>0.251</v>
      </c>
      <c r="C52">
        <f t="shared" si="11"/>
        <v>5.4800000000000001E-2</v>
      </c>
      <c r="D52">
        <f t="shared" si="11"/>
        <v>5.4800000000000001E-2</v>
      </c>
      <c r="E52">
        <f t="shared" si="11"/>
        <v>7.0699999999999999E-2</v>
      </c>
      <c r="F52">
        <f t="shared" si="11"/>
        <v>0</v>
      </c>
      <c r="G52">
        <f t="shared" si="11"/>
        <v>0</v>
      </c>
      <c r="H52">
        <f t="shared" si="11"/>
        <v>0.251</v>
      </c>
      <c r="I52">
        <f t="shared" si="11"/>
        <v>0</v>
      </c>
      <c r="J52">
        <f t="shared" si="11"/>
        <v>0</v>
      </c>
      <c r="K52">
        <f t="shared" si="11"/>
        <v>0.3347</v>
      </c>
      <c r="L52">
        <f t="shared" si="11"/>
        <v>0.251</v>
      </c>
      <c r="M52">
        <f t="shared" si="11"/>
        <v>0.3795</v>
      </c>
    </row>
    <row r="53" spans="1:13" x14ac:dyDescent="0.3">
      <c r="A53" t="s">
        <v>9</v>
      </c>
      <c r="B53">
        <f t="shared" ref="B53:M53" si="12">_xlfn.NUMBERVALUE(MID(B25,FIND(";",B25,1)+1,FIND(";",B25,FIND(";",B25,1)+1)-FIND(";",B25,1)-1))</f>
        <v>7.0699999999999999E-2</v>
      </c>
      <c r="C53">
        <f t="shared" si="12"/>
        <v>8.3699999999999997E-2</v>
      </c>
      <c r="D53">
        <f t="shared" si="12"/>
        <v>5.4800000000000001E-2</v>
      </c>
      <c r="E53">
        <f t="shared" si="12"/>
        <v>7.0699999999999999E-2</v>
      </c>
      <c r="F53">
        <f t="shared" si="12"/>
        <v>0.1414</v>
      </c>
      <c r="G53">
        <f t="shared" si="12"/>
        <v>5.4800000000000001E-2</v>
      </c>
      <c r="H53">
        <f t="shared" si="12"/>
        <v>0</v>
      </c>
      <c r="I53">
        <f t="shared" si="12"/>
        <v>5.4800000000000001E-2</v>
      </c>
      <c r="J53">
        <f t="shared" si="12"/>
        <v>0</v>
      </c>
      <c r="K53">
        <f t="shared" si="12"/>
        <v>0</v>
      </c>
      <c r="L53">
        <f t="shared" si="12"/>
        <v>0</v>
      </c>
      <c r="M53">
        <f t="shared" si="12"/>
        <v>5.4800000000000001E-2</v>
      </c>
    </row>
    <row r="54" spans="1:13" x14ac:dyDescent="0.3">
      <c r="A54" t="s">
        <v>10</v>
      </c>
      <c r="B54">
        <f t="shared" ref="B54:M54" si="13">_xlfn.NUMBERVALUE(MID(B26,FIND(";",B26,1)+1,FIND(";",B26,FIND(";",B26,1)+1)-FIND(";",B26,1)-1))</f>
        <v>0</v>
      </c>
      <c r="C54">
        <f t="shared" si="13"/>
        <v>7.0699999999999999E-2</v>
      </c>
      <c r="D54">
        <f t="shared" si="13"/>
        <v>0</v>
      </c>
      <c r="E54">
        <f t="shared" si="13"/>
        <v>0</v>
      </c>
      <c r="F54">
        <f t="shared" si="13"/>
        <v>0</v>
      </c>
      <c r="G54">
        <f t="shared" si="13"/>
        <v>0</v>
      </c>
      <c r="H54">
        <f t="shared" si="13"/>
        <v>5.4800000000000001E-2</v>
      </c>
      <c r="I54">
        <f t="shared" si="13"/>
        <v>0</v>
      </c>
      <c r="J54">
        <f t="shared" si="13"/>
        <v>5.4800000000000001E-2</v>
      </c>
      <c r="K54">
        <f t="shared" si="13"/>
        <v>0</v>
      </c>
      <c r="L54">
        <f t="shared" si="13"/>
        <v>0</v>
      </c>
      <c r="M54">
        <f t="shared" si="13"/>
        <v>0.28460000000000002</v>
      </c>
    </row>
    <row r="55" spans="1:13" x14ac:dyDescent="0.3">
      <c r="A55" t="s">
        <v>11</v>
      </c>
      <c r="B55">
        <f t="shared" ref="B55:M55" si="14">_xlfn.NUMBERVALUE(MID(B27,FIND(";",B27,1)+1,FIND(";",B27,FIND(";",B27,1)+1)-FIND(";",B27,1)-1))</f>
        <v>0</v>
      </c>
      <c r="C55">
        <f t="shared" si="14"/>
        <v>8.3699999999999997E-2</v>
      </c>
      <c r="D55">
        <f t="shared" si="14"/>
        <v>0</v>
      </c>
      <c r="E55">
        <f t="shared" si="14"/>
        <v>0.1414</v>
      </c>
      <c r="F55">
        <f t="shared" si="14"/>
        <v>0</v>
      </c>
      <c r="G55">
        <f t="shared" si="14"/>
        <v>0</v>
      </c>
      <c r="H55">
        <f t="shared" si="14"/>
        <v>0</v>
      </c>
      <c r="I55">
        <f t="shared" si="14"/>
        <v>5.4800000000000001E-2</v>
      </c>
      <c r="J55">
        <f t="shared" si="14"/>
        <v>0</v>
      </c>
      <c r="K55">
        <f t="shared" si="14"/>
        <v>0.1673</v>
      </c>
      <c r="L55">
        <f t="shared" si="14"/>
        <v>5.4800000000000001E-2</v>
      </c>
      <c r="M55">
        <f t="shared" si="1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15">_xlfn.NUMBERVALUE(MID(C16,FIND(";",C16,FIND(";",C16,1)+1)+1, LEN(C16)-FIND(";",C16,FIND(";",C16,1)+1)-1))</f>
        <v>0.3347</v>
      </c>
      <c r="D58">
        <f t="shared" si="15"/>
        <v>0.3795</v>
      </c>
      <c r="E58">
        <f t="shared" si="15"/>
        <v>0.251</v>
      </c>
      <c r="F58">
        <f t="shared" si="15"/>
        <v>0.1414</v>
      </c>
      <c r="G58">
        <f t="shared" si="15"/>
        <v>5.4800000000000001E-2</v>
      </c>
      <c r="H58">
        <f t="shared" si="15"/>
        <v>7.0699999999999999E-2</v>
      </c>
      <c r="I58">
        <f t="shared" si="15"/>
        <v>7.0699999999999999E-2</v>
      </c>
      <c r="J58">
        <f t="shared" si="15"/>
        <v>0.3347</v>
      </c>
      <c r="K58">
        <f t="shared" si="15"/>
        <v>5.4800000000000001E-2</v>
      </c>
      <c r="L58">
        <f t="shared" si="15"/>
        <v>7.0699999999999999E-2</v>
      </c>
      <c r="M58">
        <f t="shared" si="15"/>
        <v>0.1095</v>
      </c>
    </row>
    <row r="59" spans="1:13" x14ac:dyDescent="0.3">
      <c r="A59" t="s">
        <v>1</v>
      </c>
      <c r="B59">
        <f t="shared" ref="B59:M69" si="16">_xlfn.NUMBERVALUE(MID(B17,FIND(";",B17,FIND(";",B17,1)+1)+1, LEN(B17)-FIND(";",B17,FIND(";",B17,1)+1)-1))</f>
        <v>0.1414</v>
      </c>
      <c r="C59">
        <f t="shared" si="16"/>
        <v>0</v>
      </c>
      <c r="D59">
        <f t="shared" si="16"/>
        <v>0.3795</v>
      </c>
      <c r="E59">
        <f t="shared" si="16"/>
        <v>0.3795</v>
      </c>
      <c r="F59">
        <f t="shared" si="16"/>
        <v>7.0699999999999999E-2</v>
      </c>
      <c r="G59">
        <f t="shared" si="16"/>
        <v>0.1414</v>
      </c>
      <c r="H59">
        <f t="shared" si="16"/>
        <v>0.3795</v>
      </c>
      <c r="I59">
        <f t="shared" si="16"/>
        <v>7.0699999999999999E-2</v>
      </c>
      <c r="J59">
        <f t="shared" si="16"/>
        <v>0.3347</v>
      </c>
      <c r="K59">
        <f t="shared" si="16"/>
        <v>0.3347</v>
      </c>
      <c r="L59">
        <f t="shared" si="16"/>
        <v>0.3795</v>
      </c>
      <c r="M59">
        <f t="shared" si="16"/>
        <v>0.3795</v>
      </c>
    </row>
    <row r="60" spans="1:13" x14ac:dyDescent="0.3">
      <c r="A60" t="s">
        <v>2</v>
      </c>
      <c r="B60">
        <f t="shared" si="16"/>
        <v>0.1414</v>
      </c>
      <c r="C60">
        <f t="shared" si="16"/>
        <v>0.1414</v>
      </c>
      <c r="D60">
        <f t="shared" si="16"/>
        <v>0</v>
      </c>
      <c r="E60">
        <f t="shared" si="16"/>
        <v>0.2828</v>
      </c>
      <c r="F60">
        <f t="shared" si="16"/>
        <v>0.1414</v>
      </c>
      <c r="G60">
        <f t="shared" si="16"/>
        <v>0.251</v>
      </c>
      <c r="H60">
        <f t="shared" si="16"/>
        <v>0.1095</v>
      </c>
      <c r="I60">
        <f t="shared" si="16"/>
        <v>0.1095</v>
      </c>
      <c r="J60">
        <f t="shared" si="16"/>
        <v>0.3795</v>
      </c>
      <c r="K60">
        <f t="shared" si="16"/>
        <v>0.3795</v>
      </c>
      <c r="L60">
        <f t="shared" si="16"/>
        <v>0.3795</v>
      </c>
      <c r="M60">
        <f t="shared" si="16"/>
        <v>0.3795</v>
      </c>
    </row>
    <row r="61" spans="1:13" x14ac:dyDescent="0.3">
      <c r="A61" t="s">
        <v>3</v>
      </c>
      <c r="B61">
        <f t="shared" si="16"/>
        <v>0.21210000000000001</v>
      </c>
      <c r="C61">
        <f t="shared" si="16"/>
        <v>8.3699999999999997E-2</v>
      </c>
      <c r="D61">
        <f t="shared" si="16"/>
        <v>0.1095</v>
      </c>
      <c r="E61">
        <f t="shared" si="16"/>
        <v>0</v>
      </c>
      <c r="F61">
        <f t="shared" si="16"/>
        <v>0.3347</v>
      </c>
      <c r="G61">
        <f t="shared" si="16"/>
        <v>0.1414</v>
      </c>
      <c r="H61">
        <f t="shared" si="16"/>
        <v>0.3795</v>
      </c>
      <c r="I61">
        <f t="shared" si="16"/>
        <v>7.0699999999999999E-2</v>
      </c>
      <c r="J61">
        <f t="shared" si="16"/>
        <v>0.3795</v>
      </c>
      <c r="K61">
        <f t="shared" si="16"/>
        <v>0.1414</v>
      </c>
      <c r="L61">
        <f t="shared" si="16"/>
        <v>0.3795</v>
      </c>
      <c r="M61">
        <f t="shared" si="16"/>
        <v>0.3795</v>
      </c>
    </row>
    <row r="62" spans="1:13" x14ac:dyDescent="0.3">
      <c r="A62" t="s">
        <v>4</v>
      </c>
      <c r="B62">
        <f t="shared" ref="B62:M62" si="17">_xlfn.NUMBERVALUE(MID(B20,FIND(";",B20,FIND(";",B20,1)+1)+1, LEN(B20)-FIND(";",B20,FIND(";",B20,1)+1)-1))</f>
        <v>7.0699999999999999E-2</v>
      </c>
      <c r="C62">
        <f t="shared" si="17"/>
        <v>6.3200000000000006E-2</v>
      </c>
      <c r="D62">
        <f t="shared" si="17"/>
        <v>5.4800000000000001E-2</v>
      </c>
      <c r="E62">
        <f t="shared" si="17"/>
        <v>0.1414</v>
      </c>
      <c r="F62">
        <f t="shared" si="17"/>
        <v>0</v>
      </c>
      <c r="G62">
        <f t="shared" si="17"/>
        <v>0.251</v>
      </c>
      <c r="H62">
        <f t="shared" si="17"/>
        <v>7.0699999999999999E-2</v>
      </c>
      <c r="I62">
        <f t="shared" si="17"/>
        <v>5.4800000000000001E-2</v>
      </c>
      <c r="J62">
        <f t="shared" si="17"/>
        <v>0.3347</v>
      </c>
      <c r="K62">
        <f t="shared" si="17"/>
        <v>0.3347</v>
      </c>
      <c r="L62">
        <f t="shared" si="17"/>
        <v>8.3699999999999997E-2</v>
      </c>
      <c r="M62">
        <f t="shared" si="17"/>
        <v>0.1414</v>
      </c>
    </row>
    <row r="63" spans="1:13" x14ac:dyDescent="0.3">
      <c r="A63" t="s">
        <v>5</v>
      </c>
      <c r="B63">
        <f t="shared" si="16"/>
        <v>0.1414</v>
      </c>
      <c r="C63">
        <f t="shared" si="16"/>
        <v>5.4800000000000001E-2</v>
      </c>
      <c r="D63">
        <f t="shared" si="16"/>
        <v>0.1095</v>
      </c>
      <c r="E63">
        <f t="shared" si="16"/>
        <v>7.0699999999999999E-2</v>
      </c>
      <c r="F63">
        <f t="shared" si="16"/>
        <v>7.0699999999999999E-2</v>
      </c>
      <c r="G63">
        <f t="shared" si="16"/>
        <v>0</v>
      </c>
      <c r="H63">
        <f t="shared" si="16"/>
        <v>0.1414</v>
      </c>
      <c r="I63">
        <f t="shared" si="16"/>
        <v>7.0699999999999999E-2</v>
      </c>
      <c r="J63">
        <f t="shared" si="16"/>
        <v>0.3795</v>
      </c>
      <c r="K63">
        <f t="shared" si="16"/>
        <v>3.1600000000000003E-2</v>
      </c>
      <c r="L63">
        <f t="shared" si="16"/>
        <v>3.1600000000000003E-2</v>
      </c>
      <c r="M63">
        <f t="shared" si="16"/>
        <v>6.3200000000000006E-2</v>
      </c>
    </row>
    <row r="64" spans="1:13" x14ac:dyDescent="0.3">
      <c r="A64" t="s">
        <v>6</v>
      </c>
      <c r="B64">
        <f t="shared" si="16"/>
        <v>7.0699999999999999E-2</v>
      </c>
      <c r="C64">
        <f t="shared" si="16"/>
        <v>5.4800000000000001E-2</v>
      </c>
      <c r="D64">
        <f t="shared" si="16"/>
        <v>0.1095</v>
      </c>
      <c r="E64">
        <f t="shared" si="16"/>
        <v>3.1600000000000003E-2</v>
      </c>
      <c r="F64">
        <f t="shared" si="16"/>
        <v>0.21210000000000001</v>
      </c>
      <c r="G64">
        <f t="shared" si="16"/>
        <v>0.21210000000000001</v>
      </c>
      <c r="H64">
        <f t="shared" si="16"/>
        <v>0</v>
      </c>
      <c r="I64">
        <f t="shared" si="16"/>
        <v>0.1414</v>
      </c>
      <c r="J64">
        <f t="shared" si="16"/>
        <v>0.21210000000000001</v>
      </c>
      <c r="K64">
        <f t="shared" si="16"/>
        <v>5.4800000000000001E-2</v>
      </c>
      <c r="L64">
        <f t="shared" si="16"/>
        <v>5.4800000000000001E-2</v>
      </c>
      <c r="M64">
        <f t="shared" si="16"/>
        <v>0.21210000000000001</v>
      </c>
    </row>
    <row r="65" spans="1:13" x14ac:dyDescent="0.3">
      <c r="A65" t="s">
        <v>7</v>
      </c>
      <c r="B65">
        <f t="shared" si="16"/>
        <v>0.1673</v>
      </c>
      <c r="C65">
        <f t="shared" si="16"/>
        <v>7.0699999999999999E-2</v>
      </c>
      <c r="D65">
        <f t="shared" si="16"/>
        <v>0.1414</v>
      </c>
      <c r="E65">
        <f t="shared" si="16"/>
        <v>7.0699999999999999E-2</v>
      </c>
      <c r="F65">
        <f t="shared" si="16"/>
        <v>0.1095</v>
      </c>
      <c r="G65">
        <f t="shared" si="16"/>
        <v>0.1095</v>
      </c>
      <c r="H65">
        <f t="shared" si="16"/>
        <v>0.1414</v>
      </c>
      <c r="I65">
        <f t="shared" si="16"/>
        <v>0</v>
      </c>
      <c r="J65">
        <f t="shared" si="16"/>
        <v>0.3795</v>
      </c>
      <c r="K65">
        <f t="shared" si="16"/>
        <v>0.3795</v>
      </c>
      <c r="L65">
        <f t="shared" si="16"/>
        <v>0.3347</v>
      </c>
      <c r="M65">
        <f t="shared" si="16"/>
        <v>0.3795</v>
      </c>
    </row>
    <row r="66" spans="1:13" x14ac:dyDescent="0.3">
      <c r="A66" t="s">
        <v>8</v>
      </c>
      <c r="B66">
        <f t="shared" si="16"/>
        <v>0.3347</v>
      </c>
      <c r="C66">
        <f t="shared" si="16"/>
        <v>0.1095</v>
      </c>
      <c r="D66">
        <f t="shared" si="16"/>
        <v>0.1095</v>
      </c>
      <c r="E66">
        <f t="shared" si="16"/>
        <v>0.1414</v>
      </c>
      <c r="F66">
        <f t="shared" si="16"/>
        <v>5.4800000000000001E-2</v>
      </c>
      <c r="G66">
        <f t="shared" si="16"/>
        <v>7.0699999999999999E-2</v>
      </c>
      <c r="H66">
        <f t="shared" si="16"/>
        <v>0.3347</v>
      </c>
      <c r="I66">
        <f t="shared" si="16"/>
        <v>7.0699999999999999E-2</v>
      </c>
      <c r="J66">
        <f t="shared" si="16"/>
        <v>0</v>
      </c>
      <c r="K66">
        <f t="shared" si="16"/>
        <v>0.3347</v>
      </c>
      <c r="L66">
        <f t="shared" si="16"/>
        <v>0.3347</v>
      </c>
      <c r="M66">
        <f t="shared" si="16"/>
        <v>0.3795</v>
      </c>
    </row>
    <row r="67" spans="1:13" x14ac:dyDescent="0.3">
      <c r="A67" t="s">
        <v>9</v>
      </c>
      <c r="B67">
        <f t="shared" si="16"/>
        <v>0.1414</v>
      </c>
      <c r="C67">
        <f t="shared" si="16"/>
        <v>0.1673</v>
      </c>
      <c r="D67">
        <f t="shared" si="16"/>
        <v>0.1095</v>
      </c>
      <c r="E67">
        <f t="shared" si="16"/>
        <v>0.1414</v>
      </c>
      <c r="F67">
        <f t="shared" si="16"/>
        <v>0.21210000000000001</v>
      </c>
      <c r="G67">
        <f t="shared" si="16"/>
        <v>0.1095</v>
      </c>
      <c r="H67">
        <f t="shared" si="16"/>
        <v>5.4800000000000001E-2</v>
      </c>
      <c r="I67">
        <f t="shared" si="16"/>
        <v>0.1095</v>
      </c>
      <c r="J67">
        <f t="shared" si="16"/>
        <v>7.0699999999999999E-2</v>
      </c>
      <c r="K67">
        <f t="shared" si="16"/>
        <v>0</v>
      </c>
      <c r="L67">
        <f t="shared" si="16"/>
        <v>7.0699999999999999E-2</v>
      </c>
      <c r="M67">
        <f t="shared" si="16"/>
        <v>0.1095</v>
      </c>
    </row>
    <row r="68" spans="1:13" x14ac:dyDescent="0.3">
      <c r="A68" t="s">
        <v>10</v>
      </c>
      <c r="B68">
        <f t="shared" si="16"/>
        <v>7.0699999999999999E-2</v>
      </c>
      <c r="C68">
        <f t="shared" si="16"/>
        <v>0.1414</v>
      </c>
      <c r="D68">
        <f t="shared" si="16"/>
        <v>3.1600000000000003E-2</v>
      </c>
      <c r="E68">
        <f t="shared" si="16"/>
        <v>7.0699999999999999E-2</v>
      </c>
      <c r="F68">
        <f t="shared" si="16"/>
        <v>7.0699999999999999E-2</v>
      </c>
      <c r="G68">
        <f t="shared" si="16"/>
        <v>8.3699999999999997E-2</v>
      </c>
      <c r="H68">
        <f t="shared" si="16"/>
        <v>0.1095</v>
      </c>
      <c r="I68">
        <f t="shared" si="16"/>
        <v>7.0699999999999999E-2</v>
      </c>
      <c r="J68">
        <f t="shared" si="16"/>
        <v>0.1095</v>
      </c>
      <c r="K68">
        <f t="shared" si="16"/>
        <v>7.0699999999999999E-2</v>
      </c>
      <c r="L68">
        <f t="shared" si="16"/>
        <v>0</v>
      </c>
      <c r="M68">
        <f t="shared" si="16"/>
        <v>0.3795</v>
      </c>
    </row>
    <row r="69" spans="1:13" x14ac:dyDescent="0.3">
      <c r="A69" t="s">
        <v>11</v>
      </c>
      <c r="B69">
        <f t="shared" si="16"/>
        <v>5.4800000000000001E-2</v>
      </c>
      <c r="C69">
        <f t="shared" si="16"/>
        <v>0.1673</v>
      </c>
      <c r="D69">
        <f t="shared" si="16"/>
        <v>7.0699999999999999E-2</v>
      </c>
      <c r="E69">
        <f t="shared" si="16"/>
        <v>0.21210000000000001</v>
      </c>
      <c r="F69">
        <f t="shared" si="16"/>
        <v>5.4800000000000001E-2</v>
      </c>
      <c r="G69">
        <f t="shared" si="16"/>
        <v>7.0699999999999999E-2</v>
      </c>
      <c r="H69">
        <f t="shared" si="16"/>
        <v>3.1600000000000003E-2</v>
      </c>
      <c r="I69">
        <f t="shared" si="16"/>
        <v>0.1095</v>
      </c>
      <c r="J69">
        <f t="shared" si="16"/>
        <v>7.0699999999999999E-2</v>
      </c>
      <c r="K69">
        <f t="shared" si="16"/>
        <v>0.251</v>
      </c>
      <c r="L69">
        <f t="shared" si="16"/>
        <v>0.1095</v>
      </c>
      <c r="M69">
        <f t="shared" si="16"/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M69"/>
  <sheetViews>
    <sheetView topLeftCell="A45" workbookViewId="0">
      <selection activeCell="O58" sqref="O58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13</v>
      </c>
      <c r="D2" t="s">
        <v>13</v>
      </c>
      <c r="E2" t="s">
        <v>16</v>
      </c>
      <c r="F2" t="s">
        <v>12</v>
      </c>
      <c r="G2" t="s">
        <v>16</v>
      </c>
      <c r="H2" t="s">
        <v>22</v>
      </c>
      <c r="I2" t="s">
        <v>15</v>
      </c>
      <c r="J2" t="s">
        <v>13</v>
      </c>
      <c r="K2" t="s">
        <v>16</v>
      </c>
      <c r="L2" t="s">
        <v>20</v>
      </c>
      <c r="M2" t="s">
        <v>16</v>
      </c>
    </row>
    <row r="3" spans="1:13" x14ac:dyDescent="0.3">
      <c r="A3" s="1" t="s">
        <v>1</v>
      </c>
      <c r="B3" t="s">
        <v>22</v>
      </c>
      <c r="C3">
        <v>0</v>
      </c>
      <c r="D3" t="s">
        <v>18</v>
      </c>
      <c r="E3" t="s">
        <v>25</v>
      </c>
      <c r="F3" t="s">
        <v>15</v>
      </c>
      <c r="G3" t="s">
        <v>18</v>
      </c>
      <c r="H3" t="s">
        <v>18</v>
      </c>
      <c r="I3" t="s">
        <v>16</v>
      </c>
      <c r="J3" t="s">
        <v>25</v>
      </c>
      <c r="K3" t="s">
        <v>18</v>
      </c>
      <c r="L3" t="s">
        <v>13</v>
      </c>
      <c r="M3" t="s">
        <v>18</v>
      </c>
    </row>
    <row r="4" spans="1:13" x14ac:dyDescent="0.3">
      <c r="A4" s="1" t="s">
        <v>2</v>
      </c>
      <c r="B4" t="s">
        <v>12</v>
      </c>
      <c r="C4" t="s">
        <v>16</v>
      </c>
      <c r="D4">
        <v>0</v>
      </c>
      <c r="E4" t="s">
        <v>19</v>
      </c>
      <c r="F4" t="s">
        <v>20</v>
      </c>
      <c r="G4" t="s">
        <v>20</v>
      </c>
      <c r="H4" t="s">
        <v>12</v>
      </c>
      <c r="I4" t="s">
        <v>15</v>
      </c>
      <c r="J4" t="s">
        <v>25</v>
      </c>
      <c r="K4" t="s">
        <v>18</v>
      </c>
      <c r="L4" t="s">
        <v>12</v>
      </c>
      <c r="M4" t="s">
        <v>18</v>
      </c>
    </row>
    <row r="5" spans="1:13" x14ac:dyDescent="0.3">
      <c r="A5" s="1" t="s">
        <v>3</v>
      </c>
      <c r="B5" t="s">
        <v>16</v>
      </c>
      <c r="C5" t="s">
        <v>21</v>
      </c>
      <c r="D5" t="s">
        <v>16</v>
      </c>
      <c r="E5">
        <v>0</v>
      </c>
      <c r="F5" t="s">
        <v>12</v>
      </c>
      <c r="G5" t="s">
        <v>24</v>
      </c>
      <c r="H5" t="s">
        <v>13</v>
      </c>
      <c r="I5" t="s">
        <v>16</v>
      </c>
      <c r="J5" t="s">
        <v>25</v>
      </c>
      <c r="K5" t="s">
        <v>24</v>
      </c>
      <c r="L5" t="s">
        <v>12</v>
      </c>
      <c r="M5" t="s">
        <v>20</v>
      </c>
    </row>
    <row r="6" spans="1:13" x14ac:dyDescent="0.3">
      <c r="A6" s="1" t="s">
        <v>4</v>
      </c>
      <c r="B6" t="s">
        <v>17</v>
      </c>
      <c r="C6" t="s">
        <v>15</v>
      </c>
      <c r="D6" t="s">
        <v>16</v>
      </c>
      <c r="E6" t="s">
        <v>23</v>
      </c>
      <c r="F6">
        <v>0</v>
      </c>
      <c r="G6" t="s">
        <v>13</v>
      </c>
      <c r="H6" t="s">
        <v>71</v>
      </c>
      <c r="I6" t="s">
        <v>15</v>
      </c>
      <c r="J6" t="s">
        <v>13</v>
      </c>
      <c r="K6" t="s">
        <v>13</v>
      </c>
      <c r="L6" t="s">
        <v>17</v>
      </c>
      <c r="M6" t="s">
        <v>16</v>
      </c>
    </row>
    <row r="7" spans="1:13" x14ac:dyDescent="0.3">
      <c r="A7" s="1" t="s">
        <v>5</v>
      </c>
      <c r="B7" t="s">
        <v>15</v>
      </c>
      <c r="C7" t="s">
        <v>22</v>
      </c>
      <c r="D7" t="s">
        <v>20</v>
      </c>
      <c r="E7" t="s">
        <v>24</v>
      </c>
      <c r="F7" t="s">
        <v>16</v>
      </c>
      <c r="G7">
        <v>0</v>
      </c>
      <c r="H7" t="s">
        <v>16</v>
      </c>
      <c r="I7" t="s">
        <v>21</v>
      </c>
      <c r="J7" t="s">
        <v>12</v>
      </c>
      <c r="K7" t="s">
        <v>15</v>
      </c>
      <c r="L7" t="s">
        <v>24</v>
      </c>
      <c r="M7" t="s">
        <v>20</v>
      </c>
    </row>
    <row r="8" spans="1:13" x14ac:dyDescent="0.3">
      <c r="A8" s="1" t="s">
        <v>6</v>
      </c>
      <c r="B8" t="s">
        <v>24</v>
      </c>
      <c r="C8" t="s">
        <v>15</v>
      </c>
      <c r="D8" t="s">
        <v>20</v>
      </c>
      <c r="E8" t="s">
        <v>62</v>
      </c>
      <c r="F8" t="s">
        <v>16</v>
      </c>
      <c r="G8" t="s">
        <v>16</v>
      </c>
      <c r="H8">
        <v>0</v>
      </c>
      <c r="I8" t="s">
        <v>22</v>
      </c>
      <c r="J8" t="s">
        <v>20</v>
      </c>
      <c r="K8" t="s">
        <v>16</v>
      </c>
      <c r="L8" t="s">
        <v>16</v>
      </c>
      <c r="M8" t="s">
        <v>16</v>
      </c>
    </row>
    <row r="9" spans="1:13" x14ac:dyDescent="0.3">
      <c r="A9" s="1" t="s">
        <v>7</v>
      </c>
      <c r="B9" t="s">
        <v>16</v>
      </c>
      <c r="C9" t="s">
        <v>16</v>
      </c>
      <c r="D9" t="s">
        <v>16</v>
      </c>
      <c r="E9" t="s">
        <v>71</v>
      </c>
      <c r="F9" t="s">
        <v>15</v>
      </c>
      <c r="G9" t="s">
        <v>22</v>
      </c>
      <c r="H9" t="s">
        <v>71</v>
      </c>
      <c r="I9">
        <v>0</v>
      </c>
      <c r="J9" t="s">
        <v>16</v>
      </c>
      <c r="K9" t="s">
        <v>18</v>
      </c>
      <c r="L9" t="s">
        <v>12</v>
      </c>
      <c r="M9" t="s">
        <v>13</v>
      </c>
    </row>
    <row r="10" spans="1:13" x14ac:dyDescent="0.3">
      <c r="A10" s="1" t="s">
        <v>8</v>
      </c>
      <c r="B10" t="s">
        <v>21</v>
      </c>
      <c r="C10" t="s">
        <v>20</v>
      </c>
      <c r="D10" t="s">
        <v>15</v>
      </c>
      <c r="E10" t="s">
        <v>16</v>
      </c>
      <c r="F10" t="s">
        <v>24</v>
      </c>
      <c r="G10" t="s">
        <v>15</v>
      </c>
      <c r="H10" t="s">
        <v>13</v>
      </c>
      <c r="I10" t="s">
        <v>16</v>
      </c>
      <c r="J10">
        <v>0</v>
      </c>
      <c r="K10" t="s">
        <v>25</v>
      </c>
      <c r="L10" t="s">
        <v>25</v>
      </c>
      <c r="M10" t="s">
        <v>13</v>
      </c>
    </row>
    <row r="11" spans="1:13" x14ac:dyDescent="0.3">
      <c r="A11" s="1" t="s">
        <v>9</v>
      </c>
      <c r="B11" t="s">
        <v>20</v>
      </c>
      <c r="C11" t="s">
        <v>16</v>
      </c>
      <c r="D11" t="s">
        <v>24</v>
      </c>
      <c r="E11" t="s">
        <v>24</v>
      </c>
      <c r="F11" t="s">
        <v>24</v>
      </c>
      <c r="G11" t="s">
        <v>24</v>
      </c>
      <c r="H11" t="s">
        <v>71</v>
      </c>
      <c r="I11" t="s">
        <v>15</v>
      </c>
      <c r="J11" t="s">
        <v>24</v>
      </c>
      <c r="K11">
        <v>0</v>
      </c>
      <c r="L11" t="s">
        <v>24</v>
      </c>
      <c r="M11" t="s">
        <v>16</v>
      </c>
    </row>
    <row r="12" spans="1:13" x14ac:dyDescent="0.3">
      <c r="A12" s="1" t="s">
        <v>10</v>
      </c>
      <c r="B12" t="s">
        <v>24</v>
      </c>
      <c r="C12" t="s">
        <v>20</v>
      </c>
      <c r="D12" t="s">
        <v>16</v>
      </c>
      <c r="E12" t="s">
        <v>16</v>
      </c>
      <c r="F12" t="s">
        <v>15</v>
      </c>
      <c r="G12" t="s">
        <v>16</v>
      </c>
      <c r="H12" t="s">
        <v>23</v>
      </c>
      <c r="I12" t="s">
        <v>22</v>
      </c>
      <c r="J12" t="s">
        <v>16</v>
      </c>
      <c r="K12" t="s">
        <v>17</v>
      </c>
      <c r="L12">
        <v>0</v>
      </c>
      <c r="M12" t="s">
        <v>13</v>
      </c>
    </row>
    <row r="13" spans="1:13" x14ac:dyDescent="0.3">
      <c r="A13" s="1" t="s">
        <v>11</v>
      </c>
      <c r="B13" t="s">
        <v>15</v>
      </c>
      <c r="C13" t="s">
        <v>16</v>
      </c>
      <c r="D13" t="s">
        <v>24</v>
      </c>
      <c r="E13" t="s">
        <v>16</v>
      </c>
      <c r="F13" t="s">
        <v>15</v>
      </c>
      <c r="G13" t="s">
        <v>21</v>
      </c>
      <c r="H13" t="s">
        <v>24</v>
      </c>
      <c r="I13" t="s">
        <v>71</v>
      </c>
      <c r="J13" t="s">
        <v>22</v>
      </c>
      <c r="K13" t="s">
        <v>24</v>
      </c>
      <c r="L13" t="s">
        <v>16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(0,1897; 0,2846; 0,3795)</v>
      </c>
      <c r="D16" t="str">
        <f>VLOOKUP(D2,'Thang đánh giá'!$C$2:$D$27,2,FALSE)</f>
        <v>(0,1897; 0,2846; 0,3795)</v>
      </c>
      <c r="E16" t="str">
        <f>VLOOKUP(E2,'Thang đánh giá'!$C$2:$D$27,2,FALSE)</f>
        <v>(0; 0; 0,0707)</v>
      </c>
      <c r="F16" t="str">
        <f>VLOOKUP(F2,'Thang đánh giá'!$C$2:$D$27,2,FALSE)</f>
        <v>(0,1673; 0,251; 0,3347)</v>
      </c>
      <c r="G16" t="str">
        <f>VLOOKUP(G2,'Thang đánh giá'!$C$2:$D$27,2,FALSE)</f>
        <v>(0; 0; 0,0707)</v>
      </c>
      <c r="H16" t="str">
        <f>VLOOKUP(H2,'Thang đánh giá'!$C$2:$D$27,2,FALSE)</f>
        <v>(0,0707; 0,1414; 0,2121)</v>
      </c>
      <c r="I16" t="str">
        <f>VLOOKUP(I2,'Thang đánh giá'!$C$2:$D$27,2,FALSE)</f>
        <v>(0; 0,0707; 0,1414)</v>
      </c>
      <c r="J16" t="str">
        <f>VLOOKUP(J2,'Thang đánh giá'!$C$2:$D$27,2,FALSE)</f>
        <v>(0,1897; 0,2846; 0,3795)</v>
      </c>
      <c r="K16" t="str">
        <f>VLOOKUP(K2,'Thang đánh giá'!$C$2:$D$27,2,FALSE)</f>
        <v>(0; 0; 0,0707)</v>
      </c>
      <c r="L16" t="str">
        <f>VLOOKUP(L2,'Thang đánh giá'!$C$2:$D$27,2,FALSE)</f>
        <v>(0; 0,0548; 0,1095)</v>
      </c>
      <c r="M16" t="str">
        <f>VLOOKUP(M2,'Thang đánh giá'!$C$2:$D$27,2,FALSE)</f>
        <v>(0; 0; 0,0707)</v>
      </c>
    </row>
    <row r="17" spans="1:13" x14ac:dyDescent="0.3">
      <c r="A17" t="s">
        <v>1</v>
      </c>
      <c r="B17" t="str">
        <f>VLOOKUP(B3,'Thang đánh giá'!$C$2:$D$27,2,FALSE)</f>
        <v>(0,0707; 0,1414; 0,2121)</v>
      </c>
      <c r="C17" t="str">
        <f>VLOOKUP(C3,'Thang đánh giá'!$C$2:$D$27,2,FALSE)</f>
        <v>(0; 0; 0)</v>
      </c>
      <c r="D17" t="str">
        <f>VLOOKUP(D3,'Thang đánh giá'!$C$2:$D$27,2,FALSE)</f>
        <v>(0,2846; 0,3795; 0,3795)</v>
      </c>
      <c r="E17" t="str">
        <f>VLOOKUP(E3,'Thang đánh giá'!$C$2:$D$27,2,FALSE)</f>
        <v>(0,251; 0,3347; 0,3347)</v>
      </c>
      <c r="F17" t="str">
        <f>VLOOKUP(F3,'Thang đánh giá'!$C$2:$D$27,2,FALSE)</f>
        <v>(0; 0,0707; 0,1414)</v>
      </c>
      <c r="G17" t="str">
        <f>VLOOKUP(G3,'Thang đánh giá'!$C$2:$D$27,2,FALSE)</f>
        <v>(0,2846; 0,3795; 0,3795)</v>
      </c>
      <c r="H17" t="str">
        <f>VLOOKUP(H3,'Thang đánh giá'!$C$2:$D$27,2,FALSE)</f>
        <v>(0,2846; 0,3795; 0,3795)</v>
      </c>
      <c r="I17" t="str">
        <f>VLOOKUP(I3,'Thang đánh giá'!$C$2:$D$27,2,FALSE)</f>
        <v>(0; 0; 0,0707)</v>
      </c>
      <c r="J17" t="str">
        <f>VLOOKUP(J3,'Thang đánh giá'!$C$2:$D$27,2,FALSE)</f>
        <v>(0,251; 0,3347; 0,3347)</v>
      </c>
      <c r="K17" t="str">
        <f>VLOOKUP(K3,'Thang đánh giá'!$C$2:$D$27,2,FALSE)</f>
        <v>(0,2846; 0,3795; 0,3795)</v>
      </c>
      <c r="L17" t="str">
        <f>VLOOKUP(L3,'Thang đánh giá'!$C$2:$D$27,2,FALSE)</f>
        <v>(0,1897; 0,2846; 0,3795)</v>
      </c>
      <c r="M17" t="str">
        <f>VLOOKUP(M3,'Thang đánh giá'!$C$2:$D$27,2,FALSE)</f>
        <v>(0,2846; 0,3795; 0,3795)</v>
      </c>
    </row>
    <row r="18" spans="1:13" x14ac:dyDescent="0.3">
      <c r="A18" t="s">
        <v>2</v>
      </c>
      <c r="B18" t="str">
        <f>VLOOKUP(B4,'Thang đánh giá'!$C$2:$D$27,2,FALSE)</f>
        <v>(0,1673; 0,251; 0,3347)</v>
      </c>
      <c r="C18" t="str">
        <f>VLOOKUP(C4,'Thang đánh giá'!$C$2:$D$27,2,FALSE)</f>
        <v>(0; 0; 0,0707)</v>
      </c>
      <c r="D18" t="str">
        <f>VLOOKUP(D4,'Thang đánh giá'!$C$2:$D$27,2,FALSE)</f>
        <v>(0; 0; 0)</v>
      </c>
      <c r="E18" t="str">
        <f>VLOOKUP(E4,'Thang đánh giá'!$C$2:$D$27,2,FALSE)</f>
        <v>(0,1414; 0,2121; 0,2828)</v>
      </c>
      <c r="F18" t="str">
        <f>VLOOKUP(F4,'Thang đánh giá'!$C$2:$D$27,2,FALSE)</f>
        <v>(0; 0,0548; 0,1095)</v>
      </c>
      <c r="G18" t="str">
        <f>VLOOKUP(G4,'Thang đánh giá'!$C$2:$D$27,2,FALSE)</f>
        <v>(0; 0,0548; 0,1095)</v>
      </c>
      <c r="H18" t="str">
        <f>VLOOKUP(H4,'Thang đánh giá'!$C$2:$D$27,2,FALSE)</f>
        <v>(0,1673; 0,251; 0,3347)</v>
      </c>
      <c r="I18" t="str">
        <f>VLOOKUP(I4,'Thang đánh giá'!$C$2:$D$27,2,FALSE)</f>
        <v>(0; 0,0707; 0,1414)</v>
      </c>
      <c r="J18" t="str">
        <f>VLOOKUP(J4,'Thang đánh giá'!$C$2:$D$27,2,FALSE)</f>
        <v>(0,251; 0,3347; 0,3347)</v>
      </c>
      <c r="K18" t="str">
        <f>VLOOKUP(K4,'Thang đánh giá'!$C$2:$D$27,2,FALSE)</f>
        <v>(0,2846; 0,3795; 0,3795)</v>
      </c>
      <c r="L18" t="str">
        <f>VLOOKUP(L4,'Thang đánh giá'!$C$2:$D$27,2,FALSE)</f>
        <v>(0,1673; 0,251; 0,3347)</v>
      </c>
      <c r="M18" t="str">
        <f>VLOOKUP(M4,'Thang đánh giá'!$C$2:$D$27,2,FALSE)</f>
        <v>(0,2846; 0,3795; 0,3795)</v>
      </c>
    </row>
    <row r="19" spans="1:13" x14ac:dyDescent="0.3">
      <c r="A19" t="s">
        <v>3</v>
      </c>
      <c r="B19" t="str">
        <f>VLOOKUP(B5,'Thang đánh giá'!$C$2:$D$27,2,FALSE)</f>
        <v>(0; 0; 0,0707)</v>
      </c>
      <c r="C19" t="str">
        <f>VLOOKUP(C5,'Thang đánh giá'!$C$2:$D$27,2,FALSE)</f>
        <v>(0,0837; 0,1673; 0,251)</v>
      </c>
      <c r="D19" t="str">
        <f>VLOOKUP(D5,'Thang đánh giá'!$C$2:$D$27,2,FALSE)</f>
        <v>(0; 0; 0,0707)</v>
      </c>
      <c r="E19" t="str">
        <f>VLOOKUP(E5,'Thang đánh giá'!$C$2:$D$27,2,FALSE)</f>
        <v>(0; 0; 0)</v>
      </c>
      <c r="F19" t="str">
        <f>VLOOKUP(F5,'Thang đánh giá'!$C$2:$D$27,2,FALSE)</f>
        <v>(0,1673; 0,251; 0,3347)</v>
      </c>
      <c r="G19" t="str">
        <f>VLOOKUP(G5,'Thang đánh giá'!$C$2:$D$27,2,FALSE)</f>
        <v>(0; 0; 0,0548)</v>
      </c>
      <c r="H19" t="str">
        <f>VLOOKUP(H5,'Thang đánh giá'!$C$2:$D$27,2,FALSE)</f>
        <v>(0,1897; 0,2846; 0,3795)</v>
      </c>
      <c r="I19" t="str">
        <f>VLOOKUP(I5,'Thang đánh giá'!$C$2:$D$27,2,FALSE)</f>
        <v>(0; 0; 0,0707)</v>
      </c>
      <c r="J19" t="str">
        <f>VLOOKUP(J5,'Thang đánh giá'!$C$2:$D$27,2,FALSE)</f>
        <v>(0,251; 0,3347; 0,3347)</v>
      </c>
      <c r="K19" t="str">
        <f>VLOOKUP(K5,'Thang đánh giá'!$C$2:$D$27,2,FALSE)</f>
        <v>(0; 0; 0,0548)</v>
      </c>
      <c r="L19" t="str">
        <f>VLOOKUP(L5,'Thang đánh giá'!$C$2:$D$27,2,FALSE)</f>
        <v>(0,1673; 0,251; 0,3347)</v>
      </c>
      <c r="M19" t="str">
        <f>VLOOKUP(M5,'Thang đánh giá'!$C$2:$D$27,2,FALSE)</f>
        <v>(0; 0,0548; 0,1095)</v>
      </c>
    </row>
    <row r="20" spans="1:13" x14ac:dyDescent="0.3">
      <c r="A20" t="s">
        <v>4</v>
      </c>
      <c r="B20" t="str">
        <f>VLOOKUP(B6,'Thang đánh giá'!$C$2:$D$27,2,FALSE)</f>
        <v>(0; 0,0316; 0,0632)</v>
      </c>
      <c r="C20" t="str">
        <f>VLOOKUP(C6,'Thang đánh giá'!$C$2:$D$27,2,FALSE)</f>
        <v>(0; 0,0707; 0,1414)</v>
      </c>
      <c r="D20" t="str">
        <f>VLOOKUP(D6,'Thang đánh giá'!$C$2:$D$27,2,FALSE)</f>
        <v>(0; 0; 0,0707)</v>
      </c>
      <c r="E20" t="str">
        <f>VLOOKUP(E6,'Thang đánh giá'!$C$2:$D$27,2,FALSE)</f>
        <v>(0; 0; 0,0316)</v>
      </c>
      <c r="F20" t="str">
        <f>VLOOKUP(F6,'Thang đánh giá'!$C$2:$D$27,2,FALSE)</f>
        <v>(0; 0; 0)</v>
      </c>
      <c r="G20" t="str">
        <f>VLOOKUP(G6,'Thang đánh giá'!$C$2:$D$27,2,FALSE)</f>
        <v>(0,1897; 0,2846; 0,3795)</v>
      </c>
      <c r="H20" t="str">
        <f>VLOOKUP(H6,'Thang đánh giá'!$C$2:$D$27,2,FALSE)</f>
        <v>(0; 0; 0,0837)</v>
      </c>
      <c r="I20" t="str">
        <f>VLOOKUP(I6,'Thang đánh giá'!$C$2:$D$27,2,FALSE)</f>
        <v>(0; 0,0707; 0,1414)</v>
      </c>
      <c r="J20" t="str">
        <f>VLOOKUP(J6,'Thang đánh giá'!$C$2:$D$27,2,FALSE)</f>
        <v>(0,1897; 0,2846; 0,3795)</v>
      </c>
      <c r="K20" t="str">
        <f>VLOOKUP(K6,'Thang đánh giá'!$C$2:$D$27,2,FALSE)</f>
        <v>(0,1897; 0,2846; 0,3795)</v>
      </c>
      <c r="L20" t="str">
        <f>VLOOKUP(L6,'Thang đánh giá'!$C$2:$D$27,2,FALSE)</f>
        <v>(0; 0,0316; 0,0632)</v>
      </c>
      <c r="M20" t="str">
        <f>VLOOKUP(M6,'Thang đánh giá'!$C$2:$D$27,2,FALSE)</f>
        <v>(0; 0; 0,0707)</v>
      </c>
    </row>
    <row r="21" spans="1:13" x14ac:dyDescent="0.3">
      <c r="A21" t="s">
        <v>5</v>
      </c>
      <c r="B21" t="str">
        <f>VLOOKUP(B7,'Thang đánh giá'!$C$2:$D$27,2,FALSE)</f>
        <v>(0; 0,0707; 0,1414)</v>
      </c>
      <c r="C21" t="str">
        <f>VLOOKUP(C7,'Thang đánh giá'!$C$2:$D$27,2,FALSE)</f>
        <v>(0,0707; 0,1414; 0,2121)</v>
      </c>
      <c r="D21" t="str">
        <f>VLOOKUP(D7,'Thang đánh giá'!$C$2:$D$27,2,FALSE)</f>
        <v>(0; 0,0548; 0,1095)</v>
      </c>
      <c r="E21" t="str">
        <f>VLOOKUP(E7,'Thang đánh giá'!$C$2:$D$27,2,FALSE)</f>
        <v>(0; 0; 0,0548)</v>
      </c>
      <c r="F21" t="str">
        <f>VLOOKUP(F7,'Thang đánh giá'!$C$2:$D$27,2,FALSE)</f>
        <v>(0; 0; 0,0707)</v>
      </c>
      <c r="G21" t="str">
        <f>VLOOKUP(G7,'Thang đánh giá'!$C$2:$D$27,2,FALSE)</f>
        <v>(0; 0; 0)</v>
      </c>
      <c r="H21" t="str">
        <f>VLOOKUP(H7,'Thang đánh giá'!$C$2:$D$27,2,FALSE)</f>
        <v>(0; 0; 0,0707)</v>
      </c>
      <c r="I21" t="str">
        <f>VLOOKUP(I7,'Thang đánh giá'!$C$2:$D$27,2,FALSE)</f>
        <v>(0,0837; 0,1673; 0,251)</v>
      </c>
      <c r="J21" t="str">
        <f>VLOOKUP(J7,'Thang đánh giá'!$C$2:$D$27,2,FALSE)</f>
        <v>(0,1673; 0,251; 0,3347)</v>
      </c>
      <c r="K21" t="str">
        <f>VLOOKUP(K7,'Thang đánh giá'!$C$2:$D$27,2,FALSE)</f>
        <v>(0; 0,0707; 0,1414)</v>
      </c>
      <c r="L21" t="str">
        <f>VLOOKUP(L7,'Thang đánh giá'!$C$2:$D$27,2,FALSE)</f>
        <v>(0; 0; 0,0548)</v>
      </c>
      <c r="M21" t="str">
        <f>VLOOKUP(M7,'Thang đánh giá'!$C$2:$D$27,2,FALSE)</f>
        <v>(0; 0,0548; 0,1095)</v>
      </c>
    </row>
    <row r="22" spans="1:13" x14ac:dyDescent="0.3">
      <c r="A22" t="s">
        <v>6</v>
      </c>
      <c r="B22" t="str">
        <f>VLOOKUP(B8,'Thang đánh giá'!$C$2:$D$27,2,FALSE)</f>
        <v>(0; 0; 0,0548)</v>
      </c>
      <c r="C22" t="str">
        <f>VLOOKUP(C8,'Thang đánh giá'!$C$2:$D$27,2,FALSE)</f>
        <v>(0; 0,0707; 0,1414)</v>
      </c>
      <c r="D22" t="str">
        <f>VLOOKUP(D8,'Thang đánh giá'!$C$2:$D$27,2,FALSE)</f>
        <v>(0; 0,0548; 0,1095)</v>
      </c>
      <c r="E22" t="str">
        <f>VLOOKUP(E8,'Thang đánh giá'!$C$2:$D$27,2,FALSE)</f>
        <v>(0; 0,0837; 0,1673)</v>
      </c>
      <c r="F22" t="str">
        <f>VLOOKUP(F8,'Thang đánh giá'!$C$2:$D$27,2,FALSE)</f>
        <v>(0; 0; 0,0707)</v>
      </c>
      <c r="G22" t="str">
        <f>VLOOKUP(G8,'Thang đánh giá'!$C$2:$D$27,2,FALSE)</f>
        <v>(0; 0; 0,0707)</v>
      </c>
      <c r="H22" t="str">
        <f>VLOOKUP(H8,'Thang đánh giá'!$C$2:$D$27,2,FALSE)</f>
        <v>(0; 0; 0)</v>
      </c>
      <c r="I22" t="str">
        <f>VLOOKUP(I8,'Thang đánh giá'!$C$2:$D$27,2,FALSE)</f>
        <v>(0,0707; 0,1414; 0,2121)</v>
      </c>
      <c r="J22" t="str">
        <f>VLOOKUP(J8,'Thang đánh giá'!$C$2:$D$27,2,FALSE)</f>
        <v>(0; 0,0548; 0,1095)</v>
      </c>
      <c r="K22" t="str">
        <f>VLOOKUP(K8,'Thang đánh giá'!$C$2:$D$27,2,FALSE)</f>
        <v>(0; 0; 0,0707)</v>
      </c>
      <c r="L22" t="str">
        <f>VLOOKUP(L8,'Thang đánh giá'!$C$2:$D$27,2,FALSE)</f>
        <v>(0; 0; 0,0707)</v>
      </c>
      <c r="M22" t="str">
        <f>VLOOKUP(M8,'Thang đánh giá'!$C$2:$D$27,2,FALSE)</f>
        <v>(0; 0; 0,0707)</v>
      </c>
    </row>
    <row r="23" spans="1:13" x14ac:dyDescent="0.3">
      <c r="A23" t="s">
        <v>7</v>
      </c>
      <c r="B23" t="str">
        <f>VLOOKUP(B9,'Thang đánh giá'!$C$2:$D$27,2,FALSE)</f>
        <v>(0; 0; 0,0707)</v>
      </c>
      <c r="C23" t="str">
        <f>VLOOKUP(C9,'Thang đánh giá'!$C$2:$D$27,2,FALSE)</f>
        <v>(0; 0; 0,0707)</v>
      </c>
      <c r="D23" t="str">
        <f>VLOOKUP(D9,'Thang đánh giá'!$C$2:$D$27,2,FALSE)</f>
        <v>(0; 0; 0,0707)</v>
      </c>
      <c r="E23" t="str">
        <f>VLOOKUP(E9,'Thang đánh giá'!$C$2:$D$27,2,FALSE)</f>
        <v>(0; 0; 0,0837)</v>
      </c>
      <c r="F23" t="str">
        <f>VLOOKUP(F9,'Thang đánh giá'!$C$2:$D$27,2,FALSE)</f>
        <v>(0; 0,0707; 0,1414)</v>
      </c>
      <c r="G23" t="str">
        <f>VLOOKUP(G9,'Thang đánh giá'!$C$2:$D$27,2,FALSE)</f>
        <v>(0,0707; 0,1414; 0,2121)</v>
      </c>
      <c r="H23" t="str">
        <f>VLOOKUP(H9,'Thang đánh giá'!$C$2:$D$27,2,FALSE)</f>
        <v>(0; 0; 0,0837)</v>
      </c>
      <c r="I23" t="str">
        <f>VLOOKUP(I9,'Thang đánh giá'!$C$2:$D$27,2,FALSE)</f>
        <v>(0; 0; 0)</v>
      </c>
      <c r="J23" t="str">
        <f>VLOOKUP(J9,'Thang đánh giá'!$C$2:$D$27,2,FALSE)</f>
        <v>(0; 0; 0,0707)</v>
      </c>
      <c r="K23" t="str">
        <f>VLOOKUP(K9,'Thang đánh giá'!$C$2:$D$27,2,FALSE)</f>
        <v>(0,2846; 0,3795; 0,3795)</v>
      </c>
      <c r="L23" t="str">
        <f>VLOOKUP(L9,'Thang đánh giá'!$C$2:$D$27,2,FALSE)</f>
        <v>(0,1673; 0,251; 0,3347)</v>
      </c>
      <c r="M23" t="str">
        <f>VLOOKUP(M9,'Thang đánh giá'!$C$2:$D$27,2,FALSE)</f>
        <v>(0,1897; 0,2846; 0,3795)</v>
      </c>
    </row>
    <row r="24" spans="1:13" x14ac:dyDescent="0.3">
      <c r="A24" t="s">
        <v>8</v>
      </c>
      <c r="B24" t="str">
        <f>VLOOKUP(B10,'Thang đánh giá'!$C$2:$D$27,2,FALSE)</f>
        <v>(0,0837; 0,1673; 0,251)</v>
      </c>
      <c r="C24" t="str">
        <f>VLOOKUP(C10,'Thang đánh giá'!$C$2:$D$27,2,FALSE)</f>
        <v>(0; 0,0548; 0,1095)</v>
      </c>
      <c r="D24" t="str">
        <f>VLOOKUP(D10,'Thang đánh giá'!$C$2:$D$27,2,FALSE)</f>
        <v>(0; 0,0707; 0,1414)</v>
      </c>
      <c r="E24" t="str">
        <f>VLOOKUP(E10,'Thang đánh giá'!$C$2:$D$27,2,FALSE)</f>
        <v>(0; 0; 0,0707)</v>
      </c>
      <c r="F24" t="str">
        <f>VLOOKUP(F10,'Thang đánh giá'!$C$2:$D$27,2,FALSE)</f>
        <v>(0; 0; 0,0548)</v>
      </c>
      <c r="G24" t="str">
        <f>VLOOKUP(G10,'Thang đánh giá'!$C$2:$D$27,2,FALSE)</f>
        <v>(0; 0,0707; 0,1414)</v>
      </c>
      <c r="H24" t="str">
        <f>VLOOKUP(H10,'Thang đánh giá'!$C$2:$D$27,2,FALSE)</f>
        <v>(0,1897; 0,2846; 0,3795)</v>
      </c>
      <c r="I24" t="str">
        <f>VLOOKUP(I10,'Thang đánh giá'!$C$2:$D$27,2,FALSE)</f>
        <v>(0; 0; 0,0707)</v>
      </c>
      <c r="J24" t="str">
        <f>VLOOKUP(J10,'Thang đánh giá'!$C$2:$D$27,2,FALSE)</f>
        <v>(0; 0; 0)</v>
      </c>
      <c r="K24" t="str">
        <f>VLOOKUP(K10,'Thang đánh giá'!$C$2:$D$27,2,FALSE)</f>
        <v>(0,251; 0,3347; 0,3347)</v>
      </c>
      <c r="L24" t="str">
        <f>VLOOKUP(L10,'Thang đánh giá'!$C$2:$D$27,2,FALSE)</f>
        <v>(0,251; 0,3347; 0,3347)</v>
      </c>
      <c r="M24" t="str">
        <f>VLOOKUP(M10,'Thang đánh giá'!$C$2:$D$27,2,FALSE)</f>
        <v>(0,1897; 0,2846; 0,3795)</v>
      </c>
    </row>
    <row r="25" spans="1:13" x14ac:dyDescent="0.3">
      <c r="A25" t="s">
        <v>9</v>
      </c>
      <c r="B25" t="str">
        <f>VLOOKUP(B11,'Thang đánh giá'!$C$2:$D$27,2,FALSE)</f>
        <v>(0; 0,0548; 0,1095)</v>
      </c>
      <c r="C25" t="str">
        <f>VLOOKUP(C11,'Thang đánh giá'!$C$2:$D$27,2,FALSE)</f>
        <v>(0; 0; 0,0707)</v>
      </c>
      <c r="D25" t="str">
        <f>VLOOKUP(D11,'Thang đánh giá'!$C$2:$D$27,2,FALSE)</f>
        <v>(0; 0; 0,0548)</v>
      </c>
      <c r="E25" t="str">
        <f>VLOOKUP(E11,'Thang đánh giá'!$C$2:$D$27,2,FALSE)</f>
        <v>(0; 0; 0,0548)</v>
      </c>
      <c r="F25" t="str">
        <f>VLOOKUP(F11,'Thang đánh giá'!$C$2:$D$27,2,FALSE)</f>
        <v>(0; 0; 0,0548)</v>
      </c>
      <c r="G25" t="str">
        <f>VLOOKUP(G11,'Thang đánh giá'!$C$2:$D$27,2,FALSE)</f>
        <v>(0; 0; 0,0548)</v>
      </c>
      <c r="H25" t="str">
        <f>VLOOKUP(H11,'Thang đánh giá'!$C$2:$D$27,2,FALSE)</f>
        <v>(0; 0; 0,0837)</v>
      </c>
      <c r="I25" t="str">
        <f>VLOOKUP(I11,'Thang đánh giá'!$C$2:$D$27,2,FALSE)</f>
        <v>(0; 0,0707; 0,1414)</v>
      </c>
      <c r="J25" t="str">
        <f>VLOOKUP(J11,'Thang đánh giá'!$C$2:$D$27,2,FALSE)</f>
        <v>(0; 0; 0,0548)</v>
      </c>
      <c r="K25" t="str">
        <f>VLOOKUP(K11,'Thang đánh giá'!$C$2:$D$27,2,FALSE)</f>
        <v>(0; 0; 0)</v>
      </c>
      <c r="L25" t="str">
        <f>VLOOKUP(L11,'Thang đánh giá'!$C$2:$D$27,2,FALSE)</f>
        <v>(0; 0; 0,0548)</v>
      </c>
      <c r="M25" t="str">
        <f>VLOOKUP(M11,'Thang đánh giá'!$C$2:$D$27,2,FALSE)</f>
        <v>(0; 0; 0,0707)</v>
      </c>
    </row>
    <row r="26" spans="1:13" x14ac:dyDescent="0.3">
      <c r="A26" t="s">
        <v>10</v>
      </c>
      <c r="B26" t="str">
        <f>VLOOKUP(B12,'Thang đánh giá'!$C$2:$D$27,2,FALSE)</f>
        <v>(0; 0; 0,0548)</v>
      </c>
      <c r="C26" t="str">
        <f>VLOOKUP(C12,'Thang đánh giá'!$C$2:$D$27,2,FALSE)</f>
        <v>(0; 0,0548; 0,1095)</v>
      </c>
      <c r="D26" t="str">
        <f>VLOOKUP(D12,'Thang đánh giá'!$C$2:$D$27,2,FALSE)</f>
        <v>(0; 0; 0,0707)</v>
      </c>
      <c r="E26" t="str">
        <f>VLOOKUP(E12,'Thang đánh giá'!$C$2:$D$27,2,FALSE)</f>
        <v>(0; 0; 0,0707)</v>
      </c>
      <c r="F26" t="str">
        <f>VLOOKUP(F12,'Thang đánh giá'!$C$2:$D$27,2,FALSE)</f>
        <v>(0; 0,0707; 0,1414)</v>
      </c>
      <c r="G26" t="str">
        <f>VLOOKUP(G12,'Thang đánh giá'!$C$2:$D$27,2,FALSE)</f>
        <v>(0; 0; 0,0707)</v>
      </c>
      <c r="H26" t="str">
        <f>VLOOKUP(H12,'Thang đánh giá'!$C$2:$D$27,2,FALSE)</f>
        <v>(0; 0; 0,0316)</v>
      </c>
      <c r="I26" t="str">
        <f>VLOOKUP(I12,'Thang đánh giá'!$C$2:$D$27,2,FALSE)</f>
        <v>(0,0707; 0,1414; 0,2121)</v>
      </c>
      <c r="J26" t="str">
        <f>VLOOKUP(J12,'Thang đánh giá'!$C$2:$D$27,2,FALSE)</f>
        <v>(0; 0; 0,0707)</v>
      </c>
      <c r="K26" t="str">
        <f>VLOOKUP(K12,'Thang đánh giá'!$C$2:$D$27,2,FALSE)</f>
        <v>(0; 0,0316; 0,0632)</v>
      </c>
      <c r="L26" t="str">
        <f>VLOOKUP(L12,'Thang đánh giá'!$C$2:$D$27,2,FALSE)</f>
        <v>(0; 0; 0)</v>
      </c>
      <c r="M26" t="str">
        <f>VLOOKUP(M12,'Thang đánh giá'!$C$2:$D$27,2,FALSE)</f>
        <v>(0,1897; 0,2846; 0,3795)</v>
      </c>
    </row>
    <row r="27" spans="1:13" x14ac:dyDescent="0.3">
      <c r="A27" t="s">
        <v>11</v>
      </c>
      <c r="B27" t="str">
        <f>VLOOKUP(B13,'Thang đánh giá'!$C$2:$D$27,2,FALSE)</f>
        <v>(0; 0,0707; 0,1414)</v>
      </c>
      <c r="C27" t="str">
        <f>VLOOKUP(C13,'Thang đánh giá'!$C$2:$D$27,2,FALSE)</f>
        <v>(0; 0; 0,0707)</v>
      </c>
      <c r="D27" t="str">
        <f>VLOOKUP(D13,'Thang đánh giá'!$C$2:$D$27,2,FALSE)</f>
        <v>(0; 0; 0,0548)</v>
      </c>
      <c r="E27" t="str">
        <f>VLOOKUP(E13,'Thang đánh giá'!$C$2:$D$27,2,FALSE)</f>
        <v>(0; 0; 0,0707)</v>
      </c>
      <c r="F27" t="str">
        <f>VLOOKUP(F13,'Thang đánh giá'!$C$2:$D$27,2,FALSE)</f>
        <v>(0; 0,0707; 0,1414)</v>
      </c>
      <c r="G27" t="str">
        <f>VLOOKUP(G13,'Thang đánh giá'!$C$2:$D$27,2,FALSE)</f>
        <v>(0,0837; 0,1673; 0,251)</v>
      </c>
      <c r="H27" t="str">
        <f>VLOOKUP(H13,'Thang đánh giá'!$C$2:$D$27,2,FALSE)</f>
        <v>(0; 0; 0,0548)</v>
      </c>
      <c r="I27" t="str">
        <f>VLOOKUP(I13,'Thang đánh giá'!$C$2:$D$27,2,FALSE)</f>
        <v>(0; 0; 0,0837)</v>
      </c>
      <c r="J27" t="str">
        <f>VLOOKUP(J13,'Thang đánh giá'!$C$2:$D$27,2,FALSE)</f>
        <v>(0,0707; 0,1414; 0,2121)</v>
      </c>
      <c r="K27" t="str">
        <f>VLOOKUP(K13,'Thang đánh giá'!$C$2:$D$27,2,FALSE)</f>
        <v>(0; 0; 0,0548)</v>
      </c>
      <c r="L27" t="str">
        <f>VLOOKUP(L13,'Thang đánh giá'!$C$2:$D$27,2,FALSE)</f>
        <v>(0; 0; 0,0707)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0.18970000000000001</v>
      </c>
      <c r="D30">
        <f t="shared" si="0"/>
        <v>0.18970000000000001</v>
      </c>
      <c r="E30">
        <f t="shared" si="0"/>
        <v>0</v>
      </c>
      <c r="F30">
        <f t="shared" si="0"/>
        <v>0.1673</v>
      </c>
      <c r="G30">
        <f t="shared" si="0"/>
        <v>0</v>
      </c>
      <c r="H30">
        <f t="shared" si="0"/>
        <v>7.0699999999999999E-2</v>
      </c>
      <c r="I30">
        <f t="shared" si="0"/>
        <v>0</v>
      </c>
      <c r="J30">
        <f t="shared" si="0"/>
        <v>0.18970000000000001</v>
      </c>
      <c r="K30">
        <f t="shared" si="0"/>
        <v>0</v>
      </c>
      <c r="L30">
        <f t="shared" si="0"/>
        <v>0</v>
      </c>
      <c r="M30">
        <f t="shared" si="0"/>
        <v>0</v>
      </c>
    </row>
    <row r="31" spans="1:13" x14ac:dyDescent="0.3">
      <c r="A31" t="s">
        <v>1</v>
      </c>
      <c r="B31">
        <f t="shared" ref="B31:M41" si="1">_xlfn.NUMBERVALUE(MID(B17,2,FIND(";",B17,1)-2))</f>
        <v>7.0699999999999999E-2</v>
      </c>
      <c r="C31">
        <f t="shared" si="1"/>
        <v>0</v>
      </c>
      <c r="D31">
        <f t="shared" si="1"/>
        <v>0.28460000000000002</v>
      </c>
      <c r="E31">
        <f t="shared" si="1"/>
        <v>0.251</v>
      </c>
      <c r="F31">
        <f t="shared" si="1"/>
        <v>0</v>
      </c>
      <c r="G31">
        <f t="shared" si="1"/>
        <v>0.28460000000000002</v>
      </c>
      <c r="H31">
        <f t="shared" si="1"/>
        <v>0.28460000000000002</v>
      </c>
      <c r="I31">
        <f t="shared" si="1"/>
        <v>0</v>
      </c>
      <c r="J31">
        <f t="shared" si="1"/>
        <v>0.251</v>
      </c>
      <c r="K31">
        <f t="shared" si="1"/>
        <v>0.28460000000000002</v>
      </c>
      <c r="L31">
        <f t="shared" si="1"/>
        <v>0.18970000000000001</v>
      </c>
      <c r="M31">
        <f t="shared" si="1"/>
        <v>0.28460000000000002</v>
      </c>
    </row>
    <row r="32" spans="1:13" x14ac:dyDescent="0.3">
      <c r="A32" t="s">
        <v>2</v>
      </c>
      <c r="B32">
        <f t="shared" si="1"/>
        <v>0.1673</v>
      </c>
      <c r="C32">
        <f t="shared" si="1"/>
        <v>0</v>
      </c>
      <c r="D32">
        <f t="shared" si="1"/>
        <v>0</v>
      </c>
      <c r="E32">
        <f t="shared" si="1"/>
        <v>0.1414</v>
      </c>
      <c r="F32">
        <f t="shared" si="1"/>
        <v>0</v>
      </c>
      <c r="G32">
        <f t="shared" si="1"/>
        <v>0</v>
      </c>
      <c r="H32">
        <f t="shared" si="1"/>
        <v>0.1673</v>
      </c>
      <c r="I32">
        <f t="shared" si="1"/>
        <v>0</v>
      </c>
      <c r="J32">
        <f t="shared" si="1"/>
        <v>0.251</v>
      </c>
      <c r="K32">
        <f t="shared" si="1"/>
        <v>0.28460000000000002</v>
      </c>
      <c r="L32">
        <f t="shared" si="1"/>
        <v>0.1673</v>
      </c>
      <c r="M32">
        <f t="shared" si="1"/>
        <v>0.28460000000000002</v>
      </c>
    </row>
    <row r="33" spans="1:13" x14ac:dyDescent="0.3">
      <c r="A33" t="s">
        <v>3</v>
      </c>
      <c r="B33">
        <f t="shared" si="1"/>
        <v>0</v>
      </c>
      <c r="C33">
        <f t="shared" si="1"/>
        <v>8.3699999999999997E-2</v>
      </c>
      <c r="D33">
        <f t="shared" si="1"/>
        <v>0</v>
      </c>
      <c r="E33">
        <f t="shared" si="1"/>
        <v>0</v>
      </c>
      <c r="F33">
        <f t="shared" si="1"/>
        <v>0.1673</v>
      </c>
      <c r="G33">
        <f t="shared" si="1"/>
        <v>0</v>
      </c>
      <c r="H33">
        <f t="shared" si="1"/>
        <v>0.18970000000000001</v>
      </c>
      <c r="I33">
        <f t="shared" si="1"/>
        <v>0</v>
      </c>
      <c r="J33">
        <f t="shared" si="1"/>
        <v>0.251</v>
      </c>
      <c r="K33">
        <f t="shared" si="1"/>
        <v>0</v>
      </c>
      <c r="L33">
        <f t="shared" si="1"/>
        <v>0.1673</v>
      </c>
      <c r="M33">
        <f t="shared" si="1"/>
        <v>0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0</v>
      </c>
      <c r="D34">
        <f t="shared" si="2"/>
        <v>0</v>
      </c>
      <c r="E34">
        <f t="shared" si="2"/>
        <v>0</v>
      </c>
      <c r="F34">
        <f t="shared" si="2"/>
        <v>0</v>
      </c>
      <c r="G34">
        <f t="shared" si="2"/>
        <v>0.18970000000000001</v>
      </c>
      <c r="H34">
        <f t="shared" si="2"/>
        <v>0</v>
      </c>
      <c r="I34">
        <f t="shared" si="2"/>
        <v>0</v>
      </c>
      <c r="J34">
        <f t="shared" si="2"/>
        <v>0.18970000000000001</v>
      </c>
      <c r="K34">
        <f t="shared" si="2"/>
        <v>0.18970000000000001</v>
      </c>
      <c r="L34">
        <f t="shared" si="2"/>
        <v>0</v>
      </c>
      <c r="M34">
        <f t="shared" si="2"/>
        <v>0</v>
      </c>
    </row>
    <row r="35" spans="1:13" x14ac:dyDescent="0.3">
      <c r="A35" t="s">
        <v>5</v>
      </c>
      <c r="B35">
        <f t="shared" si="1"/>
        <v>0</v>
      </c>
      <c r="C35">
        <f t="shared" si="1"/>
        <v>7.0699999999999999E-2</v>
      </c>
      <c r="D35">
        <f t="shared" si="1"/>
        <v>0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8.3699999999999997E-2</v>
      </c>
      <c r="J35">
        <f t="shared" si="1"/>
        <v>0.1673</v>
      </c>
      <c r="K35">
        <f t="shared" si="1"/>
        <v>0</v>
      </c>
      <c r="L35">
        <f t="shared" si="1"/>
        <v>0</v>
      </c>
      <c r="M35">
        <f t="shared" si="1"/>
        <v>0</v>
      </c>
    </row>
    <row r="36" spans="1:13" x14ac:dyDescent="0.3">
      <c r="A36" t="s">
        <v>6</v>
      </c>
      <c r="B36">
        <f t="shared" si="1"/>
        <v>0</v>
      </c>
      <c r="C36">
        <f t="shared" si="1"/>
        <v>0</v>
      </c>
      <c r="D36">
        <f t="shared" si="1"/>
        <v>0</v>
      </c>
      <c r="E36">
        <f t="shared" si="1"/>
        <v>0</v>
      </c>
      <c r="F36">
        <f t="shared" si="1"/>
        <v>0</v>
      </c>
      <c r="G36">
        <f t="shared" si="1"/>
        <v>0</v>
      </c>
      <c r="H36">
        <f t="shared" si="1"/>
        <v>0</v>
      </c>
      <c r="I36">
        <f t="shared" si="1"/>
        <v>7.0699999999999999E-2</v>
      </c>
      <c r="J36">
        <f t="shared" si="1"/>
        <v>0</v>
      </c>
      <c r="K36">
        <f t="shared" si="1"/>
        <v>0</v>
      </c>
      <c r="L36">
        <f t="shared" si="1"/>
        <v>0</v>
      </c>
      <c r="M36">
        <f t="shared" si="1"/>
        <v>0</v>
      </c>
    </row>
    <row r="37" spans="1:13" x14ac:dyDescent="0.3">
      <c r="A37" t="s">
        <v>7</v>
      </c>
      <c r="B37">
        <f t="shared" si="1"/>
        <v>0</v>
      </c>
      <c r="C37">
        <f t="shared" si="1"/>
        <v>0</v>
      </c>
      <c r="D37">
        <f t="shared" si="1"/>
        <v>0</v>
      </c>
      <c r="E37">
        <f t="shared" si="1"/>
        <v>0</v>
      </c>
      <c r="F37">
        <f t="shared" si="1"/>
        <v>0</v>
      </c>
      <c r="G37">
        <f t="shared" si="1"/>
        <v>7.0699999999999999E-2</v>
      </c>
      <c r="H37">
        <f t="shared" si="1"/>
        <v>0</v>
      </c>
      <c r="I37">
        <f t="shared" si="1"/>
        <v>0</v>
      </c>
      <c r="J37">
        <f t="shared" si="1"/>
        <v>0</v>
      </c>
      <c r="K37">
        <f t="shared" si="1"/>
        <v>0.28460000000000002</v>
      </c>
      <c r="L37">
        <f t="shared" si="1"/>
        <v>0.1673</v>
      </c>
      <c r="M37">
        <f t="shared" si="1"/>
        <v>0.18970000000000001</v>
      </c>
    </row>
    <row r="38" spans="1:13" x14ac:dyDescent="0.3">
      <c r="A38" t="s">
        <v>8</v>
      </c>
      <c r="B38">
        <f t="shared" si="1"/>
        <v>8.3699999999999997E-2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0.18970000000000001</v>
      </c>
      <c r="I38">
        <f t="shared" si="1"/>
        <v>0</v>
      </c>
      <c r="J38">
        <f t="shared" si="1"/>
        <v>0</v>
      </c>
      <c r="K38">
        <f t="shared" si="1"/>
        <v>0.251</v>
      </c>
      <c r="L38">
        <f t="shared" si="1"/>
        <v>0.251</v>
      </c>
      <c r="M38">
        <f t="shared" si="1"/>
        <v>0.18970000000000001</v>
      </c>
    </row>
    <row r="39" spans="1:13" x14ac:dyDescent="0.3">
      <c r="A39" t="s">
        <v>9</v>
      </c>
      <c r="B39">
        <f t="shared" si="1"/>
        <v>0</v>
      </c>
      <c r="C39">
        <f t="shared" si="1"/>
        <v>0</v>
      </c>
      <c r="D39">
        <f t="shared" si="1"/>
        <v>0</v>
      </c>
      <c r="E39">
        <f t="shared" si="1"/>
        <v>0</v>
      </c>
      <c r="F39">
        <f t="shared" si="1"/>
        <v>0</v>
      </c>
      <c r="G39">
        <f t="shared" si="1"/>
        <v>0</v>
      </c>
      <c r="H39">
        <f t="shared" si="1"/>
        <v>0</v>
      </c>
      <c r="I39">
        <f t="shared" si="1"/>
        <v>0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0</v>
      </c>
    </row>
    <row r="40" spans="1:13" x14ac:dyDescent="0.3">
      <c r="A40" t="s">
        <v>10</v>
      </c>
      <c r="B40">
        <f t="shared" si="1"/>
        <v>0</v>
      </c>
      <c r="C40">
        <f t="shared" si="1"/>
        <v>0</v>
      </c>
      <c r="D40">
        <f t="shared" si="1"/>
        <v>0</v>
      </c>
      <c r="E40">
        <f t="shared" si="1"/>
        <v>0</v>
      </c>
      <c r="F40">
        <f t="shared" si="1"/>
        <v>0</v>
      </c>
      <c r="G40">
        <f t="shared" si="1"/>
        <v>0</v>
      </c>
      <c r="H40">
        <f t="shared" si="1"/>
        <v>0</v>
      </c>
      <c r="I40">
        <f t="shared" si="1"/>
        <v>7.0699999999999999E-2</v>
      </c>
      <c r="J40">
        <f t="shared" si="1"/>
        <v>0</v>
      </c>
      <c r="K40">
        <f t="shared" si="1"/>
        <v>0</v>
      </c>
      <c r="L40">
        <f t="shared" si="1"/>
        <v>0</v>
      </c>
      <c r="M40">
        <f t="shared" si="1"/>
        <v>0.18970000000000001</v>
      </c>
    </row>
    <row r="41" spans="1:13" x14ac:dyDescent="0.3">
      <c r="A41" t="s">
        <v>11</v>
      </c>
      <c r="B41">
        <f t="shared" si="1"/>
        <v>0</v>
      </c>
      <c r="C41">
        <f t="shared" si="1"/>
        <v>0</v>
      </c>
      <c r="D41">
        <f t="shared" si="1"/>
        <v>0</v>
      </c>
      <c r="E41">
        <f t="shared" si="1"/>
        <v>0</v>
      </c>
      <c r="F41">
        <f t="shared" si="1"/>
        <v>0</v>
      </c>
      <c r="G41">
        <f t="shared" si="1"/>
        <v>8.3699999999999997E-2</v>
      </c>
      <c r="H41">
        <f t="shared" si="1"/>
        <v>0</v>
      </c>
      <c r="I41">
        <f t="shared" si="1"/>
        <v>0</v>
      </c>
      <c r="J41">
        <f t="shared" si="1"/>
        <v>7.0699999999999999E-2</v>
      </c>
      <c r="K41">
        <f t="shared" si="1"/>
        <v>0</v>
      </c>
      <c r="L41">
        <f t="shared" si="1"/>
        <v>0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0.28460000000000002</v>
      </c>
      <c r="D44">
        <f t="shared" si="3"/>
        <v>0.28460000000000002</v>
      </c>
      <c r="E44">
        <f t="shared" si="3"/>
        <v>0</v>
      </c>
      <c r="F44">
        <f t="shared" si="3"/>
        <v>0.251</v>
      </c>
      <c r="G44">
        <f t="shared" si="3"/>
        <v>0</v>
      </c>
      <c r="H44">
        <f t="shared" si="3"/>
        <v>0.1414</v>
      </c>
      <c r="I44">
        <f t="shared" si="3"/>
        <v>7.0699999999999999E-2</v>
      </c>
      <c r="J44">
        <f t="shared" si="3"/>
        <v>0.28460000000000002</v>
      </c>
      <c r="K44">
        <f t="shared" si="3"/>
        <v>0</v>
      </c>
      <c r="L44">
        <f t="shared" si="3"/>
        <v>5.4800000000000001E-2</v>
      </c>
      <c r="M44">
        <f t="shared" si="3"/>
        <v>0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0.1414</v>
      </c>
      <c r="C45">
        <f t="shared" si="4"/>
        <v>0</v>
      </c>
      <c r="D45">
        <f t="shared" si="4"/>
        <v>0.3795</v>
      </c>
      <c r="E45">
        <f t="shared" si="4"/>
        <v>0.3347</v>
      </c>
      <c r="F45">
        <f t="shared" si="4"/>
        <v>7.0699999999999999E-2</v>
      </c>
      <c r="G45">
        <f t="shared" si="4"/>
        <v>0.3795</v>
      </c>
      <c r="H45">
        <f t="shared" si="4"/>
        <v>0.3795</v>
      </c>
      <c r="I45">
        <f t="shared" si="4"/>
        <v>0</v>
      </c>
      <c r="J45">
        <f t="shared" si="4"/>
        <v>0.3347</v>
      </c>
      <c r="K45">
        <f t="shared" si="4"/>
        <v>0.3795</v>
      </c>
      <c r="L45">
        <f t="shared" si="4"/>
        <v>0.28460000000000002</v>
      </c>
      <c r="M45">
        <f t="shared" si="4"/>
        <v>0.3795</v>
      </c>
    </row>
    <row r="46" spans="1:13" x14ac:dyDescent="0.3">
      <c r="A46" t="s">
        <v>2</v>
      </c>
      <c r="B46">
        <f t="shared" si="4"/>
        <v>0.251</v>
      </c>
      <c r="C46">
        <f t="shared" si="4"/>
        <v>0</v>
      </c>
      <c r="D46">
        <f t="shared" si="4"/>
        <v>0</v>
      </c>
      <c r="E46">
        <f t="shared" si="4"/>
        <v>0.21210000000000001</v>
      </c>
      <c r="F46">
        <f t="shared" si="4"/>
        <v>5.4800000000000001E-2</v>
      </c>
      <c r="G46">
        <f t="shared" si="4"/>
        <v>5.4800000000000001E-2</v>
      </c>
      <c r="H46">
        <f t="shared" si="4"/>
        <v>0.251</v>
      </c>
      <c r="I46">
        <f t="shared" si="4"/>
        <v>7.0699999999999999E-2</v>
      </c>
      <c r="J46">
        <f t="shared" si="4"/>
        <v>0.3347</v>
      </c>
      <c r="K46">
        <f t="shared" si="4"/>
        <v>0.3795</v>
      </c>
      <c r="L46">
        <f t="shared" si="4"/>
        <v>0.251</v>
      </c>
      <c r="M46">
        <f t="shared" si="4"/>
        <v>0.3795</v>
      </c>
    </row>
    <row r="47" spans="1:13" x14ac:dyDescent="0.3">
      <c r="A47" t="s">
        <v>3</v>
      </c>
      <c r="B47">
        <f t="shared" si="4"/>
        <v>0</v>
      </c>
      <c r="C47">
        <f t="shared" si="4"/>
        <v>0.1673</v>
      </c>
      <c r="D47">
        <f t="shared" si="4"/>
        <v>0</v>
      </c>
      <c r="E47">
        <f t="shared" si="4"/>
        <v>0</v>
      </c>
      <c r="F47">
        <f t="shared" si="4"/>
        <v>0.251</v>
      </c>
      <c r="G47">
        <f t="shared" si="4"/>
        <v>0</v>
      </c>
      <c r="H47">
        <f t="shared" si="4"/>
        <v>0.28460000000000002</v>
      </c>
      <c r="I47">
        <f t="shared" si="4"/>
        <v>0</v>
      </c>
      <c r="J47">
        <f t="shared" si="4"/>
        <v>0.3347</v>
      </c>
      <c r="K47">
        <f t="shared" si="4"/>
        <v>0</v>
      </c>
      <c r="L47">
        <f t="shared" si="4"/>
        <v>0.251</v>
      </c>
      <c r="M47">
        <f t="shared" si="4"/>
        <v>5.4800000000000001E-2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3.1600000000000003E-2</v>
      </c>
      <c r="C48">
        <f t="shared" si="5"/>
        <v>7.0699999999999999E-2</v>
      </c>
      <c r="D48">
        <f t="shared" si="5"/>
        <v>0</v>
      </c>
      <c r="E48">
        <f t="shared" si="5"/>
        <v>0</v>
      </c>
      <c r="F48">
        <f t="shared" si="5"/>
        <v>0</v>
      </c>
      <c r="G48">
        <f t="shared" si="5"/>
        <v>0.28460000000000002</v>
      </c>
      <c r="H48">
        <f t="shared" si="5"/>
        <v>0</v>
      </c>
      <c r="I48">
        <f t="shared" si="5"/>
        <v>7.0699999999999999E-2</v>
      </c>
      <c r="J48">
        <f t="shared" si="5"/>
        <v>0.28460000000000002</v>
      </c>
      <c r="K48">
        <f t="shared" si="5"/>
        <v>0.28460000000000002</v>
      </c>
      <c r="L48">
        <f t="shared" si="5"/>
        <v>3.1600000000000003E-2</v>
      </c>
      <c r="M48">
        <f t="shared" si="5"/>
        <v>0</v>
      </c>
    </row>
    <row r="49" spans="1:13" x14ac:dyDescent="0.3">
      <c r="A49" t="s">
        <v>5</v>
      </c>
      <c r="B49">
        <f t="shared" si="4"/>
        <v>7.0699999999999999E-2</v>
      </c>
      <c r="C49">
        <f t="shared" si="4"/>
        <v>0.1414</v>
      </c>
      <c r="D49">
        <f t="shared" si="4"/>
        <v>5.4800000000000001E-2</v>
      </c>
      <c r="E49">
        <f t="shared" si="4"/>
        <v>0</v>
      </c>
      <c r="F49">
        <f t="shared" si="4"/>
        <v>0</v>
      </c>
      <c r="G49">
        <f t="shared" si="4"/>
        <v>0</v>
      </c>
      <c r="H49">
        <f t="shared" si="4"/>
        <v>0</v>
      </c>
      <c r="I49">
        <f t="shared" si="4"/>
        <v>0.1673</v>
      </c>
      <c r="J49">
        <f t="shared" si="4"/>
        <v>0.251</v>
      </c>
      <c r="K49">
        <f t="shared" si="4"/>
        <v>7.0699999999999999E-2</v>
      </c>
      <c r="L49">
        <f t="shared" si="4"/>
        <v>0</v>
      </c>
      <c r="M49">
        <f t="shared" si="4"/>
        <v>5.4800000000000001E-2</v>
      </c>
    </row>
    <row r="50" spans="1:13" x14ac:dyDescent="0.3">
      <c r="A50" t="s">
        <v>6</v>
      </c>
      <c r="B50">
        <f t="shared" si="4"/>
        <v>0</v>
      </c>
      <c r="C50">
        <f t="shared" si="4"/>
        <v>7.0699999999999999E-2</v>
      </c>
      <c r="D50">
        <f t="shared" si="4"/>
        <v>5.4800000000000001E-2</v>
      </c>
      <c r="E50">
        <f t="shared" si="4"/>
        <v>8.3699999999999997E-2</v>
      </c>
      <c r="F50">
        <f t="shared" si="4"/>
        <v>0</v>
      </c>
      <c r="G50">
        <f t="shared" si="4"/>
        <v>0</v>
      </c>
      <c r="H50">
        <f t="shared" si="4"/>
        <v>0</v>
      </c>
      <c r="I50">
        <f t="shared" si="4"/>
        <v>0.1414</v>
      </c>
      <c r="J50">
        <f t="shared" si="4"/>
        <v>5.4800000000000001E-2</v>
      </c>
      <c r="K50">
        <f t="shared" si="4"/>
        <v>0</v>
      </c>
      <c r="L50">
        <f t="shared" si="4"/>
        <v>0</v>
      </c>
      <c r="M50">
        <f t="shared" si="4"/>
        <v>0</v>
      </c>
    </row>
    <row r="51" spans="1:13" x14ac:dyDescent="0.3">
      <c r="A51" t="s">
        <v>7</v>
      </c>
      <c r="B51">
        <f t="shared" si="4"/>
        <v>0</v>
      </c>
      <c r="C51">
        <f t="shared" si="4"/>
        <v>0</v>
      </c>
      <c r="D51">
        <f t="shared" si="4"/>
        <v>0</v>
      </c>
      <c r="E51">
        <f t="shared" si="4"/>
        <v>0</v>
      </c>
      <c r="F51">
        <f t="shared" si="4"/>
        <v>7.0699999999999999E-2</v>
      </c>
      <c r="G51">
        <f t="shared" si="4"/>
        <v>0.1414</v>
      </c>
      <c r="H51">
        <f t="shared" si="4"/>
        <v>0</v>
      </c>
      <c r="I51">
        <f t="shared" si="4"/>
        <v>0</v>
      </c>
      <c r="J51">
        <f t="shared" si="4"/>
        <v>0</v>
      </c>
      <c r="K51">
        <f t="shared" si="4"/>
        <v>0.3795</v>
      </c>
      <c r="L51">
        <f t="shared" si="4"/>
        <v>0.251</v>
      </c>
      <c r="M51">
        <f t="shared" si="4"/>
        <v>0.28460000000000002</v>
      </c>
    </row>
    <row r="52" spans="1:13" x14ac:dyDescent="0.3">
      <c r="A52" t="s">
        <v>8</v>
      </c>
      <c r="B52">
        <f t="shared" si="4"/>
        <v>0.1673</v>
      </c>
      <c r="C52">
        <f t="shared" si="4"/>
        <v>5.4800000000000001E-2</v>
      </c>
      <c r="D52">
        <f t="shared" si="4"/>
        <v>7.0699999999999999E-2</v>
      </c>
      <c r="E52">
        <f t="shared" si="4"/>
        <v>0</v>
      </c>
      <c r="F52">
        <f t="shared" si="4"/>
        <v>0</v>
      </c>
      <c r="G52">
        <f t="shared" si="4"/>
        <v>7.0699999999999999E-2</v>
      </c>
      <c r="H52">
        <f t="shared" si="4"/>
        <v>0.28460000000000002</v>
      </c>
      <c r="I52">
        <f t="shared" si="4"/>
        <v>0</v>
      </c>
      <c r="J52">
        <f t="shared" si="4"/>
        <v>0</v>
      </c>
      <c r="K52">
        <f t="shared" si="4"/>
        <v>0.3347</v>
      </c>
      <c r="L52">
        <f t="shared" si="4"/>
        <v>0.3347</v>
      </c>
      <c r="M52">
        <f t="shared" si="4"/>
        <v>0.28460000000000002</v>
      </c>
    </row>
    <row r="53" spans="1:13" x14ac:dyDescent="0.3">
      <c r="A53" t="s">
        <v>9</v>
      </c>
      <c r="B53">
        <f t="shared" si="4"/>
        <v>5.4800000000000001E-2</v>
      </c>
      <c r="C53">
        <f t="shared" si="4"/>
        <v>0</v>
      </c>
      <c r="D53">
        <f t="shared" si="4"/>
        <v>0</v>
      </c>
      <c r="E53">
        <f t="shared" si="4"/>
        <v>0</v>
      </c>
      <c r="F53">
        <f t="shared" si="4"/>
        <v>0</v>
      </c>
      <c r="G53">
        <f t="shared" si="4"/>
        <v>0</v>
      </c>
      <c r="H53">
        <f t="shared" si="4"/>
        <v>0</v>
      </c>
      <c r="I53">
        <f t="shared" si="4"/>
        <v>7.0699999999999999E-2</v>
      </c>
      <c r="J53">
        <f t="shared" si="4"/>
        <v>0</v>
      </c>
      <c r="K53">
        <f t="shared" si="4"/>
        <v>0</v>
      </c>
      <c r="L53">
        <f t="shared" si="4"/>
        <v>0</v>
      </c>
      <c r="M53">
        <f t="shared" si="4"/>
        <v>0</v>
      </c>
    </row>
    <row r="54" spans="1:13" x14ac:dyDescent="0.3">
      <c r="A54" t="s">
        <v>10</v>
      </c>
      <c r="B54">
        <f t="shared" si="4"/>
        <v>0</v>
      </c>
      <c r="C54">
        <f t="shared" si="4"/>
        <v>5.4800000000000001E-2</v>
      </c>
      <c r="D54">
        <f t="shared" si="4"/>
        <v>0</v>
      </c>
      <c r="E54">
        <f t="shared" si="4"/>
        <v>0</v>
      </c>
      <c r="F54">
        <f t="shared" si="4"/>
        <v>7.0699999999999999E-2</v>
      </c>
      <c r="G54">
        <f t="shared" si="4"/>
        <v>0</v>
      </c>
      <c r="H54">
        <f t="shared" si="4"/>
        <v>0</v>
      </c>
      <c r="I54">
        <f t="shared" si="4"/>
        <v>0.1414</v>
      </c>
      <c r="J54">
        <f t="shared" si="4"/>
        <v>0</v>
      </c>
      <c r="K54">
        <f t="shared" si="4"/>
        <v>3.1600000000000003E-2</v>
      </c>
      <c r="L54">
        <f t="shared" si="4"/>
        <v>0</v>
      </c>
      <c r="M54">
        <f t="shared" si="4"/>
        <v>0.28460000000000002</v>
      </c>
    </row>
    <row r="55" spans="1:13" x14ac:dyDescent="0.3">
      <c r="A55" t="s">
        <v>11</v>
      </c>
      <c r="B55">
        <f t="shared" si="4"/>
        <v>7.0699999999999999E-2</v>
      </c>
      <c r="C55">
        <f t="shared" si="4"/>
        <v>0</v>
      </c>
      <c r="D55">
        <f t="shared" si="4"/>
        <v>0</v>
      </c>
      <c r="E55">
        <f t="shared" si="4"/>
        <v>0</v>
      </c>
      <c r="F55">
        <f t="shared" si="4"/>
        <v>7.0699999999999999E-2</v>
      </c>
      <c r="G55">
        <f t="shared" si="4"/>
        <v>0.1673</v>
      </c>
      <c r="H55">
        <f t="shared" si="4"/>
        <v>0</v>
      </c>
      <c r="I55">
        <f t="shared" si="4"/>
        <v>0</v>
      </c>
      <c r="J55">
        <f t="shared" si="4"/>
        <v>0.1414</v>
      </c>
      <c r="K55">
        <f t="shared" si="4"/>
        <v>0</v>
      </c>
      <c r="L55">
        <f t="shared" si="4"/>
        <v>0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0.3795</v>
      </c>
      <c r="D58">
        <f t="shared" si="6"/>
        <v>0.3795</v>
      </c>
      <c r="E58">
        <f t="shared" si="6"/>
        <v>7.0699999999999999E-2</v>
      </c>
      <c r="F58">
        <f t="shared" si="6"/>
        <v>0.3347</v>
      </c>
      <c r="G58">
        <f t="shared" si="6"/>
        <v>7.0699999999999999E-2</v>
      </c>
      <c r="H58">
        <f t="shared" si="6"/>
        <v>0.21210000000000001</v>
      </c>
      <c r="I58">
        <f t="shared" si="6"/>
        <v>0.1414</v>
      </c>
      <c r="J58">
        <f t="shared" si="6"/>
        <v>0.3795</v>
      </c>
      <c r="K58">
        <f t="shared" si="6"/>
        <v>7.0699999999999999E-2</v>
      </c>
      <c r="L58">
        <f t="shared" si="6"/>
        <v>0.1095</v>
      </c>
      <c r="M58">
        <f t="shared" si="6"/>
        <v>7.0699999999999999E-2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0.21210000000000001</v>
      </c>
      <c r="C59">
        <f t="shared" si="7"/>
        <v>0</v>
      </c>
      <c r="D59">
        <f t="shared" si="7"/>
        <v>0.3795</v>
      </c>
      <c r="E59">
        <f t="shared" si="7"/>
        <v>0.3347</v>
      </c>
      <c r="F59">
        <f t="shared" si="7"/>
        <v>0.1414</v>
      </c>
      <c r="G59">
        <f t="shared" si="7"/>
        <v>0.3795</v>
      </c>
      <c r="H59">
        <f t="shared" si="7"/>
        <v>0.3795</v>
      </c>
      <c r="I59">
        <f t="shared" si="7"/>
        <v>7.0699999999999999E-2</v>
      </c>
      <c r="J59">
        <f t="shared" si="7"/>
        <v>0.3347</v>
      </c>
      <c r="K59">
        <f t="shared" si="7"/>
        <v>0.3795</v>
      </c>
      <c r="L59">
        <f t="shared" si="7"/>
        <v>0.3795</v>
      </c>
      <c r="M59">
        <f t="shared" si="7"/>
        <v>0.3795</v>
      </c>
    </row>
    <row r="60" spans="1:13" x14ac:dyDescent="0.3">
      <c r="A60" t="s">
        <v>2</v>
      </c>
      <c r="B60">
        <f t="shared" si="7"/>
        <v>0.3347</v>
      </c>
      <c r="C60">
        <f t="shared" si="7"/>
        <v>7.0699999999999999E-2</v>
      </c>
      <c r="D60">
        <f t="shared" si="7"/>
        <v>0</v>
      </c>
      <c r="E60">
        <f t="shared" si="7"/>
        <v>0.2828</v>
      </c>
      <c r="F60">
        <f t="shared" si="7"/>
        <v>0.1095</v>
      </c>
      <c r="G60">
        <f t="shared" si="7"/>
        <v>0.1095</v>
      </c>
      <c r="H60">
        <f t="shared" si="7"/>
        <v>0.3347</v>
      </c>
      <c r="I60">
        <f t="shared" si="7"/>
        <v>0.1414</v>
      </c>
      <c r="J60">
        <f t="shared" si="7"/>
        <v>0.3347</v>
      </c>
      <c r="K60">
        <f t="shared" si="7"/>
        <v>0.3795</v>
      </c>
      <c r="L60">
        <f t="shared" si="7"/>
        <v>0.3347</v>
      </c>
      <c r="M60">
        <f t="shared" si="7"/>
        <v>0.3795</v>
      </c>
    </row>
    <row r="61" spans="1:13" x14ac:dyDescent="0.3">
      <c r="A61" t="s">
        <v>3</v>
      </c>
      <c r="B61">
        <f t="shared" si="7"/>
        <v>7.0699999999999999E-2</v>
      </c>
      <c r="C61">
        <f t="shared" si="7"/>
        <v>0.251</v>
      </c>
      <c r="D61">
        <f t="shared" si="7"/>
        <v>7.0699999999999999E-2</v>
      </c>
      <c r="E61">
        <f t="shared" si="7"/>
        <v>0</v>
      </c>
      <c r="F61">
        <f t="shared" si="7"/>
        <v>0.3347</v>
      </c>
      <c r="G61">
        <f t="shared" si="7"/>
        <v>5.4800000000000001E-2</v>
      </c>
      <c r="H61">
        <f t="shared" si="7"/>
        <v>0.3795</v>
      </c>
      <c r="I61">
        <f t="shared" si="7"/>
        <v>7.0699999999999999E-2</v>
      </c>
      <c r="J61">
        <f t="shared" si="7"/>
        <v>0.3347</v>
      </c>
      <c r="K61">
        <f t="shared" si="7"/>
        <v>5.4800000000000001E-2</v>
      </c>
      <c r="L61">
        <f t="shared" si="7"/>
        <v>0.3347</v>
      </c>
      <c r="M61">
        <f t="shared" si="7"/>
        <v>0.1095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6.3200000000000006E-2</v>
      </c>
      <c r="C62">
        <f t="shared" si="8"/>
        <v>0.1414</v>
      </c>
      <c r="D62">
        <f t="shared" si="8"/>
        <v>7.0699999999999999E-2</v>
      </c>
      <c r="E62">
        <f t="shared" si="8"/>
        <v>3.1600000000000003E-2</v>
      </c>
      <c r="F62">
        <f t="shared" si="8"/>
        <v>0</v>
      </c>
      <c r="G62">
        <f t="shared" si="8"/>
        <v>0.3795</v>
      </c>
      <c r="H62">
        <f t="shared" si="8"/>
        <v>8.3699999999999997E-2</v>
      </c>
      <c r="I62">
        <f t="shared" si="8"/>
        <v>0.1414</v>
      </c>
      <c r="J62">
        <f t="shared" si="8"/>
        <v>0.3795</v>
      </c>
      <c r="K62">
        <f t="shared" si="8"/>
        <v>0.3795</v>
      </c>
      <c r="L62">
        <f t="shared" si="8"/>
        <v>6.3200000000000006E-2</v>
      </c>
      <c r="M62">
        <f t="shared" si="8"/>
        <v>7.0699999999999999E-2</v>
      </c>
    </row>
    <row r="63" spans="1:13" x14ac:dyDescent="0.3">
      <c r="A63" t="s">
        <v>5</v>
      </c>
      <c r="B63">
        <f t="shared" si="7"/>
        <v>0.1414</v>
      </c>
      <c r="C63">
        <f t="shared" si="7"/>
        <v>0.21210000000000001</v>
      </c>
      <c r="D63">
        <f t="shared" si="7"/>
        <v>0.1095</v>
      </c>
      <c r="E63">
        <f t="shared" si="7"/>
        <v>5.4800000000000001E-2</v>
      </c>
      <c r="F63">
        <f t="shared" si="7"/>
        <v>7.0699999999999999E-2</v>
      </c>
      <c r="G63">
        <f t="shared" si="7"/>
        <v>0</v>
      </c>
      <c r="H63">
        <f t="shared" si="7"/>
        <v>7.0699999999999999E-2</v>
      </c>
      <c r="I63">
        <f t="shared" si="7"/>
        <v>0.251</v>
      </c>
      <c r="J63">
        <f t="shared" si="7"/>
        <v>0.3347</v>
      </c>
      <c r="K63">
        <f t="shared" si="7"/>
        <v>0.1414</v>
      </c>
      <c r="L63">
        <f t="shared" si="7"/>
        <v>5.4800000000000001E-2</v>
      </c>
      <c r="M63">
        <f t="shared" si="7"/>
        <v>0.1095</v>
      </c>
    </row>
    <row r="64" spans="1:13" x14ac:dyDescent="0.3">
      <c r="A64" t="s">
        <v>6</v>
      </c>
      <c r="B64">
        <f t="shared" si="7"/>
        <v>5.4800000000000001E-2</v>
      </c>
      <c r="C64">
        <f t="shared" si="7"/>
        <v>0.1414</v>
      </c>
      <c r="D64">
        <f t="shared" si="7"/>
        <v>0.1095</v>
      </c>
      <c r="E64">
        <f t="shared" si="7"/>
        <v>0.1673</v>
      </c>
      <c r="F64">
        <f t="shared" si="7"/>
        <v>7.0699999999999999E-2</v>
      </c>
      <c r="G64">
        <f t="shared" si="7"/>
        <v>7.0699999999999999E-2</v>
      </c>
      <c r="H64">
        <f t="shared" si="7"/>
        <v>0</v>
      </c>
      <c r="I64">
        <f t="shared" si="7"/>
        <v>0.21210000000000001</v>
      </c>
      <c r="J64">
        <f t="shared" si="7"/>
        <v>0.1095</v>
      </c>
      <c r="K64">
        <f t="shared" si="7"/>
        <v>7.0699999999999999E-2</v>
      </c>
      <c r="L64">
        <f t="shared" si="7"/>
        <v>7.0699999999999999E-2</v>
      </c>
      <c r="M64">
        <f t="shared" si="7"/>
        <v>7.0699999999999999E-2</v>
      </c>
    </row>
    <row r="65" spans="1:13" x14ac:dyDescent="0.3">
      <c r="A65" t="s">
        <v>7</v>
      </c>
      <c r="B65">
        <f t="shared" si="7"/>
        <v>7.0699999999999999E-2</v>
      </c>
      <c r="C65">
        <f t="shared" si="7"/>
        <v>7.0699999999999999E-2</v>
      </c>
      <c r="D65">
        <f t="shared" si="7"/>
        <v>7.0699999999999999E-2</v>
      </c>
      <c r="E65">
        <f t="shared" si="7"/>
        <v>8.3699999999999997E-2</v>
      </c>
      <c r="F65">
        <f t="shared" si="7"/>
        <v>0.1414</v>
      </c>
      <c r="G65">
        <f t="shared" si="7"/>
        <v>0.21210000000000001</v>
      </c>
      <c r="H65">
        <f t="shared" si="7"/>
        <v>8.3699999999999997E-2</v>
      </c>
      <c r="I65">
        <f t="shared" si="7"/>
        <v>0</v>
      </c>
      <c r="J65">
        <f t="shared" si="7"/>
        <v>7.0699999999999999E-2</v>
      </c>
      <c r="K65">
        <f t="shared" si="7"/>
        <v>0.3795</v>
      </c>
      <c r="L65">
        <f t="shared" si="7"/>
        <v>0.3347</v>
      </c>
      <c r="M65">
        <f t="shared" si="7"/>
        <v>0.3795</v>
      </c>
    </row>
    <row r="66" spans="1:13" x14ac:dyDescent="0.3">
      <c r="A66" t="s">
        <v>8</v>
      </c>
      <c r="B66">
        <f t="shared" si="7"/>
        <v>0.251</v>
      </c>
      <c r="C66">
        <f t="shared" si="7"/>
        <v>0.1095</v>
      </c>
      <c r="D66">
        <f t="shared" si="7"/>
        <v>0.1414</v>
      </c>
      <c r="E66">
        <f t="shared" si="7"/>
        <v>7.0699999999999999E-2</v>
      </c>
      <c r="F66">
        <f t="shared" si="7"/>
        <v>5.4800000000000001E-2</v>
      </c>
      <c r="G66">
        <f t="shared" si="7"/>
        <v>0.1414</v>
      </c>
      <c r="H66">
        <f t="shared" si="7"/>
        <v>0.3795</v>
      </c>
      <c r="I66">
        <f t="shared" si="7"/>
        <v>7.0699999999999999E-2</v>
      </c>
      <c r="J66">
        <f t="shared" si="7"/>
        <v>0</v>
      </c>
      <c r="K66">
        <f t="shared" si="7"/>
        <v>0.3347</v>
      </c>
      <c r="L66">
        <f t="shared" si="7"/>
        <v>0.3347</v>
      </c>
      <c r="M66">
        <f t="shared" si="7"/>
        <v>0.3795</v>
      </c>
    </row>
    <row r="67" spans="1:13" x14ac:dyDescent="0.3">
      <c r="A67" t="s">
        <v>9</v>
      </c>
      <c r="B67">
        <f t="shared" si="7"/>
        <v>0.1095</v>
      </c>
      <c r="C67">
        <f t="shared" si="7"/>
        <v>7.0699999999999999E-2</v>
      </c>
      <c r="D67">
        <f t="shared" si="7"/>
        <v>5.4800000000000001E-2</v>
      </c>
      <c r="E67">
        <f t="shared" si="7"/>
        <v>5.4800000000000001E-2</v>
      </c>
      <c r="F67">
        <f t="shared" si="7"/>
        <v>5.4800000000000001E-2</v>
      </c>
      <c r="G67">
        <f t="shared" si="7"/>
        <v>5.4800000000000001E-2</v>
      </c>
      <c r="H67">
        <f t="shared" si="7"/>
        <v>8.3699999999999997E-2</v>
      </c>
      <c r="I67">
        <f t="shared" si="7"/>
        <v>0.1414</v>
      </c>
      <c r="J67">
        <f t="shared" si="7"/>
        <v>5.4800000000000001E-2</v>
      </c>
      <c r="K67">
        <f t="shared" si="7"/>
        <v>0</v>
      </c>
      <c r="L67">
        <f t="shared" si="7"/>
        <v>5.4800000000000001E-2</v>
      </c>
      <c r="M67">
        <f t="shared" si="7"/>
        <v>7.0699999999999999E-2</v>
      </c>
    </row>
    <row r="68" spans="1:13" x14ac:dyDescent="0.3">
      <c r="A68" t="s">
        <v>10</v>
      </c>
      <c r="B68">
        <f t="shared" si="7"/>
        <v>5.4800000000000001E-2</v>
      </c>
      <c r="C68">
        <f t="shared" si="7"/>
        <v>0.1095</v>
      </c>
      <c r="D68">
        <f t="shared" si="7"/>
        <v>7.0699999999999999E-2</v>
      </c>
      <c r="E68">
        <f t="shared" si="7"/>
        <v>7.0699999999999999E-2</v>
      </c>
      <c r="F68">
        <f t="shared" si="7"/>
        <v>0.1414</v>
      </c>
      <c r="G68">
        <f t="shared" si="7"/>
        <v>7.0699999999999999E-2</v>
      </c>
      <c r="H68">
        <f t="shared" si="7"/>
        <v>3.1600000000000003E-2</v>
      </c>
      <c r="I68">
        <f t="shared" si="7"/>
        <v>0.21210000000000001</v>
      </c>
      <c r="J68">
        <f t="shared" si="7"/>
        <v>7.0699999999999999E-2</v>
      </c>
      <c r="K68">
        <f t="shared" si="7"/>
        <v>6.3200000000000006E-2</v>
      </c>
      <c r="L68">
        <f t="shared" si="7"/>
        <v>0</v>
      </c>
      <c r="M68">
        <f t="shared" si="7"/>
        <v>0.3795</v>
      </c>
    </row>
    <row r="69" spans="1:13" x14ac:dyDescent="0.3">
      <c r="A69" t="s">
        <v>11</v>
      </c>
      <c r="B69">
        <f t="shared" si="7"/>
        <v>0.1414</v>
      </c>
      <c r="C69">
        <f t="shared" si="7"/>
        <v>7.0699999999999999E-2</v>
      </c>
      <c r="D69">
        <f t="shared" si="7"/>
        <v>5.4800000000000001E-2</v>
      </c>
      <c r="E69">
        <f t="shared" si="7"/>
        <v>7.0699999999999999E-2</v>
      </c>
      <c r="F69">
        <f t="shared" si="7"/>
        <v>0.1414</v>
      </c>
      <c r="G69">
        <f t="shared" si="7"/>
        <v>0.251</v>
      </c>
      <c r="H69">
        <f t="shared" si="7"/>
        <v>5.4800000000000001E-2</v>
      </c>
      <c r="I69">
        <f t="shared" si="7"/>
        <v>8.3699999999999997E-2</v>
      </c>
      <c r="J69">
        <f t="shared" si="7"/>
        <v>0.21210000000000001</v>
      </c>
      <c r="K69">
        <f t="shared" si="7"/>
        <v>5.4800000000000001E-2</v>
      </c>
      <c r="L69">
        <f t="shared" si="7"/>
        <v>7.0699999999999999E-2</v>
      </c>
      <c r="M69">
        <f t="shared" si="7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M69"/>
  <sheetViews>
    <sheetView topLeftCell="A10" workbookViewId="0">
      <selection activeCell="U5" sqref="U5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12</v>
      </c>
      <c r="D2" t="s">
        <v>13</v>
      </c>
      <c r="E2" t="s">
        <v>16</v>
      </c>
      <c r="F2" t="s">
        <v>16</v>
      </c>
      <c r="G2" t="s">
        <v>20</v>
      </c>
      <c r="H2" t="s">
        <v>24</v>
      </c>
      <c r="I2" t="s">
        <v>24</v>
      </c>
      <c r="J2" t="s">
        <v>13</v>
      </c>
      <c r="K2" t="s">
        <v>15</v>
      </c>
      <c r="L2" t="s">
        <v>20</v>
      </c>
      <c r="M2" t="s">
        <v>15</v>
      </c>
    </row>
    <row r="3" spans="1:13" x14ac:dyDescent="0.3">
      <c r="A3" s="1" t="s">
        <v>1</v>
      </c>
      <c r="B3" t="s">
        <v>17</v>
      </c>
      <c r="C3">
        <v>0</v>
      </c>
      <c r="D3" t="s">
        <v>25</v>
      </c>
      <c r="E3" t="s">
        <v>18</v>
      </c>
      <c r="F3" t="s">
        <v>12</v>
      </c>
      <c r="G3" t="s">
        <v>25</v>
      </c>
      <c r="H3" t="s">
        <v>25</v>
      </c>
      <c r="I3" t="s">
        <v>15</v>
      </c>
      <c r="J3" t="s">
        <v>25</v>
      </c>
      <c r="K3" t="s">
        <v>18</v>
      </c>
      <c r="L3" t="s">
        <v>18</v>
      </c>
      <c r="M3" t="s">
        <v>13</v>
      </c>
    </row>
    <row r="4" spans="1:13" x14ac:dyDescent="0.3">
      <c r="A4" s="1" t="s">
        <v>2</v>
      </c>
      <c r="B4" t="s">
        <v>22</v>
      </c>
      <c r="C4" t="s">
        <v>16</v>
      </c>
      <c r="D4">
        <v>0</v>
      </c>
      <c r="E4" t="s">
        <v>21</v>
      </c>
      <c r="F4" t="s">
        <v>15</v>
      </c>
      <c r="G4" t="s">
        <v>20</v>
      </c>
      <c r="H4" t="s">
        <v>21</v>
      </c>
      <c r="I4" t="s">
        <v>16</v>
      </c>
      <c r="J4" t="s">
        <v>13</v>
      </c>
      <c r="K4" t="s">
        <v>18</v>
      </c>
      <c r="L4" t="s">
        <v>12</v>
      </c>
      <c r="M4" t="s">
        <v>13</v>
      </c>
    </row>
    <row r="5" spans="1:13" x14ac:dyDescent="0.3">
      <c r="A5" s="1" t="s">
        <v>3</v>
      </c>
      <c r="B5" t="s">
        <v>15</v>
      </c>
      <c r="C5" t="s">
        <v>62</v>
      </c>
      <c r="D5" t="s">
        <v>24</v>
      </c>
      <c r="E5">
        <v>0</v>
      </c>
      <c r="F5" t="s">
        <v>12</v>
      </c>
      <c r="G5" t="s">
        <v>22</v>
      </c>
      <c r="H5" t="s">
        <v>13</v>
      </c>
      <c r="I5" t="s">
        <v>22</v>
      </c>
      <c r="J5" t="s">
        <v>25</v>
      </c>
      <c r="K5" t="s">
        <v>71</v>
      </c>
      <c r="L5" t="s">
        <v>12</v>
      </c>
      <c r="M5" t="s">
        <v>18</v>
      </c>
    </row>
    <row r="6" spans="1:13" x14ac:dyDescent="0.3">
      <c r="A6" s="1" t="s">
        <v>4</v>
      </c>
      <c r="B6" t="s">
        <v>17</v>
      </c>
      <c r="C6" t="s">
        <v>15</v>
      </c>
      <c r="D6" t="s">
        <v>15</v>
      </c>
      <c r="E6" t="s">
        <v>15</v>
      </c>
      <c r="F6">
        <v>0</v>
      </c>
      <c r="G6" t="s">
        <v>21</v>
      </c>
      <c r="H6" t="s">
        <v>24</v>
      </c>
      <c r="I6" t="s">
        <v>15</v>
      </c>
      <c r="J6" t="s">
        <v>12</v>
      </c>
      <c r="K6" t="s">
        <v>25</v>
      </c>
      <c r="L6" t="s">
        <v>22</v>
      </c>
      <c r="M6" t="s">
        <v>15</v>
      </c>
    </row>
    <row r="7" spans="1:13" x14ac:dyDescent="0.3">
      <c r="A7" s="1" t="s">
        <v>5</v>
      </c>
      <c r="B7" t="s">
        <v>23</v>
      </c>
      <c r="C7" t="s">
        <v>22</v>
      </c>
      <c r="D7" t="s">
        <v>24</v>
      </c>
      <c r="E7" t="s">
        <v>16</v>
      </c>
      <c r="F7" t="s">
        <v>24</v>
      </c>
      <c r="G7">
        <v>0</v>
      </c>
      <c r="H7" t="s">
        <v>24</v>
      </c>
      <c r="I7" t="s">
        <v>15</v>
      </c>
      <c r="J7" t="s">
        <v>13</v>
      </c>
      <c r="K7" t="s">
        <v>15</v>
      </c>
      <c r="L7" s="6" t="s">
        <v>20</v>
      </c>
      <c r="M7" t="s">
        <v>16</v>
      </c>
    </row>
    <row r="8" spans="1:13" x14ac:dyDescent="0.3">
      <c r="A8" s="1" t="s">
        <v>6</v>
      </c>
      <c r="B8" t="s">
        <v>20</v>
      </c>
      <c r="C8" t="s">
        <v>15</v>
      </c>
      <c r="D8" t="s">
        <v>16</v>
      </c>
      <c r="E8" t="s">
        <v>15</v>
      </c>
      <c r="F8" t="s">
        <v>16</v>
      </c>
      <c r="G8" t="s">
        <v>16</v>
      </c>
      <c r="H8">
        <v>0</v>
      </c>
      <c r="I8" t="s">
        <v>20</v>
      </c>
      <c r="J8" t="s">
        <v>16</v>
      </c>
      <c r="K8" t="s">
        <v>17</v>
      </c>
      <c r="L8" s="6" t="s">
        <v>24</v>
      </c>
      <c r="M8" t="s">
        <v>20</v>
      </c>
    </row>
    <row r="9" spans="1:13" x14ac:dyDescent="0.3">
      <c r="A9" s="1" t="s">
        <v>7</v>
      </c>
      <c r="B9" t="s">
        <v>62</v>
      </c>
      <c r="C9" t="s">
        <v>15</v>
      </c>
      <c r="D9" t="s">
        <v>15</v>
      </c>
      <c r="E9" t="s">
        <v>20</v>
      </c>
      <c r="F9" t="s">
        <v>20</v>
      </c>
      <c r="G9" t="s">
        <v>24</v>
      </c>
      <c r="H9" t="s">
        <v>15</v>
      </c>
      <c r="I9">
        <v>0</v>
      </c>
      <c r="J9" t="s">
        <v>13</v>
      </c>
      <c r="K9" t="s">
        <v>25</v>
      </c>
      <c r="L9" s="6" t="s">
        <v>13</v>
      </c>
      <c r="M9" t="s">
        <v>18</v>
      </c>
    </row>
    <row r="10" spans="1:13" x14ac:dyDescent="0.3">
      <c r="A10" s="1" t="s">
        <v>8</v>
      </c>
      <c r="B10" t="s">
        <v>12</v>
      </c>
      <c r="C10" t="s">
        <v>24</v>
      </c>
      <c r="D10" t="s">
        <v>24</v>
      </c>
      <c r="E10" t="s">
        <v>24</v>
      </c>
      <c r="F10" t="s">
        <v>16</v>
      </c>
      <c r="G10" t="s">
        <v>24</v>
      </c>
      <c r="H10" t="s">
        <v>18</v>
      </c>
      <c r="I10" t="s">
        <v>16</v>
      </c>
      <c r="J10">
        <v>0</v>
      </c>
      <c r="K10" t="s">
        <v>18</v>
      </c>
      <c r="L10" s="6" t="s">
        <v>18</v>
      </c>
      <c r="M10" t="s">
        <v>12</v>
      </c>
    </row>
    <row r="11" spans="1:13" x14ac:dyDescent="0.3">
      <c r="A11" s="1" t="s">
        <v>9</v>
      </c>
      <c r="B11" t="s">
        <v>16</v>
      </c>
      <c r="C11" t="s">
        <v>24</v>
      </c>
      <c r="D11" t="s">
        <v>71</v>
      </c>
      <c r="E11" t="s">
        <v>16</v>
      </c>
      <c r="F11" t="s">
        <v>15</v>
      </c>
      <c r="G11" t="s">
        <v>20</v>
      </c>
      <c r="H11" t="s">
        <v>22</v>
      </c>
      <c r="I11" t="s">
        <v>24</v>
      </c>
      <c r="J11" t="s">
        <v>17</v>
      </c>
      <c r="K11">
        <v>0</v>
      </c>
      <c r="L11" s="6" t="s">
        <v>15</v>
      </c>
      <c r="M11" t="s">
        <v>24</v>
      </c>
    </row>
    <row r="12" spans="1:13" x14ac:dyDescent="0.3">
      <c r="A12" s="1" t="s">
        <v>10</v>
      </c>
      <c r="B12" t="s">
        <v>24</v>
      </c>
      <c r="C12" t="s">
        <v>16</v>
      </c>
      <c r="D12" t="s">
        <v>16</v>
      </c>
      <c r="E12" t="s">
        <v>16</v>
      </c>
      <c r="F12" t="s">
        <v>15</v>
      </c>
      <c r="G12" t="s">
        <v>15</v>
      </c>
      <c r="H12" t="s">
        <v>24</v>
      </c>
      <c r="I12" t="s">
        <v>15</v>
      </c>
      <c r="J12" t="s">
        <v>16</v>
      </c>
      <c r="K12" t="s">
        <v>62</v>
      </c>
      <c r="L12">
        <v>0</v>
      </c>
      <c r="M12" t="s">
        <v>18</v>
      </c>
    </row>
    <row r="13" spans="1:13" x14ac:dyDescent="0.3">
      <c r="A13" s="1" t="s">
        <v>11</v>
      </c>
      <c r="B13" t="s">
        <v>15</v>
      </c>
      <c r="C13" t="s">
        <v>22</v>
      </c>
      <c r="D13" t="s">
        <v>22</v>
      </c>
      <c r="E13" t="s">
        <v>15</v>
      </c>
      <c r="F13" t="s">
        <v>22</v>
      </c>
      <c r="G13" t="s">
        <v>16</v>
      </c>
      <c r="H13" t="s">
        <v>16</v>
      </c>
      <c r="I13" t="s">
        <v>20</v>
      </c>
      <c r="J13" t="s">
        <v>24</v>
      </c>
      <c r="K13" t="s">
        <v>16</v>
      </c>
      <c r="L13" t="s">
        <v>23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(0,1673; 0,251; 0,3347)</v>
      </c>
      <c r="D16" t="str">
        <f>VLOOKUP(D2,'Thang đánh giá'!$C$2:$D$27,2,FALSE)</f>
        <v>(0,1897; 0,2846; 0,3795)</v>
      </c>
      <c r="E16" t="str">
        <f>VLOOKUP(E2,'Thang đánh giá'!$C$2:$D$27,2,FALSE)</f>
        <v>(0; 0; 0,0707)</v>
      </c>
      <c r="F16" t="str">
        <f>VLOOKUP(F2,'Thang đánh giá'!$C$2:$D$27,2,FALSE)</f>
        <v>(0; 0; 0,0707)</v>
      </c>
      <c r="G16" t="str">
        <f>VLOOKUP(G2,'Thang đánh giá'!$C$2:$D$27,2,FALSE)</f>
        <v>(0; 0,0548; 0,1095)</v>
      </c>
      <c r="H16" t="str">
        <f>VLOOKUP(H2,'Thang đánh giá'!$C$2:$D$27,2,FALSE)</f>
        <v>(0; 0; 0,0548)</v>
      </c>
      <c r="I16" t="str">
        <f>VLOOKUP(I2,'Thang đánh giá'!$C$2:$D$27,2,FALSE)</f>
        <v>(0; 0; 0,0548)</v>
      </c>
      <c r="J16" t="str">
        <f>VLOOKUP(J2,'Thang đánh giá'!$C$2:$D$27,2,FALSE)</f>
        <v>(0,1897; 0,2846; 0,3795)</v>
      </c>
      <c r="K16" t="str">
        <f>VLOOKUP(K2,'Thang đánh giá'!$C$2:$D$27,2,FALSE)</f>
        <v>(0; 0,0707; 0,1414)</v>
      </c>
      <c r="L16" t="str">
        <f>VLOOKUP(L2,'Thang đánh giá'!$C$2:$D$27,2,FALSE)</f>
        <v>(0; 0,0548; 0,1095)</v>
      </c>
      <c r="M16" t="str">
        <f>VLOOKUP(M2,'Thang đánh giá'!$C$2:$D$27,2,FALSE)</f>
        <v>(0; 0,0707; 0,1414)</v>
      </c>
    </row>
    <row r="17" spans="1:13" x14ac:dyDescent="0.3">
      <c r="A17" t="s">
        <v>1</v>
      </c>
      <c r="B17" t="str">
        <f>VLOOKUP(B3,'Thang đánh giá'!$C$2:$D$27,2,FALSE)</f>
        <v>(0; 0,0316; 0,0632)</v>
      </c>
      <c r="C17" t="str">
        <f>VLOOKUP(C3,'Thang đánh giá'!$C$2:$D$27,2,FALSE)</f>
        <v>(0; 0; 0)</v>
      </c>
      <c r="D17" t="str">
        <f>VLOOKUP(D3,'Thang đánh giá'!$C$2:$D$27,2,FALSE)</f>
        <v>(0,251; 0,3347; 0,3347)</v>
      </c>
      <c r="E17" t="str">
        <f>VLOOKUP(E3,'Thang đánh giá'!$C$2:$D$27,2,FALSE)</f>
        <v>(0,2846; 0,3795; 0,3795)</v>
      </c>
      <c r="F17" t="str">
        <f>VLOOKUP(F3,'Thang đánh giá'!$C$2:$D$27,2,FALSE)</f>
        <v>(0,1673; 0,251; 0,3347)</v>
      </c>
      <c r="G17" t="str">
        <f>VLOOKUP(G3,'Thang đánh giá'!$C$2:$D$27,2,FALSE)</f>
        <v>(0,251; 0,3347; 0,3347)</v>
      </c>
      <c r="H17" t="str">
        <f>VLOOKUP(H3,'Thang đánh giá'!$C$2:$D$27,2,FALSE)</f>
        <v>(0,251; 0,3347; 0,3347)</v>
      </c>
      <c r="I17" t="str">
        <f>VLOOKUP(I3,'Thang đánh giá'!$C$2:$D$27,2,FALSE)</f>
        <v>(0; 0,0707; 0,1414)</v>
      </c>
      <c r="J17" t="str">
        <f>VLOOKUP(J3,'Thang đánh giá'!$C$2:$D$27,2,FALSE)</f>
        <v>(0,251; 0,3347; 0,3347)</v>
      </c>
      <c r="K17" t="str">
        <f>VLOOKUP(K3,'Thang đánh giá'!$C$2:$D$27,2,FALSE)</f>
        <v>(0,2846; 0,3795; 0,3795)</v>
      </c>
      <c r="L17" t="str">
        <f>VLOOKUP(L3,'Thang đánh giá'!$C$2:$D$27,2,FALSE)</f>
        <v>(0,2846; 0,3795; 0,3795)</v>
      </c>
      <c r="M17" t="str">
        <f>VLOOKUP(M3,'Thang đánh giá'!$C$2:$D$27,2,FALSE)</f>
        <v>(0,1897; 0,2846; 0,3795)</v>
      </c>
    </row>
    <row r="18" spans="1:13" x14ac:dyDescent="0.3">
      <c r="A18" t="s">
        <v>2</v>
      </c>
      <c r="B18" t="str">
        <f>VLOOKUP(B4,'Thang đánh giá'!$C$2:$D$27,2,FALSE)</f>
        <v>(0,0707; 0,1414; 0,2121)</v>
      </c>
      <c r="C18" t="str">
        <f>VLOOKUP(C4,'Thang đánh giá'!$C$2:$D$27,2,FALSE)</f>
        <v>(0; 0; 0,0707)</v>
      </c>
      <c r="D18" t="str">
        <f>VLOOKUP(D4,'Thang đánh giá'!$C$2:$D$27,2,FALSE)</f>
        <v>(0; 0; 0)</v>
      </c>
      <c r="E18" t="str">
        <f>VLOOKUP(E4,'Thang đánh giá'!$C$2:$D$27,2,FALSE)</f>
        <v>(0,0837; 0,1673; 0,251)</v>
      </c>
      <c r="F18" t="str">
        <f>VLOOKUP(F4,'Thang đánh giá'!$C$2:$D$27,2,FALSE)</f>
        <v>(0; 0,0707; 0,1414)</v>
      </c>
      <c r="G18" t="str">
        <f>VLOOKUP(G4,'Thang đánh giá'!$C$2:$D$27,2,FALSE)</f>
        <v>(0; 0,0548; 0,1095)</v>
      </c>
      <c r="H18" t="str">
        <f>VLOOKUP(H4,'Thang đánh giá'!$C$2:$D$27,2,FALSE)</f>
        <v>(0,0837; 0,1673; 0,251)</v>
      </c>
      <c r="I18" t="str">
        <f>VLOOKUP(I4,'Thang đánh giá'!$C$2:$D$27,2,FALSE)</f>
        <v>(0; 0; 0,0707)</v>
      </c>
      <c r="J18" t="str">
        <f>VLOOKUP(J4,'Thang đánh giá'!$C$2:$D$27,2,FALSE)</f>
        <v>(0,1897; 0,2846; 0,3795)</v>
      </c>
      <c r="K18" t="str">
        <f>VLOOKUP(K4,'Thang đánh giá'!$C$2:$D$27,2,FALSE)</f>
        <v>(0,2846; 0,3795; 0,3795)</v>
      </c>
      <c r="L18" t="str">
        <f>VLOOKUP(L4,'Thang đánh giá'!$C$2:$D$27,2,FALSE)</f>
        <v>(0,1673; 0,251; 0,3347)</v>
      </c>
      <c r="M18" t="str">
        <f>VLOOKUP(M4,'Thang đánh giá'!$C$2:$D$27,2,FALSE)</f>
        <v>(0,1897; 0,2846; 0,3795)</v>
      </c>
    </row>
    <row r="19" spans="1:13" x14ac:dyDescent="0.3">
      <c r="A19" t="s">
        <v>3</v>
      </c>
      <c r="B19" t="str">
        <f>VLOOKUP(B5,'Thang đánh giá'!$C$2:$D$27,2,FALSE)</f>
        <v>(0; 0,0707; 0,1414)</v>
      </c>
      <c r="C19" t="str">
        <f>VLOOKUP(C5,'Thang đánh giá'!$C$2:$D$27,2,FALSE)</f>
        <v>(0; 0,0837; 0,1673)</v>
      </c>
      <c r="D19" t="str">
        <f>VLOOKUP(D5,'Thang đánh giá'!$C$2:$D$27,2,FALSE)</f>
        <v>(0; 0; 0,0548)</v>
      </c>
      <c r="E19" t="str">
        <f>VLOOKUP(E5,'Thang đánh giá'!$C$2:$D$27,2,FALSE)</f>
        <v>(0; 0; 0)</v>
      </c>
      <c r="F19" t="str">
        <f>VLOOKUP(F5,'Thang đánh giá'!$C$2:$D$27,2,FALSE)</f>
        <v>(0,1673; 0,251; 0,3347)</v>
      </c>
      <c r="G19" t="str">
        <f>VLOOKUP(G5,'Thang đánh giá'!$C$2:$D$27,2,FALSE)</f>
        <v>(0,0707; 0,1414; 0,2121)</v>
      </c>
      <c r="H19" t="str">
        <f>VLOOKUP(H5,'Thang đánh giá'!$C$2:$D$27,2,FALSE)</f>
        <v>(0,1897; 0,2846; 0,3795)</v>
      </c>
      <c r="I19" t="str">
        <f>VLOOKUP(I5,'Thang đánh giá'!$C$2:$D$27,2,FALSE)</f>
        <v>(0,0707; 0,1414; 0,2121)</v>
      </c>
      <c r="J19" t="str">
        <f>VLOOKUP(J5,'Thang đánh giá'!$C$2:$D$27,2,FALSE)</f>
        <v>(0,251; 0,3347; 0,3347)</v>
      </c>
      <c r="K19" t="str">
        <f>VLOOKUP(K5,'Thang đánh giá'!$C$2:$D$27,2,FALSE)</f>
        <v>(0; 0; 0,0837)</v>
      </c>
      <c r="L19" t="str">
        <f>VLOOKUP(L5,'Thang đánh giá'!$C$2:$D$27,2,FALSE)</f>
        <v>(0,1673; 0,251; 0,3347)</v>
      </c>
      <c r="M19" t="str">
        <f>VLOOKUP(M5,'Thang đánh giá'!$C$2:$D$27,2,FALSE)</f>
        <v>(0,2846; 0,3795; 0,3795)</v>
      </c>
    </row>
    <row r="20" spans="1:13" x14ac:dyDescent="0.3">
      <c r="A20" t="s">
        <v>4</v>
      </c>
      <c r="B20" t="str">
        <f>VLOOKUP(B6,'Thang đánh giá'!$C$2:$D$27,2,FALSE)</f>
        <v>(0; 0,0316; 0,0632)</v>
      </c>
      <c r="C20" t="str">
        <f>VLOOKUP(C6,'Thang đánh giá'!$C$2:$D$27,2,FALSE)</f>
        <v>(0; 0,0707; 0,1414)</v>
      </c>
      <c r="D20" t="str">
        <f>VLOOKUP(D6,'Thang đánh giá'!$C$2:$D$27,2,FALSE)</f>
        <v>(0; 0,0707; 0,1414)</v>
      </c>
      <c r="E20" t="str">
        <f>VLOOKUP(E6,'Thang đánh giá'!$C$2:$D$27,2,FALSE)</f>
        <v>(0; 0,0707; 0,1414)</v>
      </c>
      <c r="F20" t="str">
        <f>VLOOKUP(F6,'Thang đánh giá'!$C$2:$D$27,2,FALSE)</f>
        <v>(0; 0; 0)</v>
      </c>
      <c r="G20" t="str">
        <f>VLOOKUP(G6,'Thang đánh giá'!$C$2:$D$27,2,FALSE)</f>
        <v>(0,0837; 0,1673; 0,251)</v>
      </c>
      <c r="H20" t="str">
        <f>VLOOKUP(H6,'Thang đánh giá'!$C$2:$D$27,2,FALSE)</f>
        <v>(0; 0; 0,0548)</v>
      </c>
      <c r="I20" t="str">
        <f>VLOOKUP(I6,'Thang đánh giá'!$C$2:$D$27,2,FALSE)</f>
        <v>(0; 0,0707; 0,1414)</v>
      </c>
      <c r="J20" t="str">
        <f>VLOOKUP(J6,'Thang đánh giá'!$C$2:$D$27,2,FALSE)</f>
        <v>(0,1673; 0,251; 0,3347)</v>
      </c>
      <c r="K20" t="str">
        <f>VLOOKUP(K6,'Thang đánh giá'!$C$2:$D$27,2,FALSE)</f>
        <v>(0,251; 0,3347; 0,3347)</v>
      </c>
      <c r="L20" t="str">
        <f>VLOOKUP(L6,'Thang đánh giá'!$C$2:$D$27,2,FALSE)</f>
        <v>(0,0707; 0,1414; 0,2121)</v>
      </c>
      <c r="M20" t="str">
        <f>VLOOKUP(M6,'Thang đánh giá'!$C$2:$D$27,2,FALSE)</f>
        <v>(0; 0,0707; 0,1414)</v>
      </c>
    </row>
    <row r="21" spans="1:13" x14ac:dyDescent="0.3">
      <c r="A21" t="s">
        <v>5</v>
      </c>
      <c r="B21" t="str">
        <f>VLOOKUP(B7,'Thang đánh giá'!$C$2:$D$27,2,FALSE)</f>
        <v>(0; 0; 0,0316)</v>
      </c>
      <c r="C21" t="str">
        <f>VLOOKUP(C7,'Thang đánh giá'!$C$2:$D$27,2,FALSE)</f>
        <v>(0,0707; 0,1414; 0,2121)</v>
      </c>
      <c r="D21" t="str">
        <f>VLOOKUP(D7,'Thang đánh giá'!$C$2:$D$27,2,FALSE)</f>
        <v>(0; 0; 0,0548)</v>
      </c>
      <c r="E21" t="str">
        <f>VLOOKUP(E7,'Thang đánh giá'!$C$2:$D$27,2,FALSE)</f>
        <v>(0; 0; 0,0707)</v>
      </c>
      <c r="F21" t="str">
        <f>VLOOKUP(F7,'Thang đánh giá'!$C$2:$D$27,2,FALSE)</f>
        <v>(0; 0; 0,0548)</v>
      </c>
      <c r="G21" t="str">
        <f>VLOOKUP(G7,'Thang đánh giá'!$C$2:$D$27,2,FALSE)</f>
        <v>(0; 0; 0)</v>
      </c>
      <c r="H21" t="str">
        <f>VLOOKUP(H7,'Thang đánh giá'!$C$2:$D$27,2,FALSE)</f>
        <v>(0; 0; 0,0548)</v>
      </c>
      <c r="I21" t="str">
        <f>VLOOKUP(I7,'Thang đánh giá'!$C$2:$D$27,2,FALSE)</f>
        <v>(0; 0,0707; 0,1414)</v>
      </c>
      <c r="J21" t="str">
        <f>VLOOKUP(J7,'Thang đánh giá'!$C$2:$D$27,2,FALSE)</f>
        <v>(0,1897; 0,2846; 0,3795)</v>
      </c>
      <c r="K21" t="str">
        <f>VLOOKUP(K7,'Thang đánh giá'!$C$2:$D$27,2,FALSE)</f>
        <v>(0; 0,0707; 0,1414)</v>
      </c>
      <c r="L21" t="str">
        <f>VLOOKUP(L7,'Thang đánh giá'!$C$2:$D$27,2,FALSE)</f>
        <v>(0; 0,0548; 0,1095)</v>
      </c>
      <c r="M21" t="str">
        <f>VLOOKUP(M7,'Thang đánh giá'!$C$2:$D$27,2,FALSE)</f>
        <v>(0; 0; 0,0707)</v>
      </c>
    </row>
    <row r="22" spans="1:13" x14ac:dyDescent="0.3">
      <c r="A22" t="s">
        <v>6</v>
      </c>
      <c r="B22" t="str">
        <f>VLOOKUP(B8,'Thang đánh giá'!$C$2:$D$27,2,FALSE)</f>
        <v>(0; 0,0548; 0,1095)</v>
      </c>
      <c r="C22" t="str">
        <f>VLOOKUP(C8,'Thang đánh giá'!$C$2:$D$27,2,FALSE)</f>
        <v>(0; 0,0707; 0,1414)</v>
      </c>
      <c r="D22" t="str">
        <f>VLOOKUP(D8,'Thang đánh giá'!$C$2:$D$27,2,FALSE)</f>
        <v>(0; 0; 0,0707)</v>
      </c>
      <c r="E22" t="str">
        <f>VLOOKUP(E8,'Thang đánh giá'!$C$2:$D$27,2,FALSE)</f>
        <v>(0; 0,0707; 0,1414)</v>
      </c>
      <c r="F22" t="str">
        <f>VLOOKUP(F8,'Thang đánh giá'!$C$2:$D$27,2,FALSE)</f>
        <v>(0; 0; 0,0707)</v>
      </c>
      <c r="G22" t="str">
        <f>VLOOKUP(G8,'Thang đánh giá'!$C$2:$D$27,2,FALSE)</f>
        <v>(0; 0; 0,0707)</v>
      </c>
      <c r="H22" t="str">
        <f>VLOOKUP(H8,'Thang đánh giá'!$C$2:$D$27,2,FALSE)</f>
        <v>(0; 0; 0)</v>
      </c>
      <c r="I22" t="str">
        <f>VLOOKUP(I8,'Thang đánh giá'!$C$2:$D$27,2,FALSE)</f>
        <v>(0; 0,0548; 0,1095)</v>
      </c>
      <c r="J22" t="str">
        <f>VLOOKUP(J8,'Thang đánh giá'!$C$2:$D$27,2,FALSE)</f>
        <v>(0; 0; 0,0707)</v>
      </c>
      <c r="K22" t="str">
        <f>VLOOKUP(K8,'Thang đánh giá'!$C$2:$D$27,2,FALSE)</f>
        <v>(0; 0,0316; 0,0632)</v>
      </c>
      <c r="L22" t="str">
        <f>VLOOKUP(L8,'Thang đánh giá'!$C$2:$D$27,2,FALSE)</f>
        <v>(0; 0; 0,0548)</v>
      </c>
      <c r="M22" t="str">
        <f>VLOOKUP(M8,'Thang đánh giá'!$C$2:$D$27,2,FALSE)</f>
        <v>(0; 0,0548; 0,1095)</v>
      </c>
    </row>
    <row r="23" spans="1:13" x14ac:dyDescent="0.3">
      <c r="A23" t="s">
        <v>7</v>
      </c>
      <c r="B23" t="str">
        <f>VLOOKUP(B9,'Thang đánh giá'!$C$2:$D$27,2,FALSE)</f>
        <v>(0; 0,0837; 0,1673)</v>
      </c>
      <c r="C23" t="str">
        <f>VLOOKUP(C9,'Thang đánh giá'!$C$2:$D$27,2,FALSE)</f>
        <v>(0; 0,0707; 0,1414)</v>
      </c>
      <c r="D23" t="str">
        <f>VLOOKUP(D9,'Thang đánh giá'!$C$2:$D$27,2,FALSE)</f>
        <v>(0; 0,0707; 0,1414)</v>
      </c>
      <c r="E23" t="str">
        <f>VLOOKUP(E9,'Thang đánh giá'!$C$2:$D$27,2,FALSE)</f>
        <v>(0; 0,0548; 0,1095)</v>
      </c>
      <c r="F23" t="str">
        <f>VLOOKUP(F9,'Thang đánh giá'!$C$2:$D$27,2,FALSE)</f>
        <v>(0; 0,0548; 0,1095)</v>
      </c>
      <c r="G23" t="str">
        <f>VLOOKUP(G9,'Thang đánh giá'!$C$2:$D$27,2,FALSE)</f>
        <v>(0; 0; 0,0548)</v>
      </c>
      <c r="H23" t="str">
        <f>VLOOKUP(H9,'Thang đánh giá'!$C$2:$D$27,2,FALSE)</f>
        <v>(0; 0,0707; 0,1414)</v>
      </c>
      <c r="I23" t="str">
        <f>VLOOKUP(I9,'Thang đánh giá'!$C$2:$D$27,2,FALSE)</f>
        <v>(0; 0; 0)</v>
      </c>
      <c r="J23" t="str">
        <f>VLOOKUP(J9,'Thang đánh giá'!$C$2:$D$27,2,FALSE)</f>
        <v>(0,1897; 0,2846; 0,3795)</v>
      </c>
      <c r="K23" t="str">
        <f>VLOOKUP(K9,'Thang đánh giá'!$C$2:$D$27,2,FALSE)</f>
        <v>(0,251; 0,3347; 0,3347)</v>
      </c>
      <c r="L23" t="str">
        <f>VLOOKUP(L9,'Thang đánh giá'!$C$2:$D$27,2,FALSE)</f>
        <v>(0,1897; 0,2846; 0,3795)</v>
      </c>
      <c r="M23" t="str">
        <f>VLOOKUP(M9,'Thang đánh giá'!$C$2:$D$27,2,FALSE)</f>
        <v>(0,2846; 0,3795; 0,3795)</v>
      </c>
    </row>
    <row r="24" spans="1:13" x14ac:dyDescent="0.3">
      <c r="A24" t="s">
        <v>8</v>
      </c>
      <c r="B24" t="str">
        <f>VLOOKUP(B10,'Thang đánh giá'!$C$2:$D$27,2,FALSE)</f>
        <v>(0,1673; 0,251; 0,3347)</v>
      </c>
      <c r="C24" t="str">
        <f>VLOOKUP(C10,'Thang đánh giá'!$C$2:$D$27,2,FALSE)</f>
        <v>(0; 0; 0,0548)</v>
      </c>
      <c r="D24" t="str">
        <f>VLOOKUP(D10,'Thang đánh giá'!$C$2:$D$27,2,FALSE)</f>
        <v>(0; 0; 0,0548)</v>
      </c>
      <c r="E24" t="str">
        <f>VLOOKUP(E10,'Thang đánh giá'!$C$2:$D$27,2,FALSE)</f>
        <v>(0; 0; 0,0548)</v>
      </c>
      <c r="F24" t="str">
        <f>VLOOKUP(F10,'Thang đánh giá'!$C$2:$D$27,2,FALSE)</f>
        <v>(0; 0; 0,0707)</v>
      </c>
      <c r="G24" t="str">
        <f>VLOOKUP(G10,'Thang đánh giá'!$C$2:$D$27,2,FALSE)</f>
        <v>(0; 0; 0,0548)</v>
      </c>
      <c r="H24" t="str">
        <f>VLOOKUP(H10,'Thang đánh giá'!$C$2:$D$27,2,FALSE)</f>
        <v>(0,2846; 0,3795; 0,3795)</v>
      </c>
      <c r="I24" t="str">
        <f>VLOOKUP(I10,'Thang đánh giá'!$C$2:$D$27,2,FALSE)</f>
        <v>(0; 0; 0,0707)</v>
      </c>
      <c r="J24" t="str">
        <f>VLOOKUP(J10,'Thang đánh giá'!$C$2:$D$27,2,FALSE)</f>
        <v>(0; 0; 0)</v>
      </c>
      <c r="K24" t="str">
        <f>VLOOKUP(K10,'Thang đánh giá'!$C$2:$D$27,2,FALSE)</f>
        <v>(0,2846; 0,3795; 0,3795)</v>
      </c>
      <c r="L24" t="str">
        <f>VLOOKUP(L10,'Thang đánh giá'!$C$2:$D$27,2,FALSE)</f>
        <v>(0,2846; 0,3795; 0,3795)</v>
      </c>
      <c r="M24" t="str">
        <f>VLOOKUP(M10,'Thang đánh giá'!$C$2:$D$27,2,FALSE)</f>
        <v>(0,1673; 0,251; 0,3347)</v>
      </c>
    </row>
    <row r="25" spans="1:13" x14ac:dyDescent="0.3">
      <c r="A25" t="s">
        <v>9</v>
      </c>
      <c r="B25" t="str">
        <f>VLOOKUP(B11,'Thang đánh giá'!$C$2:$D$27,2,FALSE)</f>
        <v>(0; 0; 0,0707)</v>
      </c>
      <c r="C25" t="str">
        <f>VLOOKUP(C11,'Thang đánh giá'!$C$2:$D$27,2,FALSE)</f>
        <v>(0; 0; 0,0548)</v>
      </c>
      <c r="D25" t="str">
        <f>VLOOKUP(D11,'Thang đánh giá'!$C$2:$D$27,2,FALSE)</f>
        <v>(0; 0; 0,0837)</v>
      </c>
      <c r="E25" t="str">
        <f>VLOOKUP(E11,'Thang đánh giá'!$C$2:$D$27,2,FALSE)</f>
        <v>(0; 0; 0,0707)</v>
      </c>
      <c r="F25" t="str">
        <f>VLOOKUP(F11,'Thang đánh giá'!$C$2:$D$27,2,FALSE)</f>
        <v>(0; 0,0707; 0,1414)</v>
      </c>
      <c r="G25" t="str">
        <f>VLOOKUP(G11,'Thang đánh giá'!$C$2:$D$27,2,FALSE)</f>
        <v>(0; 0,0548; 0,1095)</v>
      </c>
      <c r="H25" t="str">
        <f>VLOOKUP(H11,'Thang đánh giá'!$C$2:$D$27,2,FALSE)</f>
        <v>(0,0707; 0,1414; 0,2121)</v>
      </c>
      <c r="I25" t="str">
        <f>VLOOKUP(I11,'Thang đánh giá'!$C$2:$D$27,2,FALSE)</f>
        <v>(0; 0; 0,0548)</v>
      </c>
      <c r="J25" t="str">
        <f>VLOOKUP(J11,'Thang đánh giá'!$C$2:$D$27,2,FALSE)</f>
        <v>(0; 0,0316; 0,0632)</v>
      </c>
      <c r="K25" t="str">
        <f>VLOOKUP(K11,'Thang đánh giá'!$C$2:$D$27,2,FALSE)</f>
        <v>(0; 0; 0)</v>
      </c>
      <c r="L25" t="str">
        <f>VLOOKUP(L11,'Thang đánh giá'!$C$2:$D$27,2,FALSE)</f>
        <v>(0; 0,0707; 0,1414)</v>
      </c>
      <c r="M25" t="str">
        <f>VLOOKUP(M11,'Thang đánh giá'!$C$2:$D$27,2,FALSE)</f>
        <v>(0; 0; 0,0548)</v>
      </c>
    </row>
    <row r="26" spans="1:13" x14ac:dyDescent="0.3">
      <c r="A26" t="s">
        <v>10</v>
      </c>
      <c r="B26" t="str">
        <f>VLOOKUP(B12,'Thang đánh giá'!$C$2:$D$27,2,FALSE)</f>
        <v>(0; 0; 0,0548)</v>
      </c>
      <c r="C26" t="str">
        <f>VLOOKUP(C12,'Thang đánh giá'!$C$2:$D$27,2,FALSE)</f>
        <v>(0; 0; 0,0707)</v>
      </c>
      <c r="D26" t="str">
        <f>VLOOKUP(D12,'Thang đánh giá'!$C$2:$D$27,2,FALSE)</f>
        <v>(0; 0; 0,0707)</v>
      </c>
      <c r="E26" t="str">
        <f>VLOOKUP(E12,'Thang đánh giá'!$C$2:$D$27,2,FALSE)</f>
        <v>(0; 0; 0,0707)</v>
      </c>
      <c r="F26" t="str">
        <f>VLOOKUP(F12,'Thang đánh giá'!$C$2:$D$27,2,FALSE)</f>
        <v>(0; 0,0707; 0,1414)</v>
      </c>
      <c r="G26" t="str">
        <f>VLOOKUP(G12,'Thang đánh giá'!$C$2:$D$27,2,FALSE)</f>
        <v>(0; 0,0707; 0,1414)</v>
      </c>
      <c r="H26" t="str">
        <f>VLOOKUP(H12,'Thang đánh giá'!$C$2:$D$27,2,FALSE)</f>
        <v>(0; 0; 0,0548)</v>
      </c>
      <c r="I26" t="str">
        <f>VLOOKUP(I12,'Thang đánh giá'!$C$2:$D$27,2,FALSE)</f>
        <v>(0; 0,0707; 0,1414)</v>
      </c>
      <c r="J26" t="str">
        <f>VLOOKUP(J12,'Thang đánh giá'!$C$2:$D$27,2,FALSE)</f>
        <v>(0; 0; 0,0707)</v>
      </c>
      <c r="K26" t="str">
        <f>VLOOKUP(K12,'Thang đánh giá'!$C$2:$D$27,2,FALSE)</f>
        <v>(0; 0,0837; 0,1673)</v>
      </c>
      <c r="L26" t="str">
        <f>VLOOKUP(L12,'Thang đánh giá'!$C$2:$D$27,2,FALSE)</f>
        <v>(0; 0; 0)</v>
      </c>
      <c r="M26" t="str">
        <f>VLOOKUP(M12,'Thang đánh giá'!$C$2:$D$27,2,FALSE)</f>
        <v>(0,2846; 0,3795; 0,3795)</v>
      </c>
    </row>
    <row r="27" spans="1:13" x14ac:dyDescent="0.3">
      <c r="A27" t="s">
        <v>11</v>
      </c>
      <c r="B27" t="str">
        <f>VLOOKUP(B13,'Thang đánh giá'!$C$2:$D$27,2,FALSE)</f>
        <v>(0; 0,0707; 0,1414)</v>
      </c>
      <c r="C27" t="str">
        <f>VLOOKUP(C13,'Thang đánh giá'!$C$2:$D$27,2,FALSE)</f>
        <v>(0,0707; 0,1414; 0,2121)</v>
      </c>
      <c r="D27" t="str">
        <f>VLOOKUP(D13,'Thang đánh giá'!$C$2:$D$27,2,FALSE)</f>
        <v>(0,0707; 0,1414; 0,2121)</v>
      </c>
      <c r="E27" t="str">
        <f>VLOOKUP(E13,'Thang đánh giá'!$C$2:$D$27,2,FALSE)</f>
        <v>(0; 0,0707; 0,1414)</v>
      </c>
      <c r="F27" t="str">
        <f>VLOOKUP(F13,'Thang đánh giá'!$C$2:$D$27,2,FALSE)</f>
        <v>(0,0707; 0,1414; 0,2121)</v>
      </c>
      <c r="G27" t="str">
        <f>VLOOKUP(G13,'Thang đánh giá'!$C$2:$D$27,2,FALSE)</f>
        <v>(0; 0; 0,0707)</v>
      </c>
      <c r="H27" t="str">
        <f>VLOOKUP(H13,'Thang đánh giá'!$C$2:$D$27,2,FALSE)</f>
        <v>(0; 0; 0,0707)</v>
      </c>
      <c r="I27" t="str">
        <f>VLOOKUP(I13,'Thang đánh giá'!$C$2:$D$27,2,FALSE)</f>
        <v>(0; 0,0548; 0,1095)</v>
      </c>
      <c r="J27" t="str">
        <f>VLOOKUP(J13,'Thang đánh giá'!$C$2:$D$27,2,FALSE)</f>
        <v>(0; 0; 0,0548)</v>
      </c>
      <c r="K27" t="str">
        <f>VLOOKUP(K13,'Thang đánh giá'!$C$2:$D$27,2,FALSE)</f>
        <v>(0; 0; 0,0707)</v>
      </c>
      <c r="L27" t="str">
        <f>VLOOKUP(L13,'Thang đánh giá'!$C$2:$D$27,2,FALSE)</f>
        <v>(0; 0; 0,0316)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0.1673</v>
      </c>
      <c r="D30">
        <f t="shared" si="0"/>
        <v>0.18970000000000001</v>
      </c>
      <c r="E30">
        <f t="shared" si="0"/>
        <v>0</v>
      </c>
      <c r="F30">
        <f t="shared" si="0"/>
        <v>0</v>
      </c>
      <c r="G30">
        <f t="shared" si="0"/>
        <v>0</v>
      </c>
      <c r="H30">
        <f t="shared" si="0"/>
        <v>0</v>
      </c>
      <c r="I30">
        <f t="shared" si="0"/>
        <v>0</v>
      </c>
      <c r="J30">
        <f t="shared" si="0"/>
        <v>0.18970000000000001</v>
      </c>
      <c r="K30">
        <f t="shared" si="0"/>
        <v>0</v>
      </c>
      <c r="L30">
        <f t="shared" si="0"/>
        <v>0</v>
      </c>
      <c r="M30">
        <f t="shared" si="0"/>
        <v>0</v>
      </c>
    </row>
    <row r="31" spans="1:13" x14ac:dyDescent="0.3">
      <c r="A31" t="s">
        <v>1</v>
      </c>
      <c r="B31">
        <f t="shared" ref="B31:M41" si="1">_xlfn.NUMBERVALUE(MID(B17,2,FIND(";",B17,1)-2))</f>
        <v>0</v>
      </c>
      <c r="C31">
        <f t="shared" si="1"/>
        <v>0</v>
      </c>
      <c r="D31">
        <f t="shared" si="1"/>
        <v>0.251</v>
      </c>
      <c r="E31">
        <f t="shared" si="1"/>
        <v>0.28460000000000002</v>
      </c>
      <c r="F31">
        <f t="shared" si="1"/>
        <v>0.1673</v>
      </c>
      <c r="G31">
        <f t="shared" si="1"/>
        <v>0.251</v>
      </c>
      <c r="H31">
        <f t="shared" si="1"/>
        <v>0.251</v>
      </c>
      <c r="I31">
        <f t="shared" si="1"/>
        <v>0</v>
      </c>
      <c r="J31">
        <f t="shared" si="1"/>
        <v>0.251</v>
      </c>
      <c r="K31">
        <f t="shared" si="1"/>
        <v>0.28460000000000002</v>
      </c>
      <c r="L31">
        <f t="shared" si="1"/>
        <v>0.28460000000000002</v>
      </c>
      <c r="M31">
        <f t="shared" si="1"/>
        <v>0.18970000000000001</v>
      </c>
    </row>
    <row r="32" spans="1:13" x14ac:dyDescent="0.3">
      <c r="A32" t="s">
        <v>2</v>
      </c>
      <c r="B32">
        <f t="shared" si="1"/>
        <v>7.0699999999999999E-2</v>
      </c>
      <c r="C32">
        <f t="shared" si="1"/>
        <v>0</v>
      </c>
      <c r="D32">
        <f t="shared" si="1"/>
        <v>0</v>
      </c>
      <c r="E32">
        <f t="shared" si="1"/>
        <v>8.3699999999999997E-2</v>
      </c>
      <c r="F32">
        <f t="shared" si="1"/>
        <v>0</v>
      </c>
      <c r="G32">
        <f t="shared" si="1"/>
        <v>0</v>
      </c>
      <c r="H32">
        <f t="shared" si="1"/>
        <v>8.3699999999999997E-2</v>
      </c>
      <c r="I32">
        <f t="shared" si="1"/>
        <v>0</v>
      </c>
      <c r="J32">
        <f t="shared" si="1"/>
        <v>0.18970000000000001</v>
      </c>
      <c r="K32">
        <f t="shared" si="1"/>
        <v>0.28460000000000002</v>
      </c>
      <c r="L32">
        <f t="shared" si="1"/>
        <v>0.1673</v>
      </c>
      <c r="M32">
        <f t="shared" si="1"/>
        <v>0.18970000000000001</v>
      </c>
    </row>
    <row r="33" spans="1:13" x14ac:dyDescent="0.3">
      <c r="A33" t="s">
        <v>3</v>
      </c>
      <c r="B33">
        <f t="shared" si="1"/>
        <v>0</v>
      </c>
      <c r="C33">
        <f t="shared" si="1"/>
        <v>0</v>
      </c>
      <c r="D33">
        <f t="shared" si="1"/>
        <v>0</v>
      </c>
      <c r="E33">
        <f t="shared" si="1"/>
        <v>0</v>
      </c>
      <c r="F33">
        <f t="shared" si="1"/>
        <v>0.1673</v>
      </c>
      <c r="G33">
        <f t="shared" si="1"/>
        <v>7.0699999999999999E-2</v>
      </c>
      <c r="H33">
        <f t="shared" si="1"/>
        <v>0.18970000000000001</v>
      </c>
      <c r="I33">
        <f t="shared" si="1"/>
        <v>7.0699999999999999E-2</v>
      </c>
      <c r="J33">
        <f t="shared" si="1"/>
        <v>0.251</v>
      </c>
      <c r="K33">
        <f t="shared" si="1"/>
        <v>0</v>
      </c>
      <c r="L33">
        <f t="shared" si="1"/>
        <v>0.1673</v>
      </c>
      <c r="M33">
        <f t="shared" si="1"/>
        <v>0.28460000000000002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0</v>
      </c>
      <c r="D34">
        <f t="shared" si="2"/>
        <v>0</v>
      </c>
      <c r="E34">
        <f t="shared" si="2"/>
        <v>0</v>
      </c>
      <c r="F34">
        <f t="shared" si="2"/>
        <v>0</v>
      </c>
      <c r="G34">
        <f t="shared" si="2"/>
        <v>8.3699999999999997E-2</v>
      </c>
      <c r="H34">
        <f t="shared" si="2"/>
        <v>0</v>
      </c>
      <c r="I34">
        <f t="shared" si="2"/>
        <v>0</v>
      </c>
      <c r="J34">
        <f t="shared" si="2"/>
        <v>0.1673</v>
      </c>
      <c r="K34">
        <f t="shared" si="2"/>
        <v>0.251</v>
      </c>
      <c r="L34">
        <f t="shared" si="2"/>
        <v>7.0699999999999999E-2</v>
      </c>
      <c r="M34">
        <f t="shared" si="2"/>
        <v>0</v>
      </c>
    </row>
    <row r="35" spans="1:13" x14ac:dyDescent="0.3">
      <c r="A35" t="s">
        <v>5</v>
      </c>
      <c r="B35">
        <f t="shared" si="1"/>
        <v>0</v>
      </c>
      <c r="C35">
        <f t="shared" si="1"/>
        <v>7.0699999999999999E-2</v>
      </c>
      <c r="D35">
        <f t="shared" si="1"/>
        <v>0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0</v>
      </c>
      <c r="J35">
        <f t="shared" si="1"/>
        <v>0.18970000000000001</v>
      </c>
      <c r="K35">
        <f t="shared" si="1"/>
        <v>0</v>
      </c>
      <c r="L35">
        <f t="shared" si="1"/>
        <v>0</v>
      </c>
      <c r="M35">
        <f t="shared" si="1"/>
        <v>0</v>
      </c>
    </row>
    <row r="36" spans="1:13" x14ac:dyDescent="0.3">
      <c r="A36" t="s">
        <v>6</v>
      </c>
      <c r="B36">
        <f t="shared" si="1"/>
        <v>0</v>
      </c>
      <c r="C36">
        <f t="shared" si="1"/>
        <v>0</v>
      </c>
      <c r="D36">
        <f t="shared" si="1"/>
        <v>0</v>
      </c>
      <c r="E36">
        <f t="shared" si="1"/>
        <v>0</v>
      </c>
      <c r="F36">
        <f t="shared" si="1"/>
        <v>0</v>
      </c>
      <c r="G36">
        <f t="shared" si="1"/>
        <v>0</v>
      </c>
      <c r="H36">
        <f t="shared" si="1"/>
        <v>0</v>
      </c>
      <c r="I36">
        <f t="shared" si="1"/>
        <v>0</v>
      </c>
      <c r="J36">
        <f t="shared" si="1"/>
        <v>0</v>
      </c>
      <c r="K36">
        <f t="shared" si="1"/>
        <v>0</v>
      </c>
      <c r="L36">
        <f t="shared" si="1"/>
        <v>0</v>
      </c>
      <c r="M36">
        <f t="shared" si="1"/>
        <v>0</v>
      </c>
    </row>
    <row r="37" spans="1:13" x14ac:dyDescent="0.3">
      <c r="A37" t="s">
        <v>7</v>
      </c>
      <c r="B37">
        <f t="shared" si="1"/>
        <v>0</v>
      </c>
      <c r="C37">
        <f t="shared" si="1"/>
        <v>0</v>
      </c>
      <c r="D37">
        <f t="shared" si="1"/>
        <v>0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0.18970000000000001</v>
      </c>
      <c r="K37">
        <f t="shared" si="1"/>
        <v>0.251</v>
      </c>
      <c r="L37">
        <f t="shared" si="1"/>
        <v>0.18970000000000001</v>
      </c>
      <c r="M37">
        <f t="shared" si="1"/>
        <v>0.28460000000000002</v>
      </c>
    </row>
    <row r="38" spans="1:13" x14ac:dyDescent="0.3">
      <c r="A38" t="s">
        <v>8</v>
      </c>
      <c r="B38">
        <f t="shared" si="1"/>
        <v>0.1673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0.28460000000000002</v>
      </c>
      <c r="I38">
        <f t="shared" si="1"/>
        <v>0</v>
      </c>
      <c r="J38">
        <f t="shared" si="1"/>
        <v>0</v>
      </c>
      <c r="K38">
        <f t="shared" si="1"/>
        <v>0.28460000000000002</v>
      </c>
      <c r="L38">
        <f t="shared" si="1"/>
        <v>0.28460000000000002</v>
      </c>
      <c r="M38">
        <f t="shared" si="1"/>
        <v>0.1673</v>
      </c>
    </row>
    <row r="39" spans="1:13" x14ac:dyDescent="0.3">
      <c r="A39" t="s">
        <v>9</v>
      </c>
      <c r="B39">
        <f t="shared" si="1"/>
        <v>0</v>
      </c>
      <c r="C39">
        <f t="shared" si="1"/>
        <v>0</v>
      </c>
      <c r="D39">
        <f t="shared" si="1"/>
        <v>0</v>
      </c>
      <c r="E39">
        <f t="shared" si="1"/>
        <v>0</v>
      </c>
      <c r="F39">
        <f t="shared" si="1"/>
        <v>0</v>
      </c>
      <c r="G39">
        <f t="shared" si="1"/>
        <v>0</v>
      </c>
      <c r="H39">
        <f t="shared" si="1"/>
        <v>7.0699999999999999E-2</v>
      </c>
      <c r="I39">
        <f t="shared" si="1"/>
        <v>0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0</v>
      </c>
    </row>
    <row r="40" spans="1:13" x14ac:dyDescent="0.3">
      <c r="A40" t="s">
        <v>10</v>
      </c>
      <c r="B40">
        <f t="shared" si="1"/>
        <v>0</v>
      </c>
      <c r="C40">
        <f t="shared" si="1"/>
        <v>0</v>
      </c>
      <c r="D40">
        <f t="shared" si="1"/>
        <v>0</v>
      </c>
      <c r="E40">
        <f t="shared" si="1"/>
        <v>0</v>
      </c>
      <c r="F40">
        <f t="shared" si="1"/>
        <v>0</v>
      </c>
      <c r="G40">
        <f t="shared" si="1"/>
        <v>0</v>
      </c>
      <c r="H40">
        <f t="shared" si="1"/>
        <v>0</v>
      </c>
      <c r="I40">
        <f t="shared" si="1"/>
        <v>0</v>
      </c>
      <c r="J40">
        <f t="shared" si="1"/>
        <v>0</v>
      </c>
      <c r="K40">
        <f t="shared" si="1"/>
        <v>0</v>
      </c>
      <c r="L40">
        <f t="shared" si="1"/>
        <v>0</v>
      </c>
      <c r="M40">
        <f t="shared" si="1"/>
        <v>0.28460000000000002</v>
      </c>
    </row>
    <row r="41" spans="1:13" x14ac:dyDescent="0.3">
      <c r="A41" t="s">
        <v>11</v>
      </c>
      <c r="B41">
        <f t="shared" si="1"/>
        <v>0</v>
      </c>
      <c r="C41">
        <f t="shared" si="1"/>
        <v>7.0699999999999999E-2</v>
      </c>
      <c r="D41">
        <f t="shared" si="1"/>
        <v>7.0699999999999999E-2</v>
      </c>
      <c r="E41">
        <f t="shared" si="1"/>
        <v>0</v>
      </c>
      <c r="F41">
        <f t="shared" si="1"/>
        <v>7.0699999999999999E-2</v>
      </c>
      <c r="G41">
        <f t="shared" si="1"/>
        <v>0</v>
      </c>
      <c r="H41">
        <f t="shared" si="1"/>
        <v>0</v>
      </c>
      <c r="I41">
        <f t="shared" si="1"/>
        <v>0</v>
      </c>
      <c r="J41">
        <f t="shared" si="1"/>
        <v>0</v>
      </c>
      <c r="K41">
        <f t="shared" si="1"/>
        <v>0</v>
      </c>
      <c r="L41">
        <f t="shared" si="1"/>
        <v>0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0.251</v>
      </c>
      <c r="D44">
        <f t="shared" si="3"/>
        <v>0.28460000000000002</v>
      </c>
      <c r="E44">
        <f t="shared" si="3"/>
        <v>0</v>
      </c>
      <c r="F44">
        <f t="shared" si="3"/>
        <v>0</v>
      </c>
      <c r="G44">
        <f t="shared" si="3"/>
        <v>5.4800000000000001E-2</v>
      </c>
      <c r="H44">
        <f t="shared" si="3"/>
        <v>0</v>
      </c>
      <c r="I44">
        <f t="shared" si="3"/>
        <v>0</v>
      </c>
      <c r="J44">
        <f t="shared" si="3"/>
        <v>0.28460000000000002</v>
      </c>
      <c r="K44">
        <f t="shared" si="3"/>
        <v>7.0699999999999999E-2</v>
      </c>
      <c r="L44">
        <f t="shared" si="3"/>
        <v>5.4800000000000001E-2</v>
      </c>
      <c r="M44">
        <f t="shared" si="3"/>
        <v>7.0699999999999999E-2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3.1600000000000003E-2</v>
      </c>
      <c r="C45">
        <f t="shared" si="4"/>
        <v>0</v>
      </c>
      <c r="D45">
        <f t="shared" si="4"/>
        <v>0.3347</v>
      </c>
      <c r="E45">
        <f t="shared" si="4"/>
        <v>0.3795</v>
      </c>
      <c r="F45">
        <f t="shared" si="4"/>
        <v>0.251</v>
      </c>
      <c r="G45">
        <f t="shared" si="4"/>
        <v>0.3347</v>
      </c>
      <c r="H45">
        <f t="shared" si="4"/>
        <v>0.3347</v>
      </c>
      <c r="I45">
        <f t="shared" si="4"/>
        <v>7.0699999999999999E-2</v>
      </c>
      <c r="J45">
        <f t="shared" si="4"/>
        <v>0.3347</v>
      </c>
      <c r="K45">
        <f t="shared" si="4"/>
        <v>0.3795</v>
      </c>
      <c r="L45">
        <f t="shared" si="4"/>
        <v>0.3795</v>
      </c>
      <c r="M45">
        <f t="shared" si="4"/>
        <v>0.28460000000000002</v>
      </c>
    </row>
    <row r="46" spans="1:13" x14ac:dyDescent="0.3">
      <c r="A46" t="s">
        <v>2</v>
      </c>
      <c r="B46">
        <f t="shared" si="4"/>
        <v>0.1414</v>
      </c>
      <c r="C46">
        <f t="shared" si="4"/>
        <v>0</v>
      </c>
      <c r="D46">
        <f t="shared" si="4"/>
        <v>0</v>
      </c>
      <c r="E46">
        <f t="shared" si="4"/>
        <v>0.1673</v>
      </c>
      <c r="F46">
        <f t="shared" si="4"/>
        <v>7.0699999999999999E-2</v>
      </c>
      <c r="G46">
        <f t="shared" si="4"/>
        <v>5.4800000000000001E-2</v>
      </c>
      <c r="H46">
        <f t="shared" si="4"/>
        <v>0.1673</v>
      </c>
      <c r="I46">
        <f t="shared" si="4"/>
        <v>0</v>
      </c>
      <c r="J46">
        <f t="shared" si="4"/>
        <v>0.28460000000000002</v>
      </c>
      <c r="K46">
        <f t="shared" si="4"/>
        <v>0.3795</v>
      </c>
      <c r="L46">
        <f t="shared" si="4"/>
        <v>0.251</v>
      </c>
      <c r="M46">
        <f t="shared" si="4"/>
        <v>0.28460000000000002</v>
      </c>
    </row>
    <row r="47" spans="1:13" x14ac:dyDescent="0.3">
      <c r="A47" t="s">
        <v>3</v>
      </c>
      <c r="B47">
        <f t="shared" si="4"/>
        <v>7.0699999999999999E-2</v>
      </c>
      <c r="C47">
        <f t="shared" si="4"/>
        <v>8.3699999999999997E-2</v>
      </c>
      <c r="D47">
        <f t="shared" si="4"/>
        <v>0</v>
      </c>
      <c r="E47">
        <f t="shared" si="4"/>
        <v>0</v>
      </c>
      <c r="F47">
        <f t="shared" si="4"/>
        <v>0.251</v>
      </c>
      <c r="G47">
        <f t="shared" si="4"/>
        <v>0.1414</v>
      </c>
      <c r="H47">
        <f t="shared" si="4"/>
        <v>0.28460000000000002</v>
      </c>
      <c r="I47">
        <f t="shared" si="4"/>
        <v>0.1414</v>
      </c>
      <c r="J47">
        <f t="shared" si="4"/>
        <v>0.3347</v>
      </c>
      <c r="K47">
        <f t="shared" si="4"/>
        <v>0</v>
      </c>
      <c r="L47">
        <f t="shared" si="4"/>
        <v>0.251</v>
      </c>
      <c r="M47">
        <f t="shared" si="4"/>
        <v>0.3795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3.1600000000000003E-2</v>
      </c>
      <c r="C48">
        <f t="shared" si="5"/>
        <v>7.0699999999999999E-2</v>
      </c>
      <c r="D48">
        <f t="shared" si="5"/>
        <v>7.0699999999999999E-2</v>
      </c>
      <c r="E48">
        <f t="shared" si="5"/>
        <v>7.0699999999999999E-2</v>
      </c>
      <c r="F48">
        <f t="shared" si="5"/>
        <v>0</v>
      </c>
      <c r="G48">
        <f t="shared" si="5"/>
        <v>0.1673</v>
      </c>
      <c r="H48">
        <f t="shared" si="5"/>
        <v>0</v>
      </c>
      <c r="I48">
        <f t="shared" si="5"/>
        <v>7.0699999999999999E-2</v>
      </c>
      <c r="J48">
        <f t="shared" si="5"/>
        <v>0.251</v>
      </c>
      <c r="K48">
        <f t="shared" si="5"/>
        <v>0.3347</v>
      </c>
      <c r="L48">
        <f t="shared" si="5"/>
        <v>0.1414</v>
      </c>
      <c r="M48">
        <f t="shared" si="5"/>
        <v>7.0699999999999999E-2</v>
      </c>
    </row>
    <row r="49" spans="1:13" x14ac:dyDescent="0.3">
      <c r="A49" t="s">
        <v>5</v>
      </c>
      <c r="B49">
        <f t="shared" si="4"/>
        <v>0</v>
      </c>
      <c r="C49">
        <f t="shared" si="4"/>
        <v>0.1414</v>
      </c>
      <c r="D49">
        <f t="shared" si="4"/>
        <v>0</v>
      </c>
      <c r="E49">
        <f t="shared" si="4"/>
        <v>0</v>
      </c>
      <c r="F49">
        <f t="shared" si="4"/>
        <v>0</v>
      </c>
      <c r="G49">
        <f t="shared" si="4"/>
        <v>0</v>
      </c>
      <c r="H49">
        <f t="shared" si="4"/>
        <v>0</v>
      </c>
      <c r="I49">
        <f t="shared" si="4"/>
        <v>7.0699999999999999E-2</v>
      </c>
      <c r="J49">
        <f t="shared" si="4"/>
        <v>0.28460000000000002</v>
      </c>
      <c r="K49">
        <f t="shared" si="4"/>
        <v>7.0699999999999999E-2</v>
      </c>
      <c r="L49">
        <f t="shared" si="4"/>
        <v>5.4800000000000001E-2</v>
      </c>
      <c r="M49">
        <f t="shared" si="4"/>
        <v>0</v>
      </c>
    </row>
    <row r="50" spans="1:13" x14ac:dyDescent="0.3">
      <c r="A50" t="s">
        <v>6</v>
      </c>
      <c r="B50">
        <f t="shared" si="4"/>
        <v>5.4800000000000001E-2</v>
      </c>
      <c r="C50">
        <f t="shared" si="4"/>
        <v>7.0699999999999999E-2</v>
      </c>
      <c r="D50">
        <f t="shared" si="4"/>
        <v>0</v>
      </c>
      <c r="E50">
        <f t="shared" si="4"/>
        <v>7.0699999999999999E-2</v>
      </c>
      <c r="F50">
        <f t="shared" si="4"/>
        <v>0</v>
      </c>
      <c r="G50">
        <f t="shared" si="4"/>
        <v>0</v>
      </c>
      <c r="H50">
        <f t="shared" si="4"/>
        <v>0</v>
      </c>
      <c r="I50">
        <f t="shared" si="4"/>
        <v>5.4800000000000001E-2</v>
      </c>
      <c r="J50">
        <f t="shared" si="4"/>
        <v>0</v>
      </c>
      <c r="K50">
        <f t="shared" si="4"/>
        <v>3.1600000000000003E-2</v>
      </c>
      <c r="L50">
        <f t="shared" si="4"/>
        <v>0</v>
      </c>
      <c r="M50">
        <f t="shared" si="4"/>
        <v>5.4800000000000001E-2</v>
      </c>
    </row>
    <row r="51" spans="1:13" x14ac:dyDescent="0.3">
      <c r="A51" t="s">
        <v>7</v>
      </c>
      <c r="B51">
        <f t="shared" si="4"/>
        <v>8.3699999999999997E-2</v>
      </c>
      <c r="C51">
        <f t="shared" si="4"/>
        <v>7.0699999999999999E-2</v>
      </c>
      <c r="D51">
        <f t="shared" si="4"/>
        <v>7.0699999999999999E-2</v>
      </c>
      <c r="E51">
        <f t="shared" si="4"/>
        <v>5.4800000000000001E-2</v>
      </c>
      <c r="F51">
        <f t="shared" si="4"/>
        <v>5.4800000000000001E-2</v>
      </c>
      <c r="G51">
        <f t="shared" si="4"/>
        <v>0</v>
      </c>
      <c r="H51">
        <f t="shared" si="4"/>
        <v>7.0699999999999999E-2</v>
      </c>
      <c r="I51">
        <f t="shared" si="4"/>
        <v>0</v>
      </c>
      <c r="J51">
        <f t="shared" si="4"/>
        <v>0.28460000000000002</v>
      </c>
      <c r="K51">
        <f t="shared" si="4"/>
        <v>0.3347</v>
      </c>
      <c r="L51">
        <f t="shared" si="4"/>
        <v>0.28460000000000002</v>
      </c>
      <c r="M51">
        <f t="shared" si="4"/>
        <v>0.3795</v>
      </c>
    </row>
    <row r="52" spans="1:13" x14ac:dyDescent="0.3">
      <c r="A52" t="s">
        <v>8</v>
      </c>
      <c r="B52">
        <f t="shared" si="4"/>
        <v>0.251</v>
      </c>
      <c r="C52">
        <f t="shared" si="4"/>
        <v>0</v>
      </c>
      <c r="D52">
        <f t="shared" si="4"/>
        <v>0</v>
      </c>
      <c r="E52">
        <f t="shared" si="4"/>
        <v>0</v>
      </c>
      <c r="F52">
        <f t="shared" si="4"/>
        <v>0</v>
      </c>
      <c r="G52">
        <f t="shared" si="4"/>
        <v>0</v>
      </c>
      <c r="H52">
        <f t="shared" si="4"/>
        <v>0.3795</v>
      </c>
      <c r="I52">
        <f t="shared" si="4"/>
        <v>0</v>
      </c>
      <c r="J52">
        <f t="shared" si="4"/>
        <v>0</v>
      </c>
      <c r="K52">
        <f t="shared" si="4"/>
        <v>0.3795</v>
      </c>
      <c r="L52">
        <f t="shared" si="4"/>
        <v>0.3795</v>
      </c>
      <c r="M52">
        <f t="shared" si="4"/>
        <v>0.251</v>
      </c>
    </row>
    <row r="53" spans="1:13" x14ac:dyDescent="0.3">
      <c r="A53" t="s">
        <v>9</v>
      </c>
      <c r="B53">
        <f t="shared" si="4"/>
        <v>0</v>
      </c>
      <c r="C53">
        <f t="shared" si="4"/>
        <v>0</v>
      </c>
      <c r="D53">
        <f t="shared" si="4"/>
        <v>0</v>
      </c>
      <c r="E53">
        <f t="shared" si="4"/>
        <v>0</v>
      </c>
      <c r="F53">
        <f t="shared" si="4"/>
        <v>7.0699999999999999E-2</v>
      </c>
      <c r="G53">
        <f t="shared" si="4"/>
        <v>5.4800000000000001E-2</v>
      </c>
      <c r="H53">
        <f t="shared" si="4"/>
        <v>0.1414</v>
      </c>
      <c r="I53">
        <f t="shared" si="4"/>
        <v>0</v>
      </c>
      <c r="J53">
        <f t="shared" si="4"/>
        <v>3.1600000000000003E-2</v>
      </c>
      <c r="K53">
        <f t="shared" si="4"/>
        <v>0</v>
      </c>
      <c r="L53">
        <f t="shared" si="4"/>
        <v>7.0699999999999999E-2</v>
      </c>
      <c r="M53">
        <f t="shared" si="4"/>
        <v>0</v>
      </c>
    </row>
    <row r="54" spans="1:13" x14ac:dyDescent="0.3">
      <c r="A54" t="s">
        <v>10</v>
      </c>
      <c r="B54">
        <f t="shared" si="4"/>
        <v>0</v>
      </c>
      <c r="C54">
        <f t="shared" si="4"/>
        <v>0</v>
      </c>
      <c r="D54">
        <f t="shared" si="4"/>
        <v>0</v>
      </c>
      <c r="E54">
        <f t="shared" si="4"/>
        <v>0</v>
      </c>
      <c r="F54">
        <f t="shared" si="4"/>
        <v>7.0699999999999999E-2</v>
      </c>
      <c r="G54">
        <f t="shared" si="4"/>
        <v>7.0699999999999999E-2</v>
      </c>
      <c r="H54">
        <f t="shared" si="4"/>
        <v>0</v>
      </c>
      <c r="I54">
        <f t="shared" si="4"/>
        <v>7.0699999999999999E-2</v>
      </c>
      <c r="J54">
        <f t="shared" si="4"/>
        <v>0</v>
      </c>
      <c r="K54">
        <f t="shared" si="4"/>
        <v>8.3699999999999997E-2</v>
      </c>
      <c r="L54">
        <f t="shared" si="4"/>
        <v>0</v>
      </c>
      <c r="M54">
        <f t="shared" si="4"/>
        <v>0.3795</v>
      </c>
    </row>
    <row r="55" spans="1:13" x14ac:dyDescent="0.3">
      <c r="A55" t="s">
        <v>11</v>
      </c>
      <c r="B55">
        <f t="shared" si="4"/>
        <v>7.0699999999999999E-2</v>
      </c>
      <c r="C55">
        <f t="shared" si="4"/>
        <v>0.1414</v>
      </c>
      <c r="D55">
        <f t="shared" si="4"/>
        <v>0.1414</v>
      </c>
      <c r="E55">
        <f t="shared" si="4"/>
        <v>7.0699999999999999E-2</v>
      </c>
      <c r="F55">
        <f t="shared" si="4"/>
        <v>0.1414</v>
      </c>
      <c r="G55">
        <f t="shared" si="4"/>
        <v>0</v>
      </c>
      <c r="H55">
        <f t="shared" si="4"/>
        <v>0</v>
      </c>
      <c r="I55">
        <f t="shared" si="4"/>
        <v>5.4800000000000001E-2</v>
      </c>
      <c r="J55">
        <f t="shared" si="4"/>
        <v>0</v>
      </c>
      <c r="K55">
        <f t="shared" si="4"/>
        <v>0</v>
      </c>
      <c r="L55">
        <f t="shared" si="4"/>
        <v>0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0.3347</v>
      </c>
      <c r="D58">
        <f t="shared" si="6"/>
        <v>0.3795</v>
      </c>
      <c r="E58">
        <f t="shared" si="6"/>
        <v>7.0699999999999999E-2</v>
      </c>
      <c r="F58">
        <f t="shared" si="6"/>
        <v>7.0699999999999999E-2</v>
      </c>
      <c r="G58">
        <f t="shared" si="6"/>
        <v>0.1095</v>
      </c>
      <c r="H58">
        <f t="shared" si="6"/>
        <v>5.4800000000000001E-2</v>
      </c>
      <c r="I58">
        <f t="shared" si="6"/>
        <v>5.4800000000000001E-2</v>
      </c>
      <c r="J58">
        <f t="shared" si="6"/>
        <v>0.3795</v>
      </c>
      <c r="K58">
        <f t="shared" si="6"/>
        <v>0.1414</v>
      </c>
      <c r="L58">
        <f t="shared" si="6"/>
        <v>0.1095</v>
      </c>
      <c r="M58">
        <f t="shared" si="6"/>
        <v>0.1414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6.3200000000000006E-2</v>
      </c>
      <c r="C59">
        <f t="shared" si="7"/>
        <v>0</v>
      </c>
      <c r="D59">
        <f t="shared" si="7"/>
        <v>0.3347</v>
      </c>
      <c r="E59">
        <f t="shared" si="7"/>
        <v>0.3795</v>
      </c>
      <c r="F59">
        <f t="shared" si="7"/>
        <v>0.3347</v>
      </c>
      <c r="G59">
        <f t="shared" si="7"/>
        <v>0.3347</v>
      </c>
      <c r="H59">
        <f t="shared" si="7"/>
        <v>0.3347</v>
      </c>
      <c r="I59">
        <f t="shared" si="7"/>
        <v>0.1414</v>
      </c>
      <c r="J59">
        <f t="shared" si="7"/>
        <v>0.3347</v>
      </c>
      <c r="K59">
        <f t="shared" si="7"/>
        <v>0.3795</v>
      </c>
      <c r="L59">
        <f t="shared" si="7"/>
        <v>0.3795</v>
      </c>
      <c r="M59">
        <f t="shared" si="7"/>
        <v>0.3795</v>
      </c>
    </row>
    <row r="60" spans="1:13" x14ac:dyDescent="0.3">
      <c r="A60" t="s">
        <v>2</v>
      </c>
      <c r="B60">
        <f t="shared" si="7"/>
        <v>0.21210000000000001</v>
      </c>
      <c r="C60">
        <f t="shared" si="7"/>
        <v>7.0699999999999999E-2</v>
      </c>
      <c r="D60">
        <f t="shared" si="7"/>
        <v>0</v>
      </c>
      <c r="E60">
        <f t="shared" si="7"/>
        <v>0.251</v>
      </c>
      <c r="F60">
        <f t="shared" si="7"/>
        <v>0.1414</v>
      </c>
      <c r="G60">
        <f t="shared" si="7"/>
        <v>0.1095</v>
      </c>
      <c r="H60">
        <f t="shared" si="7"/>
        <v>0.251</v>
      </c>
      <c r="I60">
        <f t="shared" si="7"/>
        <v>7.0699999999999999E-2</v>
      </c>
      <c r="J60">
        <f t="shared" si="7"/>
        <v>0.3795</v>
      </c>
      <c r="K60">
        <f t="shared" si="7"/>
        <v>0.3795</v>
      </c>
      <c r="L60">
        <f t="shared" si="7"/>
        <v>0.3347</v>
      </c>
      <c r="M60">
        <f t="shared" si="7"/>
        <v>0.3795</v>
      </c>
    </row>
    <row r="61" spans="1:13" x14ac:dyDescent="0.3">
      <c r="A61" t="s">
        <v>3</v>
      </c>
      <c r="B61">
        <f t="shared" si="7"/>
        <v>0.1414</v>
      </c>
      <c r="C61">
        <f t="shared" si="7"/>
        <v>0.1673</v>
      </c>
      <c r="D61">
        <f t="shared" si="7"/>
        <v>5.4800000000000001E-2</v>
      </c>
      <c r="E61">
        <f t="shared" si="7"/>
        <v>0</v>
      </c>
      <c r="F61">
        <f t="shared" si="7"/>
        <v>0.3347</v>
      </c>
      <c r="G61">
        <f t="shared" si="7"/>
        <v>0.21210000000000001</v>
      </c>
      <c r="H61">
        <f t="shared" si="7"/>
        <v>0.3795</v>
      </c>
      <c r="I61">
        <f t="shared" si="7"/>
        <v>0.21210000000000001</v>
      </c>
      <c r="J61">
        <f t="shared" si="7"/>
        <v>0.3347</v>
      </c>
      <c r="K61">
        <f t="shared" si="7"/>
        <v>8.3699999999999997E-2</v>
      </c>
      <c r="L61">
        <f t="shared" si="7"/>
        <v>0.3347</v>
      </c>
      <c r="M61">
        <f t="shared" si="7"/>
        <v>0.3795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6.3200000000000006E-2</v>
      </c>
      <c r="C62">
        <f t="shared" si="8"/>
        <v>0.1414</v>
      </c>
      <c r="D62">
        <f t="shared" si="8"/>
        <v>0.1414</v>
      </c>
      <c r="E62">
        <f t="shared" si="8"/>
        <v>0.1414</v>
      </c>
      <c r="F62">
        <f t="shared" si="8"/>
        <v>0</v>
      </c>
      <c r="G62">
        <f t="shared" si="8"/>
        <v>0.251</v>
      </c>
      <c r="H62">
        <f t="shared" si="8"/>
        <v>5.4800000000000001E-2</v>
      </c>
      <c r="I62">
        <f t="shared" si="8"/>
        <v>0.1414</v>
      </c>
      <c r="J62">
        <f t="shared" si="8"/>
        <v>0.3347</v>
      </c>
      <c r="K62">
        <f t="shared" si="8"/>
        <v>0.3347</v>
      </c>
      <c r="L62">
        <f t="shared" si="8"/>
        <v>0.21210000000000001</v>
      </c>
      <c r="M62">
        <f t="shared" si="8"/>
        <v>0.1414</v>
      </c>
    </row>
    <row r="63" spans="1:13" x14ac:dyDescent="0.3">
      <c r="A63" t="s">
        <v>5</v>
      </c>
      <c r="B63">
        <f t="shared" si="7"/>
        <v>3.1600000000000003E-2</v>
      </c>
      <c r="C63">
        <f t="shared" si="7"/>
        <v>0.21210000000000001</v>
      </c>
      <c r="D63">
        <f t="shared" si="7"/>
        <v>5.4800000000000001E-2</v>
      </c>
      <c r="E63">
        <f t="shared" si="7"/>
        <v>7.0699999999999999E-2</v>
      </c>
      <c r="F63">
        <f t="shared" si="7"/>
        <v>5.4800000000000001E-2</v>
      </c>
      <c r="G63">
        <f t="shared" si="7"/>
        <v>0</v>
      </c>
      <c r="H63">
        <f t="shared" si="7"/>
        <v>5.4800000000000001E-2</v>
      </c>
      <c r="I63">
        <f t="shared" si="7"/>
        <v>0.1414</v>
      </c>
      <c r="J63">
        <f t="shared" si="7"/>
        <v>0.3795</v>
      </c>
      <c r="K63">
        <f t="shared" si="7"/>
        <v>0.1414</v>
      </c>
      <c r="L63">
        <f t="shared" si="7"/>
        <v>0.1095</v>
      </c>
      <c r="M63">
        <f t="shared" si="7"/>
        <v>7.0699999999999999E-2</v>
      </c>
    </row>
    <row r="64" spans="1:13" x14ac:dyDescent="0.3">
      <c r="A64" t="s">
        <v>6</v>
      </c>
      <c r="B64">
        <f t="shared" si="7"/>
        <v>0.1095</v>
      </c>
      <c r="C64">
        <f t="shared" si="7"/>
        <v>0.1414</v>
      </c>
      <c r="D64">
        <f t="shared" si="7"/>
        <v>7.0699999999999999E-2</v>
      </c>
      <c r="E64">
        <f t="shared" si="7"/>
        <v>0.1414</v>
      </c>
      <c r="F64">
        <f t="shared" si="7"/>
        <v>7.0699999999999999E-2</v>
      </c>
      <c r="G64">
        <f t="shared" si="7"/>
        <v>7.0699999999999999E-2</v>
      </c>
      <c r="H64">
        <f t="shared" si="7"/>
        <v>0</v>
      </c>
      <c r="I64">
        <f t="shared" si="7"/>
        <v>0.1095</v>
      </c>
      <c r="J64">
        <f t="shared" si="7"/>
        <v>7.0699999999999999E-2</v>
      </c>
      <c r="K64">
        <f t="shared" si="7"/>
        <v>6.3200000000000006E-2</v>
      </c>
      <c r="L64">
        <f t="shared" si="7"/>
        <v>5.4800000000000001E-2</v>
      </c>
      <c r="M64">
        <f t="shared" si="7"/>
        <v>0.1095</v>
      </c>
    </row>
    <row r="65" spans="1:13" x14ac:dyDescent="0.3">
      <c r="A65" t="s">
        <v>7</v>
      </c>
      <c r="B65">
        <f t="shared" si="7"/>
        <v>0.1673</v>
      </c>
      <c r="C65">
        <f t="shared" si="7"/>
        <v>0.1414</v>
      </c>
      <c r="D65">
        <f t="shared" si="7"/>
        <v>0.1414</v>
      </c>
      <c r="E65">
        <f t="shared" si="7"/>
        <v>0.1095</v>
      </c>
      <c r="F65">
        <f t="shared" si="7"/>
        <v>0.1095</v>
      </c>
      <c r="G65">
        <f t="shared" si="7"/>
        <v>5.4800000000000001E-2</v>
      </c>
      <c r="H65">
        <f t="shared" si="7"/>
        <v>0.1414</v>
      </c>
      <c r="I65">
        <f t="shared" si="7"/>
        <v>0</v>
      </c>
      <c r="J65">
        <f t="shared" si="7"/>
        <v>0.3795</v>
      </c>
      <c r="K65">
        <f t="shared" si="7"/>
        <v>0.3347</v>
      </c>
      <c r="L65">
        <f t="shared" si="7"/>
        <v>0.3795</v>
      </c>
      <c r="M65">
        <f t="shared" si="7"/>
        <v>0.3795</v>
      </c>
    </row>
    <row r="66" spans="1:13" x14ac:dyDescent="0.3">
      <c r="A66" t="s">
        <v>8</v>
      </c>
      <c r="B66">
        <f t="shared" si="7"/>
        <v>0.3347</v>
      </c>
      <c r="C66">
        <f t="shared" si="7"/>
        <v>5.4800000000000001E-2</v>
      </c>
      <c r="D66">
        <f t="shared" si="7"/>
        <v>5.4800000000000001E-2</v>
      </c>
      <c r="E66">
        <f t="shared" si="7"/>
        <v>5.4800000000000001E-2</v>
      </c>
      <c r="F66">
        <f t="shared" si="7"/>
        <v>7.0699999999999999E-2</v>
      </c>
      <c r="G66">
        <f t="shared" si="7"/>
        <v>5.4800000000000001E-2</v>
      </c>
      <c r="H66">
        <f t="shared" si="7"/>
        <v>0.3795</v>
      </c>
      <c r="I66">
        <f t="shared" si="7"/>
        <v>7.0699999999999999E-2</v>
      </c>
      <c r="J66">
        <f t="shared" si="7"/>
        <v>0</v>
      </c>
      <c r="K66">
        <f t="shared" si="7"/>
        <v>0.3795</v>
      </c>
      <c r="L66">
        <f t="shared" si="7"/>
        <v>0.3795</v>
      </c>
      <c r="M66">
        <f t="shared" si="7"/>
        <v>0.3347</v>
      </c>
    </row>
    <row r="67" spans="1:13" x14ac:dyDescent="0.3">
      <c r="A67" t="s">
        <v>9</v>
      </c>
      <c r="B67">
        <f t="shared" si="7"/>
        <v>7.0699999999999999E-2</v>
      </c>
      <c r="C67">
        <f t="shared" si="7"/>
        <v>5.4800000000000001E-2</v>
      </c>
      <c r="D67">
        <f t="shared" si="7"/>
        <v>8.3699999999999997E-2</v>
      </c>
      <c r="E67">
        <f t="shared" si="7"/>
        <v>7.0699999999999999E-2</v>
      </c>
      <c r="F67">
        <f t="shared" si="7"/>
        <v>0.1414</v>
      </c>
      <c r="G67">
        <f t="shared" si="7"/>
        <v>0.1095</v>
      </c>
      <c r="H67">
        <f t="shared" si="7"/>
        <v>0.21210000000000001</v>
      </c>
      <c r="I67">
        <f t="shared" si="7"/>
        <v>5.4800000000000001E-2</v>
      </c>
      <c r="J67">
        <f t="shared" si="7"/>
        <v>6.3200000000000006E-2</v>
      </c>
      <c r="K67">
        <f t="shared" si="7"/>
        <v>0</v>
      </c>
      <c r="L67">
        <f t="shared" si="7"/>
        <v>0.1414</v>
      </c>
      <c r="M67">
        <f t="shared" si="7"/>
        <v>5.4800000000000001E-2</v>
      </c>
    </row>
    <row r="68" spans="1:13" x14ac:dyDescent="0.3">
      <c r="A68" t="s">
        <v>10</v>
      </c>
      <c r="B68">
        <f t="shared" si="7"/>
        <v>5.4800000000000001E-2</v>
      </c>
      <c r="C68">
        <f t="shared" si="7"/>
        <v>7.0699999999999999E-2</v>
      </c>
      <c r="D68">
        <f t="shared" si="7"/>
        <v>7.0699999999999999E-2</v>
      </c>
      <c r="E68">
        <f t="shared" si="7"/>
        <v>7.0699999999999999E-2</v>
      </c>
      <c r="F68">
        <f t="shared" si="7"/>
        <v>0.1414</v>
      </c>
      <c r="G68">
        <f t="shared" si="7"/>
        <v>0.1414</v>
      </c>
      <c r="H68">
        <f t="shared" si="7"/>
        <v>5.4800000000000001E-2</v>
      </c>
      <c r="I68">
        <f t="shared" si="7"/>
        <v>0.1414</v>
      </c>
      <c r="J68">
        <f t="shared" si="7"/>
        <v>7.0699999999999999E-2</v>
      </c>
      <c r="K68">
        <f t="shared" si="7"/>
        <v>0.1673</v>
      </c>
      <c r="L68">
        <f t="shared" si="7"/>
        <v>0</v>
      </c>
      <c r="M68">
        <f t="shared" si="7"/>
        <v>0.3795</v>
      </c>
    </row>
    <row r="69" spans="1:13" x14ac:dyDescent="0.3">
      <c r="A69" t="s">
        <v>11</v>
      </c>
      <c r="B69">
        <f t="shared" si="7"/>
        <v>0.1414</v>
      </c>
      <c r="C69">
        <f t="shared" si="7"/>
        <v>0.21210000000000001</v>
      </c>
      <c r="D69">
        <f t="shared" si="7"/>
        <v>0.21210000000000001</v>
      </c>
      <c r="E69">
        <f t="shared" si="7"/>
        <v>0.1414</v>
      </c>
      <c r="F69">
        <f t="shared" si="7"/>
        <v>0.21210000000000001</v>
      </c>
      <c r="G69">
        <f t="shared" si="7"/>
        <v>7.0699999999999999E-2</v>
      </c>
      <c r="H69">
        <f t="shared" si="7"/>
        <v>7.0699999999999999E-2</v>
      </c>
      <c r="I69">
        <f t="shared" si="7"/>
        <v>0.1095</v>
      </c>
      <c r="J69">
        <f t="shared" si="7"/>
        <v>5.4800000000000001E-2</v>
      </c>
      <c r="K69">
        <f t="shared" si="7"/>
        <v>7.0699999999999999E-2</v>
      </c>
      <c r="L69">
        <f t="shared" si="7"/>
        <v>3.1600000000000003E-2</v>
      </c>
      <c r="M69">
        <f t="shared" si="7"/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M69"/>
  <sheetViews>
    <sheetView workbookViewId="0">
      <selection activeCell="J9" sqref="J9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13</v>
      </c>
      <c r="D2" t="s">
        <v>12</v>
      </c>
      <c r="E2" t="s">
        <v>16</v>
      </c>
      <c r="F2" t="s">
        <v>12</v>
      </c>
      <c r="G2" t="s">
        <v>15</v>
      </c>
      <c r="H2" t="s">
        <v>22</v>
      </c>
      <c r="I2" t="s">
        <v>62</v>
      </c>
      <c r="J2" t="s">
        <v>13</v>
      </c>
      <c r="K2" t="s">
        <v>17</v>
      </c>
      <c r="L2" t="s">
        <v>15</v>
      </c>
      <c r="M2" t="s">
        <v>23</v>
      </c>
    </row>
    <row r="3" spans="1:13" x14ac:dyDescent="0.3">
      <c r="A3" s="1" t="s">
        <v>1</v>
      </c>
      <c r="B3" t="s">
        <v>17</v>
      </c>
      <c r="C3">
        <v>0</v>
      </c>
      <c r="D3" t="s">
        <v>18</v>
      </c>
      <c r="E3" t="s">
        <v>25</v>
      </c>
      <c r="F3" t="s">
        <v>16</v>
      </c>
      <c r="G3" t="s">
        <v>25</v>
      </c>
      <c r="H3" t="s">
        <v>13</v>
      </c>
      <c r="I3" t="s">
        <v>15</v>
      </c>
      <c r="J3" t="s">
        <v>25</v>
      </c>
      <c r="K3" t="s">
        <v>18</v>
      </c>
      <c r="L3" t="s">
        <v>18</v>
      </c>
      <c r="M3" t="s">
        <v>18</v>
      </c>
    </row>
    <row r="4" spans="1:13" x14ac:dyDescent="0.3">
      <c r="A4" s="1" t="s">
        <v>2</v>
      </c>
      <c r="B4" t="s">
        <v>21</v>
      </c>
      <c r="C4" t="s">
        <v>16</v>
      </c>
      <c r="D4">
        <v>0</v>
      </c>
      <c r="E4" t="s">
        <v>21</v>
      </c>
      <c r="F4" t="s">
        <v>24</v>
      </c>
      <c r="G4" t="s">
        <v>19</v>
      </c>
      <c r="H4" t="s">
        <v>21</v>
      </c>
      <c r="I4" t="s">
        <v>16</v>
      </c>
      <c r="J4" t="s">
        <v>18</v>
      </c>
      <c r="K4" t="s">
        <v>25</v>
      </c>
      <c r="L4" t="s">
        <v>12</v>
      </c>
      <c r="M4" t="s">
        <v>13</v>
      </c>
    </row>
    <row r="5" spans="1:13" x14ac:dyDescent="0.3">
      <c r="A5" s="1" t="s">
        <v>3</v>
      </c>
      <c r="B5" t="s">
        <v>24</v>
      </c>
      <c r="C5" t="s">
        <v>17</v>
      </c>
      <c r="D5" t="s">
        <v>16</v>
      </c>
      <c r="E5">
        <v>0</v>
      </c>
      <c r="F5" t="s">
        <v>16</v>
      </c>
      <c r="G5" t="s">
        <v>62</v>
      </c>
      <c r="H5" t="s">
        <v>12</v>
      </c>
      <c r="I5" t="s">
        <v>15</v>
      </c>
      <c r="J5" t="s">
        <v>25</v>
      </c>
      <c r="K5" t="s">
        <v>15</v>
      </c>
      <c r="L5" t="s">
        <v>13</v>
      </c>
      <c r="M5" t="s">
        <v>13</v>
      </c>
    </row>
    <row r="6" spans="1:13" x14ac:dyDescent="0.3">
      <c r="A6" s="1" t="s">
        <v>4</v>
      </c>
      <c r="B6" t="s">
        <v>24</v>
      </c>
      <c r="C6" t="s">
        <v>15</v>
      </c>
      <c r="D6" t="s">
        <v>23</v>
      </c>
      <c r="E6" t="s">
        <v>16</v>
      </c>
      <c r="F6">
        <v>0</v>
      </c>
      <c r="G6" t="s">
        <v>13</v>
      </c>
      <c r="H6" t="s">
        <v>22</v>
      </c>
      <c r="I6" t="s">
        <v>15</v>
      </c>
      <c r="J6" t="s">
        <v>25</v>
      </c>
      <c r="K6" t="s">
        <v>25</v>
      </c>
      <c r="L6" t="s">
        <v>17</v>
      </c>
      <c r="M6" t="s">
        <v>16</v>
      </c>
    </row>
    <row r="7" spans="1:13" x14ac:dyDescent="0.3">
      <c r="A7" s="1" t="s">
        <v>5</v>
      </c>
      <c r="B7" t="s">
        <v>24</v>
      </c>
      <c r="C7" t="s">
        <v>24</v>
      </c>
      <c r="D7" t="s">
        <v>24</v>
      </c>
      <c r="E7" t="s">
        <v>15</v>
      </c>
      <c r="F7" t="s">
        <v>16</v>
      </c>
      <c r="G7">
        <v>0</v>
      </c>
      <c r="H7" t="s">
        <v>71</v>
      </c>
      <c r="I7" t="s">
        <v>16</v>
      </c>
      <c r="J7" t="s">
        <v>12</v>
      </c>
      <c r="K7" t="s">
        <v>20</v>
      </c>
      <c r="L7" s="6" t="s">
        <v>17</v>
      </c>
      <c r="M7" t="s">
        <v>24</v>
      </c>
    </row>
    <row r="8" spans="1:13" x14ac:dyDescent="0.3">
      <c r="A8" s="1" t="s">
        <v>6</v>
      </c>
      <c r="B8" t="s">
        <v>62</v>
      </c>
      <c r="C8" t="s">
        <v>15</v>
      </c>
      <c r="D8" t="s">
        <v>15</v>
      </c>
      <c r="E8" t="s">
        <v>17</v>
      </c>
      <c r="F8" t="s">
        <v>24</v>
      </c>
      <c r="G8" t="s">
        <v>24</v>
      </c>
      <c r="H8">
        <v>0</v>
      </c>
      <c r="I8" t="s">
        <v>22</v>
      </c>
      <c r="J8" t="s">
        <v>24</v>
      </c>
      <c r="K8" t="s">
        <v>17</v>
      </c>
      <c r="L8" s="6" t="s">
        <v>15</v>
      </c>
      <c r="M8" t="s">
        <v>20</v>
      </c>
    </row>
    <row r="9" spans="1:13" x14ac:dyDescent="0.3">
      <c r="A9" s="1" t="s">
        <v>7</v>
      </c>
      <c r="B9" t="s">
        <v>17</v>
      </c>
      <c r="C9" t="s">
        <v>15</v>
      </c>
      <c r="D9" t="s">
        <v>15</v>
      </c>
      <c r="E9" t="s">
        <v>17</v>
      </c>
      <c r="F9" t="s">
        <v>23</v>
      </c>
      <c r="G9" t="s">
        <v>16</v>
      </c>
      <c r="H9" t="s">
        <v>15</v>
      </c>
      <c r="I9">
        <v>0</v>
      </c>
      <c r="J9" t="s">
        <v>13</v>
      </c>
      <c r="K9" t="s">
        <v>18</v>
      </c>
      <c r="L9" s="6" t="s">
        <v>18</v>
      </c>
      <c r="M9" t="s">
        <v>13</v>
      </c>
    </row>
    <row r="10" spans="1:13" x14ac:dyDescent="0.3">
      <c r="A10" s="1" t="s">
        <v>8</v>
      </c>
      <c r="B10" t="s">
        <v>21</v>
      </c>
      <c r="C10" t="s">
        <v>20</v>
      </c>
      <c r="D10" t="s">
        <v>16</v>
      </c>
      <c r="E10" t="s">
        <v>16</v>
      </c>
      <c r="F10" t="s">
        <v>23</v>
      </c>
      <c r="G10" t="s">
        <v>16</v>
      </c>
      <c r="H10" t="s">
        <v>18</v>
      </c>
      <c r="I10" t="s">
        <v>23</v>
      </c>
      <c r="J10">
        <v>0</v>
      </c>
      <c r="K10" t="s">
        <v>18</v>
      </c>
      <c r="L10" s="6" t="s">
        <v>18</v>
      </c>
      <c r="M10" t="s">
        <v>13</v>
      </c>
    </row>
    <row r="11" spans="1:13" x14ac:dyDescent="0.3">
      <c r="A11" s="1" t="s">
        <v>9</v>
      </c>
      <c r="B11" t="s">
        <v>20</v>
      </c>
      <c r="C11" t="s">
        <v>22</v>
      </c>
      <c r="D11" t="s">
        <v>24</v>
      </c>
      <c r="E11" t="s">
        <v>15</v>
      </c>
      <c r="F11" t="s">
        <v>71</v>
      </c>
      <c r="G11" t="s">
        <v>16</v>
      </c>
      <c r="H11" t="s">
        <v>20</v>
      </c>
      <c r="I11" t="s">
        <v>16</v>
      </c>
      <c r="J11" t="s">
        <v>16</v>
      </c>
      <c r="K11">
        <v>0</v>
      </c>
      <c r="L11" s="6" t="s">
        <v>23</v>
      </c>
      <c r="M11" t="s">
        <v>24</v>
      </c>
    </row>
    <row r="12" spans="1:13" x14ac:dyDescent="0.3">
      <c r="A12" s="1" t="s">
        <v>10</v>
      </c>
      <c r="B12" t="s">
        <v>22</v>
      </c>
      <c r="C12" t="s">
        <v>24</v>
      </c>
      <c r="D12" t="s">
        <v>16</v>
      </c>
      <c r="E12" t="s">
        <v>16</v>
      </c>
      <c r="F12" t="s">
        <v>24</v>
      </c>
      <c r="G12" t="s">
        <v>15</v>
      </c>
      <c r="H12" t="s">
        <v>16</v>
      </c>
      <c r="I12" t="s">
        <v>15</v>
      </c>
      <c r="J12" t="s">
        <v>15</v>
      </c>
      <c r="K12" t="s">
        <v>16</v>
      </c>
      <c r="L12">
        <v>0</v>
      </c>
      <c r="M12" t="s">
        <v>12</v>
      </c>
    </row>
    <row r="13" spans="1:13" x14ac:dyDescent="0.3">
      <c r="A13" s="1" t="s">
        <v>11</v>
      </c>
      <c r="B13" t="s">
        <v>15</v>
      </c>
      <c r="C13" t="s">
        <v>16</v>
      </c>
      <c r="D13" t="s">
        <v>71</v>
      </c>
      <c r="E13" t="s">
        <v>20</v>
      </c>
      <c r="F13" t="s">
        <v>15</v>
      </c>
      <c r="G13" t="s">
        <v>17</v>
      </c>
      <c r="H13" t="s">
        <v>23</v>
      </c>
      <c r="I13" t="s">
        <v>22</v>
      </c>
      <c r="J13" t="s">
        <v>16</v>
      </c>
      <c r="K13" t="s">
        <v>23</v>
      </c>
      <c r="L13" t="s">
        <v>16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(0,1897; 0,2846; 0,3795)</v>
      </c>
      <c r="D16" t="str">
        <f>VLOOKUP(D2,'Thang đánh giá'!$C$2:$D$27,2,FALSE)</f>
        <v>(0,1673; 0,251; 0,3347)</v>
      </c>
      <c r="E16" t="str">
        <f>VLOOKUP(E2,'Thang đánh giá'!$C$2:$D$27,2,FALSE)</f>
        <v>(0; 0; 0,0707)</v>
      </c>
      <c r="F16" t="str">
        <f>VLOOKUP(F2,'Thang đánh giá'!$C$2:$D$27,2,FALSE)</f>
        <v>(0,1673; 0,251; 0,3347)</v>
      </c>
      <c r="G16" t="str">
        <f>VLOOKUP(G2,'Thang đánh giá'!$C$2:$D$27,2,FALSE)</f>
        <v>(0; 0,0707; 0,1414)</v>
      </c>
      <c r="H16" t="str">
        <f>VLOOKUP(H2,'Thang đánh giá'!$C$2:$D$27,2,FALSE)</f>
        <v>(0,0707; 0,1414; 0,2121)</v>
      </c>
      <c r="I16" t="str">
        <f>VLOOKUP(I2,'Thang đánh giá'!$C$2:$D$27,2,FALSE)</f>
        <v>(0; 0,0837; 0,1673)</v>
      </c>
      <c r="J16" t="str">
        <f>VLOOKUP(J2,'Thang đánh giá'!$C$2:$D$27,2,FALSE)</f>
        <v>(0,1897; 0,2846; 0,3795)</v>
      </c>
      <c r="K16" t="str">
        <f>VLOOKUP(K2,'Thang đánh giá'!$C$2:$D$27,2,FALSE)</f>
        <v>(0; 0,0316; 0,0632)</v>
      </c>
      <c r="L16" t="str">
        <f>VLOOKUP(L2,'Thang đánh giá'!$C$2:$D$27,2,FALSE)</f>
        <v>(0; 0,0707; 0,1414)</v>
      </c>
      <c r="M16" t="str">
        <f>VLOOKUP(M2,'Thang đánh giá'!$C$2:$D$27,2,FALSE)</f>
        <v>(0; 0; 0,0316)</v>
      </c>
    </row>
    <row r="17" spans="1:13" x14ac:dyDescent="0.3">
      <c r="A17" t="s">
        <v>1</v>
      </c>
      <c r="B17" t="str">
        <f>VLOOKUP(B3,'Thang đánh giá'!$C$2:$D$27,2,FALSE)</f>
        <v>(0; 0,0316; 0,0632)</v>
      </c>
      <c r="C17" t="str">
        <f>VLOOKUP(C3,'Thang đánh giá'!$C$2:$D$27,2,FALSE)</f>
        <v>(0; 0; 0)</v>
      </c>
      <c r="D17" t="str">
        <f>VLOOKUP(D3,'Thang đánh giá'!$C$2:$D$27,2,FALSE)</f>
        <v>(0,2846; 0,3795; 0,3795)</v>
      </c>
      <c r="E17" t="str">
        <f>VLOOKUP(E3,'Thang đánh giá'!$C$2:$D$27,2,FALSE)</f>
        <v>(0,251; 0,3347; 0,3347)</v>
      </c>
      <c r="F17" t="str">
        <f>VLOOKUP(F3,'Thang đánh giá'!$C$2:$D$27,2,FALSE)</f>
        <v>(0; 0; 0,0707)</v>
      </c>
      <c r="G17" t="str">
        <f>VLOOKUP(G3,'Thang đánh giá'!$C$2:$D$27,2,FALSE)</f>
        <v>(0,251; 0,3347; 0,3347)</v>
      </c>
      <c r="H17" t="str">
        <f>VLOOKUP(H3,'Thang đánh giá'!$C$2:$D$27,2,FALSE)</f>
        <v>(0,1897; 0,2846; 0,3795)</v>
      </c>
      <c r="I17" t="str">
        <f>VLOOKUP(I3,'Thang đánh giá'!$C$2:$D$27,2,FALSE)</f>
        <v>(0; 0,0707; 0,1414)</v>
      </c>
      <c r="J17" t="str">
        <f>VLOOKUP(J3,'Thang đánh giá'!$C$2:$D$27,2,FALSE)</f>
        <v>(0,251; 0,3347; 0,3347)</v>
      </c>
      <c r="K17" t="str">
        <f>VLOOKUP(K3,'Thang đánh giá'!$C$2:$D$27,2,FALSE)</f>
        <v>(0,2846; 0,3795; 0,3795)</v>
      </c>
      <c r="L17" t="str">
        <f>VLOOKUP(L3,'Thang đánh giá'!$C$2:$D$27,2,FALSE)</f>
        <v>(0,2846; 0,3795; 0,3795)</v>
      </c>
      <c r="M17" t="str">
        <f>VLOOKUP(M3,'Thang đánh giá'!$C$2:$D$27,2,FALSE)</f>
        <v>(0,2846; 0,3795; 0,3795)</v>
      </c>
    </row>
    <row r="18" spans="1:13" x14ac:dyDescent="0.3">
      <c r="A18" t="s">
        <v>2</v>
      </c>
      <c r="B18" t="str">
        <f>VLOOKUP(B4,'Thang đánh giá'!$C$2:$D$27,2,FALSE)</f>
        <v>(0,0837; 0,1673; 0,251)</v>
      </c>
      <c r="C18" t="str">
        <f>VLOOKUP(C4,'Thang đánh giá'!$C$2:$D$27,2,FALSE)</f>
        <v>(0; 0; 0,0707)</v>
      </c>
      <c r="D18" t="str">
        <f>VLOOKUP(D4,'Thang đánh giá'!$C$2:$D$27,2,FALSE)</f>
        <v>(0; 0; 0)</v>
      </c>
      <c r="E18" t="str">
        <f>VLOOKUP(E4,'Thang đánh giá'!$C$2:$D$27,2,FALSE)</f>
        <v>(0,0837; 0,1673; 0,251)</v>
      </c>
      <c r="F18" t="str">
        <f>VLOOKUP(F4,'Thang đánh giá'!$C$2:$D$27,2,FALSE)</f>
        <v>(0; 0; 0,0548)</v>
      </c>
      <c r="G18" t="str">
        <f>VLOOKUP(G4,'Thang đánh giá'!$C$2:$D$27,2,FALSE)</f>
        <v>(0,1414; 0,2121; 0,2828)</v>
      </c>
      <c r="H18" t="str">
        <f>VLOOKUP(H4,'Thang đánh giá'!$C$2:$D$27,2,FALSE)</f>
        <v>(0,0837; 0,1673; 0,251)</v>
      </c>
      <c r="I18" t="str">
        <f>VLOOKUP(I4,'Thang đánh giá'!$C$2:$D$27,2,FALSE)</f>
        <v>(0; 0; 0,0707)</v>
      </c>
      <c r="J18" t="str">
        <f>VLOOKUP(J4,'Thang đánh giá'!$C$2:$D$27,2,FALSE)</f>
        <v>(0,2846; 0,3795; 0,3795)</v>
      </c>
      <c r="K18" t="str">
        <f>VLOOKUP(K4,'Thang đánh giá'!$C$2:$D$27,2,FALSE)</f>
        <v>(0,251; 0,3347; 0,3347)</v>
      </c>
      <c r="L18" t="str">
        <f>VLOOKUP(L4,'Thang đánh giá'!$C$2:$D$27,2,FALSE)</f>
        <v>(0,1673; 0,251; 0,3347)</v>
      </c>
      <c r="M18" t="str">
        <f>VLOOKUP(M4,'Thang đánh giá'!$C$2:$D$27,2,FALSE)</f>
        <v>(0,1897; 0,2846; 0,3795)</v>
      </c>
    </row>
    <row r="19" spans="1:13" x14ac:dyDescent="0.3">
      <c r="A19" t="s">
        <v>3</v>
      </c>
      <c r="B19" t="str">
        <f>VLOOKUP(B5,'Thang đánh giá'!$C$2:$D$27,2,FALSE)</f>
        <v>(0; 0; 0,0548)</v>
      </c>
      <c r="C19" t="str">
        <f>VLOOKUP(C5,'Thang đánh giá'!$C$2:$D$27,2,FALSE)</f>
        <v>(0; 0,0316; 0,0632)</v>
      </c>
      <c r="D19" t="str">
        <f>VLOOKUP(D5,'Thang đánh giá'!$C$2:$D$27,2,FALSE)</f>
        <v>(0; 0; 0,0707)</v>
      </c>
      <c r="E19" t="str">
        <f>VLOOKUP(E5,'Thang đánh giá'!$C$2:$D$27,2,FALSE)</f>
        <v>(0; 0; 0)</v>
      </c>
      <c r="F19" t="str">
        <f>VLOOKUP(F5,'Thang đánh giá'!$C$2:$D$27,2,FALSE)</f>
        <v>(0; 0; 0,0707)</v>
      </c>
      <c r="G19" t="str">
        <f>VLOOKUP(G5,'Thang đánh giá'!$C$2:$D$27,2,FALSE)</f>
        <v>(0; 0,0837; 0,1673)</v>
      </c>
      <c r="H19" t="str">
        <f>VLOOKUP(H5,'Thang đánh giá'!$C$2:$D$27,2,FALSE)</f>
        <v>(0,1673; 0,251; 0,3347)</v>
      </c>
      <c r="I19" t="str">
        <f>VLOOKUP(I5,'Thang đánh giá'!$C$2:$D$27,2,FALSE)</f>
        <v>(0; 0,0707; 0,1414)</v>
      </c>
      <c r="J19" t="str">
        <f>VLOOKUP(J5,'Thang đánh giá'!$C$2:$D$27,2,FALSE)</f>
        <v>(0,251; 0,3347; 0,3347)</v>
      </c>
      <c r="K19" t="str">
        <f>VLOOKUP(K5,'Thang đánh giá'!$C$2:$D$27,2,FALSE)</f>
        <v>(0; 0,0707; 0,1414)</v>
      </c>
      <c r="L19" t="str">
        <f>VLOOKUP(L5,'Thang đánh giá'!$C$2:$D$27,2,FALSE)</f>
        <v>(0,1897; 0,2846; 0,3795)</v>
      </c>
      <c r="M19" t="str">
        <f>VLOOKUP(M5,'Thang đánh giá'!$C$2:$D$27,2,FALSE)</f>
        <v>(0,1897; 0,2846; 0,3795)</v>
      </c>
    </row>
    <row r="20" spans="1:13" x14ac:dyDescent="0.3">
      <c r="A20" t="s">
        <v>4</v>
      </c>
      <c r="B20" t="str">
        <f>VLOOKUP(B6,'Thang đánh giá'!$C$2:$D$27,2,FALSE)</f>
        <v>(0; 0; 0,0548)</v>
      </c>
      <c r="C20" t="str">
        <f>VLOOKUP(C6,'Thang đánh giá'!$C$2:$D$27,2,FALSE)</f>
        <v>(0; 0,0707; 0,1414)</v>
      </c>
      <c r="D20" t="str">
        <f>VLOOKUP(D6,'Thang đánh giá'!$C$2:$D$27,2,FALSE)</f>
        <v>(0; 0; 0,0316)</v>
      </c>
      <c r="E20" t="str">
        <f>VLOOKUP(E6,'Thang đánh giá'!$C$2:$D$27,2,FALSE)</f>
        <v>(0; 0; 0,0707)</v>
      </c>
      <c r="F20" t="str">
        <f>VLOOKUP(F6,'Thang đánh giá'!$C$2:$D$27,2,FALSE)</f>
        <v>(0; 0; 0)</v>
      </c>
      <c r="G20" t="str">
        <f>VLOOKUP(G6,'Thang đánh giá'!$C$2:$D$27,2,FALSE)</f>
        <v>(0,1897; 0,2846; 0,3795)</v>
      </c>
      <c r="H20" t="str">
        <f>VLOOKUP(H6,'Thang đánh giá'!$C$2:$D$27,2,FALSE)</f>
        <v>(0,0707; 0,1414; 0,2121)</v>
      </c>
      <c r="I20" t="str">
        <f>VLOOKUP(I6,'Thang đánh giá'!$C$2:$D$27,2,FALSE)</f>
        <v>(0; 0,0707; 0,1414)</v>
      </c>
      <c r="J20" t="str">
        <f>VLOOKUP(J6,'Thang đánh giá'!$C$2:$D$27,2,FALSE)</f>
        <v>(0,251; 0,3347; 0,3347)</v>
      </c>
      <c r="K20" t="str">
        <f>VLOOKUP(K6,'Thang đánh giá'!$C$2:$D$27,2,FALSE)</f>
        <v>(0,251; 0,3347; 0,3347)</v>
      </c>
      <c r="L20" t="str">
        <f>VLOOKUP(L6,'Thang đánh giá'!$C$2:$D$27,2,FALSE)</f>
        <v>(0; 0,0316; 0,0632)</v>
      </c>
      <c r="M20" t="str">
        <f>VLOOKUP(M6,'Thang đánh giá'!$C$2:$D$27,2,FALSE)</f>
        <v>(0; 0; 0,0707)</v>
      </c>
    </row>
    <row r="21" spans="1:13" x14ac:dyDescent="0.3">
      <c r="A21" t="s">
        <v>5</v>
      </c>
      <c r="B21" t="str">
        <f>VLOOKUP(B7,'Thang đánh giá'!$C$2:$D$27,2,FALSE)</f>
        <v>(0; 0; 0,0548)</v>
      </c>
      <c r="C21" t="str">
        <f>VLOOKUP(C7,'Thang đánh giá'!$C$2:$D$27,2,FALSE)</f>
        <v>(0; 0; 0,0548)</v>
      </c>
      <c r="D21" t="str">
        <f>VLOOKUP(D7,'Thang đánh giá'!$C$2:$D$27,2,FALSE)</f>
        <v>(0; 0; 0,0548)</v>
      </c>
      <c r="E21" t="str">
        <f>VLOOKUP(E7,'Thang đánh giá'!$C$2:$D$27,2,FALSE)</f>
        <v>(0; 0,0707; 0,1414)</v>
      </c>
      <c r="F21" t="str">
        <f>VLOOKUP(F7,'Thang đánh giá'!$C$2:$D$27,2,FALSE)</f>
        <v>(0; 0; 0,0707)</v>
      </c>
      <c r="G21" t="str">
        <f>VLOOKUP(G7,'Thang đánh giá'!$C$2:$D$27,2,FALSE)</f>
        <v>(0; 0; 0)</v>
      </c>
      <c r="H21" t="str">
        <f>VLOOKUP(H7,'Thang đánh giá'!$C$2:$D$27,2,FALSE)</f>
        <v>(0; 0; 0,0837)</v>
      </c>
      <c r="I21" t="str">
        <f>VLOOKUP(I7,'Thang đánh giá'!$C$2:$D$27,2,FALSE)</f>
        <v>(0; 0; 0,0707)</v>
      </c>
      <c r="J21" t="str">
        <f>VLOOKUP(J7,'Thang đánh giá'!$C$2:$D$27,2,FALSE)</f>
        <v>(0,1673; 0,251; 0,3347)</v>
      </c>
      <c r="K21" t="str">
        <f>VLOOKUP(K7,'Thang đánh giá'!$C$2:$D$27,2,FALSE)</f>
        <v>(0; 0,0548; 0,1095)</v>
      </c>
      <c r="L21" t="str">
        <f>VLOOKUP(L7,'Thang đánh giá'!$C$2:$D$27,2,FALSE)</f>
        <v>(0; 0,0316; 0,0632)</v>
      </c>
      <c r="M21" t="str">
        <f>VLOOKUP(M7,'Thang đánh giá'!$C$2:$D$27,2,FALSE)</f>
        <v>(0; 0; 0,0548)</v>
      </c>
    </row>
    <row r="22" spans="1:13" x14ac:dyDescent="0.3">
      <c r="A22" t="s">
        <v>6</v>
      </c>
      <c r="B22" t="str">
        <f>VLOOKUP(B8,'Thang đánh giá'!$C$2:$D$27,2,FALSE)</f>
        <v>(0; 0,0837; 0,1673)</v>
      </c>
      <c r="C22" t="str">
        <f>VLOOKUP(C8,'Thang đánh giá'!$C$2:$D$27,2,FALSE)</f>
        <v>(0; 0,0707; 0,1414)</v>
      </c>
      <c r="D22" t="str">
        <f>VLOOKUP(D8,'Thang đánh giá'!$C$2:$D$27,2,FALSE)</f>
        <v>(0; 0,0707; 0,1414)</v>
      </c>
      <c r="E22" t="str">
        <f>VLOOKUP(E8,'Thang đánh giá'!$C$2:$D$27,2,FALSE)</f>
        <v>(0; 0,0316; 0,0632)</v>
      </c>
      <c r="F22" t="str">
        <f>VLOOKUP(F8,'Thang đánh giá'!$C$2:$D$27,2,FALSE)</f>
        <v>(0; 0; 0,0548)</v>
      </c>
      <c r="G22" t="str">
        <f>VLOOKUP(G8,'Thang đánh giá'!$C$2:$D$27,2,FALSE)</f>
        <v>(0; 0; 0,0548)</v>
      </c>
      <c r="H22" t="str">
        <f>VLOOKUP(H8,'Thang đánh giá'!$C$2:$D$27,2,FALSE)</f>
        <v>(0; 0; 0)</v>
      </c>
      <c r="I22" t="str">
        <f>VLOOKUP(I8,'Thang đánh giá'!$C$2:$D$27,2,FALSE)</f>
        <v>(0,0707; 0,1414; 0,2121)</v>
      </c>
      <c r="J22" t="str">
        <f>VLOOKUP(J8,'Thang đánh giá'!$C$2:$D$27,2,FALSE)</f>
        <v>(0; 0; 0,0548)</v>
      </c>
      <c r="K22" t="str">
        <f>VLOOKUP(K8,'Thang đánh giá'!$C$2:$D$27,2,FALSE)</f>
        <v>(0; 0,0316; 0,0632)</v>
      </c>
      <c r="L22" t="str">
        <f>VLOOKUP(L8,'Thang đánh giá'!$C$2:$D$27,2,FALSE)</f>
        <v>(0; 0,0707; 0,1414)</v>
      </c>
      <c r="M22" t="str">
        <f>VLOOKUP(M8,'Thang đánh giá'!$C$2:$D$27,2,FALSE)</f>
        <v>(0; 0,0548; 0,1095)</v>
      </c>
    </row>
    <row r="23" spans="1:13" x14ac:dyDescent="0.3">
      <c r="A23" t="s">
        <v>7</v>
      </c>
      <c r="B23" t="str">
        <f>VLOOKUP(B9,'Thang đánh giá'!$C$2:$D$27,2,FALSE)</f>
        <v>(0; 0,0316; 0,0632)</v>
      </c>
      <c r="C23" t="str">
        <f>VLOOKUP(C9,'Thang đánh giá'!$C$2:$D$27,2,FALSE)</f>
        <v>(0; 0,0707; 0,1414)</v>
      </c>
      <c r="D23" t="str">
        <f>VLOOKUP(D9,'Thang đánh giá'!$C$2:$D$27,2,FALSE)</f>
        <v>(0; 0,0707; 0,1414)</v>
      </c>
      <c r="E23" t="str">
        <f>VLOOKUP(E9,'Thang đánh giá'!$C$2:$D$27,2,FALSE)</f>
        <v>(0; 0,0316; 0,0632)</v>
      </c>
      <c r="F23" t="str">
        <f>VLOOKUP(F9,'Thang đánh giá'!$C$2:$D$27,2,FALSE)</f>
        <v>(0; 0; 0,0316)</v>
      </c>
      <c r="G23" t="str">
        <f>VLOOKUP(G9,'Thang đánh giá'!$C$2:$D$27,2,FALSE)</f>
        <v>(0; 0; 0,0707)</v>
      </c>
      <c r="H23" t="str">
        <f>VLOOKUP(H9,'Thang đánh giá'!$C$2:$D$27,2,FALSE)</f>
        <v>(0; 0,0707; 0,1414)</v>
      </c>
      <c r="I23" t="str">
        <f>VLOOKUP(I9,'Thang đánh giá'!$C$2:$D$27,2,FALSE)</f>
        <v>(0; 0; 0)</v>
      </c>
      <c r="J23" t="str">
        <f>VLOOKUP(J9,'Thang đánh giá'!$C$2:$D$27,2,FALSE)</f>
        <v>(0,1897; 0,2846; 0,3795)</v>
      </c>
      <c r="K23" t="str">
        <f>VLOOKUP(K9,'Thang đánh giá'!$C$2:$D$27,2,FALSE)</f>
        <v>(0,2846; 0,3795; 0,3795)</v>
      </c>
      <c r="L23" t="str">
        <f>VLOOKUP(L9,'Thang đánh giá'!$C$2:$D$27,2,FALSE)</f>
        <v>(0,2846; 0,3795; 0,3795)</v>
      </c>
      <c r="M23" t="str">
        <f>VLOOKUP(M9,'Thang đánh giá'!$C$2:$D$27,2,FALSE)</f>
        <v>(0,1897; 0,2846; 0,3795)</v>
      </c>
    </row>
    <row r="24" spans="1:13" x14ac:dyDescent="0.3">
      <c r="A24" t="s">
        <v>8</v>
      </c>
      <c r="B24" t="str">
        <f>VLOOKUP(B10,'Thang đánh giá'!$C$2:$D$27,2,FALSE)</f>
        <v>(0,0837; 0,1673; 0,251)</v>
      </c>
      <c r="C24" t="str">
        <f>VLOOKUP(C10,'Thang đánh giá'!$C$2:$D$27,2,FALSE)</f>
        <v>(0; 0,0548; 0,1095)</v>
      </c>
      <c r="D24" t="str">
        <f>VLOOKUP(D10,'Thang đánh giá'!$C$2:$D$27,2,FALSE)</f>
        <v>(0; 0; 0,0707)</v>
      </c>
      <c r="E24" t="str">
        <f>VLOOKUP(E10,'Thang đánh giá'!$C$2:$D$27,2,FALSE)</f>
        <v>(0; 0; 0,0707)</v>
      </c>
      <c r="F24" t="str">
        <f>VLOOKUP(F10,'Thang đánh giá'!$C$2:$D$27,2,FALSE)</f>
        <v>(0; 0; 0,0316)</v>
      </c>
      <c r="G24" t="str">
        <f>VLOOKUP(G10,'Thang đánh giá'!$C$2:$D$27,2,FALSE)</f>
        <v>(0; 0; 0,0707)</v>
      </c>
      <c r="H24" t="str">
        <f>VLOOKUP(H10,'Thang đánh giá'!$C$2:$D$27,2,FALSE)</f>
        <v>(0,2846; 0,3795; 0,3795)</v>
      </c>
      <c r="I24" t="str">
        <f>VLOOKUP(I10,'Thang đánh giá'!$C$2:$D$27,2,FALSE)</f>
        <v>(0; 0; 0,0316)</v>
      </c>
      <c r="J24" t="str">
        <f>VLOOKUP(J10,'Thang đánh giá'!$C$2:$D$27,2,FALSE)</f>
        <v>(0; 0; 0)</v>
      </c>
      <c r="K24" t="str">
        <f>VLOOKUP(K10,'Thang đánh giá'!$C$2:$D$27,2,FALSE)</f>
        <v>(0,2846; 0,3795; 0,3795)</v>
      </c>
      <c r="L24" t="str">
        <f>VLOOKUP(L10,'Thang đánh giá'!$C$2:$D$27,2,FALSE)</f>
        <v>(0,2846; 0,3795; 0,3795)</v>
      </c>
      <c r="M24" t="str">
        <f>VLOOKUP(M10,'Thang đánh giá'!$C$2:$D$27,2,FALSE)</f>
        <v>(0,1897; 0,2846; 0,3795)</v>
      </c>
    </row>
    <row r="25" spans="1:13" x14ac:dyDescent="0.3">
      <c r="A25" t="s">
        <v>9</v>
      </c>
      <c r="B25" t="str">
        <f>VLOOKUP(B11,'Thang đánh giá'!$C$2:$D$27,2,FALSE)</f>
        <v>(0; 0,0548; 0,1095)</v>
      </c>
      <c r="C25" t="str">
        <f>VLOOKUP(C11,'Thang đánh giá'!$C$2:$D$27,2,FALSE)</f>
        <v>(0,0707; 0,1414; 0,2121)</v>
      </c>
      <c r="D25" t="str">
        <f>VLOOKUP(D11,'Thang đánh giá'!$C$2:$D$27,2,FALSE)</f>
        <v>(0; 0; 0,0548)</v>
      </c>
      <c r="E25" t="str">
        <f>VLOOKUP(E11,'Thang đánh giá'!$C$2:$D$27,2,FALSE)</f>
        <v>(0; 0,0707; 0,1414)</v>
      </c>
      <c r="F25" t="str">
        <f>VLOOKUP(F11,'Thang đánh giá'!$C$2:$D$27,2,FALSE)</f>
        <v>(0; 0; 0,0837)</v>
      </c>
      <c r="G25" t="str">
        <f>VLOOKUP(G11,'Thang đánh giá'!$C$2:$D$27,2,FALSE)</f>
        <v>(0; 0; 0,0707)</v>
      </c>
      <c r="H25" t="str">
        <f>VLOOKUP(H11,'Thang đánh giá'!$C$2:$D$27,2,FALSE)</f>
        <v>(0; 0,0548; 0,1095)</v>
      </c>
      <c r="I25" t="str">
        <f>VLOOKUP(I11,'Thang đánh giá'!$C$2:$D$27,2,FALSE)</f>
        <v>(0; 0; 0,0707)</v>
      </c>
      <c r="J25" t="str">
        <f>VLOOKUP(J11,'Thang đánh giá'!$C$2:$D$27,2,FALSE)</f>
        <v>(0; 0; 0,0707)</v>
      </c>
      <c r="K25" t="str">
        <f>VLOOKUP(K11,'Thang đánh giá'!$C$2:$D$27,2,FALSE)</f>
        <v>(0; 0; 0)</v>
      </c>
      <c r="L25" t="str">
        <f>VLOOKUP(L11,'Thang đánh giá'!$C$2:$D$27,2,FALSE)</f>
        <v>(0; 0; 0,0316)</v>
      </c>
      <c r="M25" t="str">
        <f>VLOOKUP(M11,'Thang đánh giá'!$C$2:$D$27,2,FALSE)</f>
        <v>(0; 0; 0,0548)</v>
      </c>
    </row>
    <row r="26" spans="1:13" x14ac:dyDescent="0.3">
      <c r="A26" t="s">
        <v>10</v>
      </c>
      <c r="B26" t="str">
        <f>VLOOKUP(B12,'Thang đánh giá'!$C$2:$D$27,2,FALSE)</f>
        <v>(0,0707; 0,1414; 0,2121)</v>
      </c>
      <c r="C26" t="str">
        <f>VLOOKUP(C12,'Thang đánh giá'!$C$2:$D$27,2,FALSE)</f>
        <v>(0; 0; 0,0548)</v>
      </c>
      <c r="D26" t="str">
        <f>VLOOKUP(D12,'Thang đánh giá'!$C$2:$D$27,2,FALSE)</f>
        <v>(0; 0; 0,0707)</v>
      </c>
      <c r="E26" t="str">
        <f>VLOOKUP(E12,'Thang đánh giá'!$C$2:$D$27,2,FALSE)</f>
        <v>(0; 0; 0,0707)</v>
      </c>
      <c r="F26" t="str">
        <f>VLOOKUP(F12,'Thang đánh giá'!$C$2:$D$27,2,FALSE)</f>
        <v>(0; 0; 0,0548)</v>
      </c>
      <c r="G26" t="str">
        <f>VLOOKUP(G12,'Thang đánh giá'!$C$2:$D$27,2,FALSE)</f>
        <v>(0; 0,0707; 0,1414)</v>
      </c>
      <c r="H26" t="str">
        <f>VLOOKUP(H12,'Thang đánh giá'!$C$2:$D$27,2,FALSE)</f>
        <v>(0; 0; 0,0707)</v>
      </c>
      <c r="I26" t="str">
        <f>VLOOKUP(I12,'Thang đánh giá'!$C$2:$D$27,2,FALSE)</f>
        <v>(0; 0,0707; 0,1414)</v>
      </c>
      <c r="J26" t="str">
        <f>VLOOKUP(J12,'Thang đánh giá'!$C$2:$D$27,2,FALSE)</f>
        <v>(0; 0,0707; 0,1414)</v>
      </c>
      <c r="K26" t="str">
        <f>VLOOKUP(K12,'Thang đánh giá'!$C$2:$D$27,2,FALSE)</f>
        <v>(0; 0; 0,0707)</v>
      </c>
      <c r="L26" t="str">
        <f>VLOOKUP(L12,'Thang đánh giá'!$C$2:$D$27,2,FALSE)</f>
        <v>(0; 0; 0)</v>
      </c>
      <c r="M26" t="str">
        <f>VLOOKUP(M12,'Thang đánh giá'!$C$2:$D$27,2,FALSE)</f>
        <v>(0,1673; 0,251; 0,3347)</v>
      </c>
    </row>
    <row r="27" spans="1:13" x14ac:dyDescent="0.3">
      <c r="A27" t="s">
        <v>11</v>
      </c>
      <c r="B27" t="str">
        <f>VLOOKUP(B13,'Thang đánh giá'!$C$2:$D$27,2,FALSE)</f>
        <v>(0; 0,0707; 0,1414)</v>
      </c>
      <c r="C27" t="str">
        <f>VLOOKUP(C13,'Thang đánh giá'!$C$2:$D$27,2,FALSE)</f>
        <v>(0; 0; 0,0707)</v>
      </c>
      <c r="D27" t="str">
        <f>VLOOKUP(D13,'Thang đánh giá'!$C$2:$D$27,2,FALSE)</f>
        <v>(0; 0; 0,0837)</v>
      </c>
      <c r="E27" t="str">
        <f>VLOOKUP(E13,'Thang đánh giá'!$C$2:$D$27,2,FALSE)</f>
        <v>(0; 0,0548; 0,1095)</v>
      </c>
      <c r="F27" t="str">
        <f>VLOOKUP(F13,'Thang đánh giá'!$C$2:$D$27,2,FALSE)</f>
        <v>(0; 0,0707; 0,1414)</v>
      </c>
      <c r="G27" t="str">
        <f>VLOOKUP(G13,'Thang đánh giá'!$C$2:$D$27,2,FALSE)</f>
        <v>(0; 0,0316; 0,0632)</v>
      </c>
      <c r="H27" t="str">
        <f>VLOOKUP(H13,'Thang đánh giá'!$C$2:$D$27,2,FALSE)</f>
        <v>(0; 0; 0,0316)</v>
      </c>
      <c r="I27" t="str">
        <f>VLOOKUP(I13,'Thang đánh giá'!$C$2:$D$27,2,FALSE)</f>
        <v>(0,0707; 0,1414; 0,2121)</v>
      </c>
      <c r="J27" t="str">
        <f>VLOOKUP(J13,'Thang đánh giá'!$C$2:$D$27,2,FALSE)</f>
        <v>(0; 0; 0,0707)</v>
      </c>
      <c r="K27" t="str">
        <f>VLOOKUP(K13,'Thang đánh giá'!$C$2:$D$27,2,FALSE)</f>
        <v>(0; 0; 0,0316)</v>
      </c>
      <c r="L27" t="str">
        <f>VLOOKUP(L13,'Thang đánh giá'!$C$2:$D$27,2,FALSE)</f>
        <v>(0; 0; 0,0707)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0.18970000000000001</v>
      </c>
      <c r="D30">
        <f t="shared" si="0"/>
        <v>0.1673</v>
      </c>
      <c r="E30">
        <f t="shared" si="0"/>
        <v>0</v>
      </c>
      <c r="F30">
        <f t="shared" si="0"/>
        <v>0.1673</v>
      </c>
      <c r="G30">
        <f t="shared" si="0"/>
        <v>0</v>
      </c>
      <c r="H30">
        <f t="shared" si="0"/>
        <v>7.0699999999999999E-2</v>
      </c>
      <c r="I30">
        <f t="shared" si="0"/>
        <v>0</v>
      </c>
      <c r="J30">
        <f t="shared" si="0"/>
        <v>0.18970000000000001</v>
      </c>
      <c r="K30">
        <f t="shared" si="0"/>
        <v>0</v>
      </c>
      <c r="L30">
        <f t="shared" si="0"/>
        <v>0</v>
      </c>
      <c r="M30">
        <f t="shared" si="0"/>
        <v>0</v>
      </c>
    </row>
    <row r="31" spans="1:13" x14ac:dyDescent="0.3">
      <c r="A31" t="s">
        <v>1</v>
      </c>
      <c r="B31">
        <f t="shared" ref="B31:M41" si="1">_xlfn.NUMBERVALUE(MID(B17,2,FIND(";",B17,1)-2))</f>
        <v>0</v>
      </c>
      <c r="C31">
        <f t="shared" si="1"/>
        <v>0</v>
      </c>
      <c r="D31">
        <f t="shared" si="1"/>
        <v>0.28460000000000002</v>
      </c>
      <c r="E31">
        <f t="shared" si="1"/>
        <v>0.251</v>
      </c>
      <c r="F31">
        <f t="shared" si="1"/>
        <v>0</v>
      </c>
      <c r="G31">
        <f t="shared" si="1"/>
        <v>0.251</v>
      </c>
      <c r="H31">
        <f t="shared" si="1"/>
        <v>0.18970000000000001</v>
      </c>
      <c r="I31">
        <f t="shared" si="1"/>
        <v>0</v>
      </c>
      <c r="J31">
        <f t="shared" si="1"/>
        <v>0.251</v>
      </c>
      <c r="K31">
        <f t="shared" si="1"/>
        <v>0.28460000000000002</v>
      </c>
      <c r="L31">
        <f t="shared" si="1"/>
        <v>0.28460000000000002</v>
      </c>
      <c r="M31">
        <f t="shared" si="1"/>
        <v>0.28460000000000002</v>
      </c>
    </row>
    <row r="32" spans="1:13" x14ac:dyDescent="0.3">
      <c r="A32" t="s">
        <v>2</v>
      </c>
      <c r="B32">
        <f t="shared" si="1"/>
        <v>8.3699999999999997E-2</v>
      </c>
      <c r="C32">
        <f t="shared" si="1"/>
        <v>0</v>
      </c>
      <c r="D32">
        <f t="shared" si="1"/>
        <v>0</v>
      </c>
      <c r="E32">
        <f t="shared" si="1"/>
        <v>8.3699999999999997E-2</v>
      </c>
      <c r="F32">
        <f t="shared" si="1"/>
        <v>0</v>
      </c>
      <c r="G32">
        <f t="shared" si="1"/>
        <v>0.1414</v>
      </c>
      <c r="H32">
        <f t="shared" si="1"/>
        <v>8.3699999999999997E-2</v>
      </c>
      <c r="I32">
        <f t="shared" si="1"/>
        <v>0</v>
      </c>
      <c r="J32">
        <f t="shared" si="1"/>
        <v>0.28460000000000002</v>
      </c>
      <c r="K32">
        <f t="shared" si="1"/>
        <v>0.251</v>
      </c>
      <c r="L32">
        <f t="shared" si="1"/>
        <v>0.1673</v>
      </c>
      <c r="M32">
        <f t="shared" si="1"/>
        <v>0.18970000000000001</v>
      </c>
    </row>
    <row r="33" spans="1:13" x14ac:dyDescent="0.3">
      <c r="A33" t="s">
        <v>3</v>
      </c>
      <c r="B33">
        <f t="shared" si="1"/>
        <v>0</v>
      </c>
      <c r="C33">
        <f t="shared" si="1"/>
        <v>0</v>
      </c>
      <c r="D33">
        <f t="shared" si="1"/>
        <v>0</v>
      </c>
      <c r="E33">
        <f t="shared" si="1"/>
        <v>0</v>
      </c>
      <c r="F33">
        <f t="shared" si="1"/>
        <v>0</v>
      </c>
      <c r="G33">
        <f t="shared" si="1"/>
        <v>0</v>
      </c>
      <c r="H33">
        <f t="shared" si="1"/>
        <v>0.1673</v>
      </c>
      <c r="I33">
        <f t="shared" si="1"/>
        <v>0</v>
      </c>
      <c r="J33">
        <f t="shared" si="1"/>
        <v>0.251</v>
      </c>
      <c r="K33">
        <f t="shared" si="1"/>
        <v>0</v>
      </c>
      <c r="L33">
        <f t="shared" si="1"/>
        <v>0.18970000000000001</v>
      </c>
      <c r="M33">
        <f t="shared" si="1"/>
        <v>0.18970000000000001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0</v>
      </c>
      <c r="D34">
        <f t="shared" si="2"/>
        <v>0</v>
      </c>
      <c r="E34">
        <f t="shared" si="2"/>
        <v>0</v>
      </c>
      <c r="F34">
        <f t="shared" si="2"/>
        <v>0</v>
      </c>
      <c r="G34">
        <f t="shared" si="2"/>
        <v>0.18970000000000001</v>
      </c>
      <c r="H34">
        <f t="shared" si="2"/>
        <v>7.0699999999999999E-2</v>
      </c>
      <c r="I34">
        <f t="shared" si="2"/>
        <v>0</v>
      </c>
      <c r="J34">
        <f t="shared" si="2"/>
        <v>0.251</v>
      </c>
      <c r="K34">
        <f t="shared" si="2"/>
        <v>0.251</v>
      </c>
      <c r="L34">
        <f t="shared" si="2"/>
        <v>0</v>
      </c>
      <c r="M34">
        <f t="shared" si="2"/>
        <v>0</v>
      </c>
    </row>
    <row r="35" spans="1:13" x14ac:dyDescent="0.3">
      <c r="A35" t="s">
        <v>5</v>
      </c>
      <c r="B35">
        <f t="shared" si="1"/>
        <v>0</v>
      </c>
      <c r="C35">
        <f t="shared" si="1"/>
        <v>0</v>
      </c>
      <c r="D35">
        <f t="shared" si="1"/>
        <v>0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0</v>
      </c>
      <c r="J35">
        <f t="shared" si="1"/>
        <v>0.1673</v>
      </c>
      <c r="K35">
        <f t="shared" si="1"/>
        <v>0</v>
      </c>
      <c r="L35">
        <f t="shared" si="1"/>
        <v>0</v>
      </c>
      <c r="M35">
        <f t="shared" si="1"/>
        <v>0</v>
      </c>
    </row>
    <row r="36" spans="1:13" x14ac:dyDescent="0.3">
      <c r="A36" t="s">
        <v>6</v>
      </c>
      <c r="B36">
        <f t="shared" si="1"/>
        <v>0</v>
      </c>
      <c r="C36">
        <f t="shared" si="1"/>
        <v>0</v>
      </c>
      <c r="D36">
        <f t="shared" si="1"/>
        <v>0</v>
      </c>
      <c r="E36">
        <f t="shared" si="1"/>
        <v>0</v>
      </c>
      <c r="F36">
        <f t="shared" si="1"/>
        <v>0</v>
      </c>
      <c r="G36">
        <f t="shared" si="1"/>
        <v>0</v>
      </c>
      <c r="H36">
        <f t="shared" si="1"/>
        <v>0</v>
      </c>
      <c r="I36">
        <f t="shared" si="1"/>
        <v>7.0699999999999999E-2</v>
      </c>
      <c r="J36">
        <f t="shared" si="1"/>
        <v>0</v>
      </c>
      <c r="K36">
        <f t="shared" si="1"/>
        <v>0</v>
      </c>
      <c r="L36">
        <f t="shared" si="1"/>
        <v>0</v>
      </c>
      <c r="M36">
        <f t="shared" si="1"/>
        <v>0</v>
      </c>
    </row>
    <row r="37" spans="1:13" x14ac:dyDescent="0.3">
      <c r="A37" t="s">
        <v>7</v>
      </c>
      <c r="B37">
        <f t="shared" si="1"/>
        <v>0</v>
      </c>
      <c r="C37">
        <f t="shared" si="1"/>
        <v>0</v>
      </c>
      <c r="D37">
        <f t="shared" si="1"/>
        <v>0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0.18970000000000001</v>
      </c>
      <c r="K37">
        <f t="shared" si="1"/>
        <v>0.28460000000000002</v>
      </c>
      <c r="L37">
        <f t="shared" si="1"/>
        <v>0.28460000000000002</v>
      </c>
      <c r="M37">
        <f t="shared" si="1"/>
        <v>0.18970000000000001</v>
      </c>
    </row>
    <row r="38" spans="1:13" x14ac:dyDescent="0.3">
      <c r="A38" t="s">
        <v>8</v>
      </c>
      <c r="B38">
        <f t="shared" si="1"/>
        <v>8.3699999999999997E-2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0.28460000000000002</v>
      </c>
      <c r="I38">
        <f t="shared" si="1"/>
        <v>0</v>
      </c>
      <c r="J38">
        <f t="shared" si="1"/>
        <v>0</v>
      </c>
      <c r="K38">
        <f t="shared" si="1"/>
        <v>0.28460000000000002</v>
      </c>
      <c r="L38">
        <f t="shared" si="1"/>
        <v>0.28460000000000002</v>
      </c>
      <c r="M38">
        <f t="shared" si="1"/>
        <v>0.18970000000000001</v>
      </c>
    </row>
    <row r="39" spans="1:13" x14ac:dyDescent="0.3">
      <c r="A39" t="s">
        <v>9</v>
      </c>
      <c r="B39">
        <f t="shared" si="1"/>
        <v>0</v>
      </c>
      <c r="C39">
        <f t="shared" si="1"/>
        <v>7.0699999999999999E-2</v>
      </c>
      <c r="D39">
        <f t="shared" si="1"/>
        <v>0</v>
      </c>
      <c r="E39">
        <f t="shared" si="1"/>
        <v>0</v>
      </c>
      <c r="F39">
        <f t="shared" si="1"/>
        <v>0</v>
      </c>
      <c r="G39">
        <f t="shared" si="1"/>
        <v>0</v>
      </c>
      <c r="H39">
        <f t="shared" si="1"/>
        <v>0</v>
      </c>
      <c r="I39">
        <f t="shared" si="1"/>
        <v>0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0</v>
      </c>
    </row>
    <row r="40" spans="1:13" x14ac:dyDescent="0.3">
      <c r="A40" t="s">
        <v>10</v>
      </c>
      <c r="B40">
        <f t="shared" si="1"/>
        <v>7.0699999999999999E-2</v>
      </c>
      <c r="C40">
        <f t="shared" si="1"/>
        <v>0</v>
      </c>
      <c r="D40">
        <f t="shared" si="1"/>
        <v>0</v>
      </c>
      <c r="E40">
        <f t="shared" si="1"/>
        <v>0</v>
      </c>
      <c r="F40">
        <f t="shared" si="1"/>
        <v>0</v>
      </c>
      <c r="G40">
        <f t="shared" si="1"/>
        <v>0</v>
      </c>
      <c r="H40">
        <f t="shared" si="1"/>
        <v>0</v>
      </c>
      <c r="I40">
        <f t="shared" si="1"/>
        <v>0</v>
      </c>
      <c r="J40">
        <f t="shared" si="1"/>
        <v>0</v>
      </c>
      <c r="K40">
        <f t="shared" si="1"/>
        <v>0</v>
      </c>
      <c r="L40">
        <f t="shared" si="1"/>
        <v>0</v>
      </c>
      <c r="M40">
        <f t="shared" si="1"/>
        <v>0.1673</v>
      </c>
    </row>
    <row r="41" spans="1:13" x14ac:dyDescent="0.3">
      <c r="A41" t="s">
        <v>11</v>
      </c>
      <c r="B41">
        <f t="shared" si="1"/>
        <v>0</v>
      </c>
      <c r="C41">
        <f t="shared" si="1"/>
        <v>0</v>
      </c>
      <c r="D41">
        <f t="shared" si="1"/>
        <v>0</v>
      </c>
      <c r="E41">
        <f t="shared" si="1"/>
        <v>0</v>
      </c>
      <c r="F41">
        <f t="shared" si="1"/>
        <v>0</v>
      </c>
      <c r="G41">
        <f t="shared" si="1"/>
        <v>0</v>
      </c>
      <c r="H41">
        <f t="shared" si="1"/>
        <v>0</v>
      </c>
      <c r="I41">
        <f t="shared" si="1"/>
        <v>7.0699999999999999E-2</v>
      </c>
      <c r="J41">
        <f t="shared" si="1"/>
        <v>0</v>
      </c>
      <c r="K41">
        <f t="shared" si="1"/>
        <v>0</v>
      </c>
      <c r="L41">
        <f t="shared" si="1"/>
        <v>0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0.28460000000000002</v>
      </c>
      <c r="D44">
        <f t="shared" si="3"/>
        <v>0.251</v>
      </c>
      <c r="E44">
        <f t="shared" si="3"/>
        <v>0</v>
      </c>
      <c r="F44">
        <f t="shared" si="3"/>
        <v>0.251</v>
      </c>
      <c r="G44">
        <f t="shared" si="3"/>
        <v>7.0699999999999999E-2</v>
      </c>
      <c r="H44">
        <f t="shared" si="3"/>
        <v>0.1414</v>
      </c>
      <c r="I44">
        <f t="shared" si="3"/>
        <v>8.3699999999999997E-2</v>
      </c>
      <c r="J44">
        <f t="shared" si="3"/>
        <v>0.28460000000000002</v>
      </c>
      <c r="K44">
        <f t="shared" si="3"/>
        <v>3.1600000000000003E-2</v>
      </c>
      <c r="L44">
        <f t="shared" si="3"/>
        <v>7.0699999999999999E-2</v>
      </c>
      <c r="M44">
        <f t="shared" si="3"/>
        <v>0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3.1600000000000003E-2</v>
      </c>
      <c r="C45">
        <f t="shared" si="4"/>
        <v>0</v>
      </c>
      <c r="D45">
        <f t="shared" si="4"/>
        <v>0.3795</v>
      </c>
      <c r="E45">
        <f t="shared" si="4"/>
        <v>0.3347</v>
      </c>
      <c r="F45">
        <f t="shared" si="4"/>
        <v>0</v>
      </c>
      <c r="G45">
        <f t="shared" si="4"/>
        <v>0.3347</v>
      </c>
      <c r="H45">
        <f t="shared" si="4"/>
        <v>0.28460000000000002</v>
      </c>
      <c r="I45">
        <f t="shared" si="4"/>
        <v>7.0699999999999999E-2</v>
      </c>
      <c r="J45">
        <f t="shared" si="4"/>
        <v>0.3347</v>
      </c>
      <c r="K45">
        <f t="shared" si="4"/>
        <v>0.3795</v>
      </c>
      <c r="L45">
        <f t="shared" si="4"/>
        <v>0.3795</v>
      </c>
      <c r="M45">
        <f t="shared" si="4"/>
        <v>0.3795</v>
      </c>
    </row>
    <row r="46" spans="1:13" x14ac:dyDescent="0.3">
      <c r="A46" t="s">
        <v>2</v>
      </c>
      <c r="B46">
        <f t="shared" si="4"/>
        <v>0.1673</v>
      </c>
      <c r="C46">
        <f t="shared" si="4"/>
        <v>0</v>
      </c>
      <c r="D46">
        <f t="shared" si="4"/>
        <v>0</v>
      </c>
      <c r="E46">
        <f t="shared" si="4"/>
        <v>0.1673</v>
      </c>
      <c r="F46">
        <f t="shared" si="4"/>
        <v>0</v>
      </c>
      <c r="G46">
        <f t="shared" si="4"/>
        <v>0.21210000000000001</v>
      </c>
      <c r="H46">
        <f t="shared" si="4"/>
        <v>0.1673</v>
      </c>
      <c r="I46">
        <f t="shared" si="4"/>
        <v>0</v>
      </c>
      <c r="J46">
        <f t="shared" si="4"/>
        <v>0.3795</v>
      </c>
      <c r="K46">
        <f t="shared" si="4"/>
        <v>0.3347</v>
      </c>
      <c r="L46">
        <f t="shared" si="4"/>
        <v>0.251</v>
      </c>
      <c r="M46">
        <f t="shared" si="4"/>
        <v>0.28460000000000002</v>
      </c>
    </row>
    <row r="47" spans="1:13" x14ac:dyDescent="0.3">
      <c r="A47" t="s">
        <v>3</v>
      </c>
      <c r="B47">
        <f t="shared" si="4"/>
        <v>0</v>
      </c>
      <c r="C47">
        <f t="shared" si="4"/>
        <v>3.1600000000000003E-2</v>
      </c>
      <c r="D47">
        <f t="shared" si="4"/>
        <v>0</v>
      </c>
      <c r="E47">
        <f t="shared" si="4"/>
        <v>0</v>
      </c>
      <c r="F47">
        <f t="shared" si="4"/>
        <v>0</v>
      </c>
      <c r="G47">
        <f t="shared" si="4"/>
        <v>8.3699999999999997E-2</v>
      </c>
      <c r="H47">
        <f t="shared" si="4"/>
        <v>0.251</v>
      </c>
      <c r="I47">
        <f t="shared" si="4"/>
        <v>7.0699999999999999E-2</v>
      </c>
      <c r="J47">
        <f t="shared" si="4"/>
        <v>0.3347</v>
      </c>
      <c r="K47">
        <f t="shared" si="4"/>
        <v>7.0699999999999999E-2</v>
      </c>
      <c r="L47">
        <f t="shared" si="4"/>
        <v>0.28460000000000002</v>
      </c>
      <c r="M47">
        <f t="shared" si="4"/>
        <v>0.28460000000000002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0</v>
      </c>
      <c r="C48">
        <f t="shared" si="5"/>
        <v>7.0699999999999999E-2</v>
      </c>
      <c r="D48">
        <f t="shared" si="5"/>
        <v>0</v>
      </c>
      <c r="E48">
        <f t="shared" si="5"/>
        <v>0</v>
      </c>
      <c r="F48">
        <f t="shared" si="5"/>
        <v>0</v>
      </c>
      <c r="G48">
        <f t="shared" si="5"/>
        <v>0.28460000000000002</v>
      </c>
      <c r="H48">
        <f t="shared" si="5"/>
        <v>0.1414</v>
      </c>
      <c r="I48">
        <f t="shared" si="5"/>
        <v>7.0699999999999999E-2</v>
      </c>
      <c r="J48">
        <f t="shared" si="5"/>
        <v>0.3347</v>
      </c>
      <c r="K48">
        <f t="shared" si="5"/>
        <v>0.3347</v>
      </c>
      <c r="L48">
        <f t="shared" si="5"/>
        <v>3.1600000000000003E-2</v>
      </c>
      <c r="M48">
        <f t="shared" si="5"/>
        <v>0</v>
      </c>
    </row>
    <row r="49" spans="1:13" x14ac:dyDescent="0.3">
      <c r="A49" t="s">
        <v>5</v>
      </c>
      <c r="B49">
        <f t="shared" si="4"/>
        <v>0</v>
      </c>
      <c r="C49">
        <f t="shared" si="4"/>
        <v>0</v>
      </c>
      <c r="D49">
        <f t="shared" si="4"/>
        <v>0</v>
      </c>
      <c r="E49">
        <f t="shared" si="4"/>
        <v>7.0699999999999999E-2</v>
      </c>
      <c r="F49">
        <f t="shared" si="4"/>
        <v>0</v>
      </c>
      <c r="G49">
        <f t="shared" si="4"/>
        <v>0</v>
      </c>
      <c r="H49">
        <f t="shared" si="4"/>
        <v>0</v>
      </c>
      <c r="I49">
        <f t="shared" si="4"/>
        <v>0</v>
      </c>
      <c r="J49">
        <f t="shared" si="4"/>
        <v>0.251</v>
      </c>
      <c r="K49">
        <f t="shared" si="4"/>
        <v>5.4800000000000001E-2</v>
      </c>
      <c r="L49">
        <f t="shared" si="4"/>
        <v>3.1600000000000003E-2</v>
      </c>
      <c r="M49">
        <f t="shared" si="4"/>
        <v>0</v>
      </c>
    </row>
    <row r="50" spans="1:13" x14ac:dyDescent="0.3">
      <c r="A50" t="s">
        <v>6</v>
      </c>
      <c r="B50">
        <f t="shared" si="4"/>
        <v>8.3699999999999997E-2</v>
      </c>
      <c r="C50">
        <f t="shared" si="4"/>
        <v>7.0699999999999999E-2</v>
      </c>
      <c r="D50">
        <f t="shared" si="4"/>
        <v>7.0699999999999999E-2</v>
      </c>
      <c r="E50">
        <f t="shared" si="4"/>
        <v>3.1600000000000003E-2</v>
      </c>
      <c r="F50">
        <f t="shared" si="4"/>
        <v>0</v>
      </c>
      <c r="G50">
        <f t="shared" si="4"/>
        <v>0</v>
      </c>
      <c r="H50">
        <f t="shared" si="4"/>
        <v>0</v>
      </c>
      <c r="I50">
        <f t="shared" si="4"/>
        <v>0.1414</v>
      </c>
      <c r="J50">
        <f t="shared" si="4"/>
        <v>0</v>
      </c>
      <c r="K50">
        <f t="shared" si="4"/>
        <v>3.1600000000000003E-2</v>
      </c>
      <c r="L50">
        <f t="shared" si="4"/>
        <v>7.0699999999999999E-2</v>
      </c>
      <c r="M50">
        <f t="shared" si="4"/>
        <v>5.4800000000000001E-2</v>
      </c>
    </row>
    <row r="51" spans="1:13" x14ac:dyDescent="0.3">
      <c r="A51" t="s">
        <v>7</v>
      </c>
      <c r="B51">
        <f t="shared" si="4"/>
        <v>3.1600000000000003E-2</v>
      </c>
      <c r="C51">
        <f t="shared" si="4"/>
        <v>7.0699999999999999E-2</v>
      </c>
      <c r="D51">
        <f t="shared" si="4"/>
        <v>7.0699999999999999E-2</v>
      </c>
      <c r="E51">
        <f t="shared" si="4"/>
        <v>3.1600000000000003E-2</v>
      </c>
      <c r="F51">
        <f t="shared" si="4"/>
        <v>0</v>
      </c>
      <c r="G51">
        <f t="shared" si="4"/>
        <v>0</v>
      </c>
      <c r="H51">
        <f t="shared" si="4"/>
        <v>7.0699999999999999E-2</v>
      </c>
      <c r="I51">
        <f t="shared" si="4"/>
        <v>0</v>
      </c>
      <c r="J51">
        <f t="shared" si="4"/>
        <v>0.28460000000000002</v>
      </c>
      <c r="K51">
        <f t="shared" si="4"/>
        <v>0.3795</v>
      </c>
      <c r="L51">
        <f t="shared" si="4"/>
        <v>0.3795</v>
      </c>
      <c r="M51">
        <f t="shared" si="4"/>
        <v>0.28460000000000002</v>
      </c>
    </row>
    <row r="52" spans="1:13" x14ac:dyDescent="0.3">
      <c r="A52" t="s">
        <v>8</v>
      </c>
      <c r="B52">
        <f t="shared" si="4"/>
        <v>0.1673</v>
      </c>
      <c r="C52">
        <f t="shared" si="4"/>
        <v>5.4800000000000001E-2</v>
      </c>
      <c r="D52">
        <f t="shared" si="4"/>
        <v>0</v>
      </c>
      <c r="E52">
        <f t="shared" si="4"/>
        <v>0</v>
      </c>
      <c r="F52">
        <f t="shared" si="4"/>
        <v>0</v>
      </c>
      <c r="G52">
        <f t="shared" si="4"/>
        <v>0</v>
      </c>
      <c r="H52">
        <f t="shared" si="4"/>
        <v>0.3795</v>
      </c>
      <c r="I52">
        <f t="shared" si="4"/>
        <v>0</v>
      </c>
      <c r="J52">
        <f t="shared" si="4"/>
        <v>0</v>
      </c>
      <c r="K52">
        <f t="shared" si="4"/>
        <v>0.3795</v>
      </c>
      <c r="L52">
        <f t="shared" si="4"/>
        <v>0.3795</v>
      </c>
      <c r="M52">
        <f t="shared" si="4"/>
        <v>0.28460000000000002</v>
      </c>
    </row>
    <row r="53" spans="1:13" x14ac:dyDescent="0.3">
      <c r="A53" t="s">
        <v>9</v>
      </c>
      <c r="B53">
        <f t="shared" si="4"/>
        <v>5.4800000000000001E-2</v>
      </c>
      <c r="C53">
        <f t="shared" si="4"/>
        <v>0.1414</v>
      </c>
      <c r="D53">
        <f t="shared" si="4"/>
        <v>0</v>
      </c>
      <c r="E53">
        <f t="shared" si="4"/>
        <v>7.0699999999999999E-2</v>
      </c>
      <c r="F53">
        <f t="shared" si="4"/>
        <v>0</v>
      </c>
      <c r="G53">
        <f t="shared" si="4"/>
        <v>0</v>
      </c>
      <c r="H53">
        <f t="shared" si="4"/>
        <v>5.4800000000000001E-2</v>
      </c>
      <c r="I53">
        <f t="shared" si="4"/>
        <v>0</v>
      </c>
      <c r="J53">
        <f t="shared" si="4"/>
        <v>0</v>
      </c>
      <c r="K53">
        <f t="shared" si="4"/>
        <v>0</v>
      </c>
      <c r="L53">
        <f t="shared" si="4"/>
        <v>0</v>
      </c>
      <c r="M53">
        <f t="shared" si="4"/>
        <v>0</v>
      </c>
    </row>
    <row r="54" spans="1:13" x14ac:dyDescent="0.3">
      <c r="A54" t="s">
        <v>10</v>
      </c>
      <c r="B54">
        <f t="shared" si="4"/>
        <v>0.1414</v>
      </c>
      <c r="C54">
        <f t="shared" si="4"/>
        <v>0</v>
      </c>
      <c r="D54">
        <f t="shared" si="4"/>
        <v>0</v>
      </c>
      <c r="E54">
        <f t="shared" si="4"/>
        <v>0</v>
      </c>
      <c r="F54">
        <f t="shared" si="4"/>
        <v>0</v>
      </c>
      <c r="G54">
        <f t="shared" si="4"/>
        <v>7.0699999999999999E-2</v>
      </c>
      <c r="H54">
        <f t="shared" si="4"/>
        <v>0</v>
      </c>
      <c r="I54">
        <f t="shared" si="4"/>
        <v>7.0699999999999999E-2</v>
      </c>
      <c r="J54">
        <f t="shared" si="4"/>
        <v>7.0699999999999999E-2</v>
      </c>
      <c r="K54">
        <f t="shared" si="4"/>
        <v>0</v>
      </c>
      <c r="L54">
        <f t="shared" si="4"/>
        <v>0</v>
      </c>
      <c r="M54">
        <f t="shared" si="4"/>
        <v>0.251</v>
      </c>
    </row>
    <row r="55" spans="1:13" x14ac:dyDescent="0.3">
      <c r="A55" t="s">
        <v>11</v>
      </c>
      <c r="B55">
        <f t="shared" si="4"/>
        <v>7.0699999999999999E-2</v>
      </c>
      <c r="C55">
        <f t="shared" si="4"/>
        <v>0</v>
      </c>
      <c r="D55">
        <f t="shared" si="4"/>
        <v>0</v>
      </c>
      <c r="E55">
        <f t="shared" si="4"/>
        <v>5.4800000000000001E-2</v>
      </c>
      <c r="F55">
        <f t="shared" si="4"/>
        <v>7.0699999999999999E-2</v>
      </c>
      <c r="G55">
        <f t="shared" si="4"/>
        <v>3.1600000000000003E-2</v>
      </c>
      <c r="H55">
        <f t="shared" si="4"/>
        <v>0</v>
      </c>
      <c r="I55">
        <f t="shared" si="4"/>
        <v>0.1414</v>
      </c>
      <c r="J55">
        <f t="shared" si="4"/>
        <v>0</v>
      </c>
      <c r="K55">
        <f t="shared" si="4"/>
        <v>0</v>
      </c>
      <c r="L55">
        <f t="shared" si="4"/>
        <v>0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0.3795</v>
      </c>
      <c r="D58">
        <f t="shared" si="6"/>
        <v>0.3347</v>
      </c>
      <c r="E58">
        <f t="shared" si="6"/>
        <v>7.0699999999999999E-2</v>
      </c>
      <c r="F58">
        <f t="shared" si="6"/>
        <v>0.3347</v>
      </c>
      <c r="G58">
        <f t="shared" si="6"/>
        <v>0.1414</v>
      </c>
      <c r="H58">
        <f t="shared" si="6"/>
        <v>0.21210000000000001</v>
      </c>
      <c r="I58">
        <f t="shared" si="6"/>
        <v>0.1673</v>
      </c>
      <c r="J58">
        <f t="shared" si="6"/>
        <v>0.3795</v>
      </c>
      <c r="K58">
        <f t="shared" si="6"/>
        <v>6.3200000000000006E-2</v>
      </c>
      <c r="L58">
        <f t="shared" si="6"/>
        <v>0.1414</v>
      </c>
      <c r="M58">
        <f t="shared" si="6"/>
        <v>3.1600000000000003E-2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6.3200000000000006E-2</v>
      </c>
      <c r="C59">
        <f t="shared" si="7"/>
        <v>0</v>
      </c>
      <c r="D59">
        <f t="shared" si="7"/>
        <v>0.3795</v>
      </c>
      <c r="E59">
        <f t="shared" si="7"/>
        <v>0.3347</v>
      </c>
      <c r="F59">
        <f t="shared" si="7"/>
        <v>7.0699999999999999E-2</v>
      </c>
      <c r="G59">
        <f t="shared" si="7"/>
        <v>0.3347</v>
      </c>
      <c r="H59">
        <f t="shared" si="7"/>
        <v>0.3795</v>
      </c>
      <c r="I59">
        <f t="shared" si="7"/>
        <v>0.1414</v>
      </c>
      <c r="J59">
        <f t="shared" si="7"/>
        <v>0.3347</v>
      </c>
      <c r="K59">
        <f t="shared" si="7"/>
        <v>0.3795</v>
      </c>
      <c r="L59">
        <f t="shared" si="7"/>
        <v>0.3795</v>
      </c>
      <c r="M59">
        <f t="shared" si="7"/>
        <v>0.3795</v>
      </c>
    </row>
    <row r="60" spans="1:13" x14ac:dyDescent="0.3">
      <c r="A60" t="s">
        <v>2</v>
      </c>
      <c r="B60">
        <f t="shared" si="7"/>
        <v>0.251</v>
      </c>
      <c r="C60">
        <f t="shared" si="7"/>
        <v>7.0699999999999999E-2</v>
      </c>
      <c r="D60">
        <f t="shared" si="7"/>
        <v>0</v>
      </c>
      <c r="E60">
        <f t="shared" si="7"/>
        <v>0.251</v>
      </c>
      <c r="F60">
        <f t="shared" si="7"/>
        <v>5.4800000000000001E-2</v>
      </c>
      <c r="G60">
        <f t="shared" si="7"/>
        <v>0.2828</v>
      </c>
      <c r="H60">
        <f t="shared" si="7"/>
        <v>0.251</v>
      </c>
      <c r="I60">
        <f t="shared" si="7"/>
        <v>7.0699999999999999E-2</v>
      </c>
      <c r="J60">
        <f t="shared" si="7"/>
        <v>0.3795</v>
      </c>
      <c r="K60">
        <f t="shared" si="7"/>
        <v>0.3347</v>
      </c>
      <c r="L60">
        <f t="shared" si="7"/>
        <v>0.3347</v>
      </c>
      <c r="M60">
        <f t="shared" si="7"/>
        <v>0.3795</v>
      </c>
    </row>
    <row r="61" spans="1:13" x14ac:dyDescent="0.3">
      <c r="A61" t="s">
        <v>3</v>
      </c>
      <c r="B61">
        <f t="shared" si="7"/>
        <v>5.4800000000000001E-2</v>
      </c>
      <c r="C61">
        <f t="shared" si="7"/>
        <v>6.3200000000000006E-2</v>
      </c>
      <c r="D61">
        <f t="shared" si="7"/>
        <v>7.0699999999999999E-2</v>
      </c>
      <c r="E61">
        <f t="shared" si="7"/>
        <v>0</v>
      </c>
      <c r="F61">
        <f t="shared" si="7"/>
        <v>7.0699999999999999E-2</v>
      </c>
      <c r="G61">
        <f t="shared" si="7"/>
        <v>0.1673</v>
      </c>
      <c r="H61">
        <f t="shared" si="7"/>
        <v>0.3347</v>
      </c>
      <c r="I61">
        <f t="shared" si="7"/>
        <v>0.1414</v>
      </c>
      <c r="J61">
        <f t="shared" si="7"/>
        <v>0.3347</v>
      </c>
      <c r="K61">
        <f t="shared" si="7"/>
        <v>0.1414</v>
      </c>
      <c r="L61">
        <f t="shared" si="7"/>
        <v>0.3795</v>
      </c>
      <c r="M61">
        <f t="shared" si="7"/>
        <v>0.3795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5.4800000000000001E-2</v>
      </c>
      <c r="C62">
        <f t="shared" si="8"/>
        <v>0.1414</v>
      </c>
      <c r="D62">
        <f t="shared" si="8"/>
        <v>3.1600000000000003E-2</v>
      </c>
      <c r="E62">
        <f t="shared" si="8"/>
        <v>7.0699999999999999E-2</v>
      </c>
      <c r="F62">
        <f t="shared" si="8"/>
        <v>0</v>
      </c>
      <c r="G62">
        <f t="shared" si="8"/>
        <v>0.3795</v>
      </c>
      <c r="H62">
        <f t="shared" si="8"/>
        <v>0.21210000000000001</v>
      </c>
      <c r="I62">
        <f t="shared" si="8"/>
        <v>0.1414</v>
      </c>
      <c r="J62">
        <f t="shared" si="8"/>
        <v>0.3347</v>
      </c>
      <c r="K62">
        <f t="shared" si="8"/>
        <v>0.3347</v>
      </c>
      <c r="L62">
        <f t="shared" si="8"/>
        <v>6.3200000000000006E-2</v>
      </c>
      <c r="M62">
        <f t="shared" si="8"/>
        <v>7.0699999999999999E-2</v>
      </c>
    </row>
    <row r="63" spans="1:13" x14ac:dyDescent="0.3">
      <c r="A63" t="s">
        <v>5</v>
      </c>
      <c r="B63">
        <f t="shared" si="7"/>
        <v>5.4800000000000001E-2</v>
      </c>
      <c r="C63">
        <f t="shared" si="7"/>
        <v>5.4800000000000001E-2</v>
      </c>
      <c r="D63">
        <f t="shared" si="7"/>
        <v>5.4800000000000001E-2</v>
      </c>
      <c r="E63">
        <f t="shared" si="7"/>
        <v>0.1414</v>
      </c>
      <c r="F63">
        <f t="shared" si="7"/>
        <v>7.0699999999999999E-2</v>
      </c>
      <c r="G63">
        <f t="shared" si="7"/>
        <v>0</v>
      </c>
      <c r="H63">
        <f t="shared" si="7"/>
        <v>8.3699999999999997E-2</v>
      </c>
      <c r="I63">
        <f t="shared" si="7"/>
        <v>7.0699999999999999E-2</v>
      </c>
      <c r="J63">
        <f t="shared" si="7"/>
        <v>0.3347</v>
      </c>
      <c r="K63">
        <f t="shared" si="7"/>
        <v>0.1095</v>
      </c>
      <c r="L63">
        <f t="shared" si="7"/>
        <v>6.3200000000000006E-2</v>
      </c>
      <c r="M63">
        <f t="shared" si="7"/>
        <v>5.4800000000000001E-2</v>
      </c>
    </row>
    <row r="64" spans="1:13" x14ac:dyDescent="0.3">
      <c r="A64" t="s">
        <v>6</v>
      </c>
      <c r="B64">
        <f t="shared" si="7"/>
        <v>0.1673</v>
      </c>
      <c r="C64">
        <f t="shared" si="7"/>
        <v>0.1414</v>
      </c>
      <c r="D64">
        <f t="shared" si="7"/>
        <v>0.1414</v>
      </c>
      <c r="E64">
        <f t="shared" si="7"/>
        <v>6.3200000000000006E-2</v>
      </c>
      <c r="F64">
        <f t="shared" si="7"/>
        <v>5.4800000000000001E-2</v>
      </c>
      <c r="G64">
        <f t="shared" si="7"/>
        <v>5.4800000000000001E-2</v>
      </c>
      <c r="H64">
        <f t="shared" si="7"/>
        <v>0</v>
      </c>
      <c r="I64">
        <f t="shared" si="7"/>
        <v>0.21210000000000001</v>
      </c>
      <c r="J64">
        <f t="shared" si="7"/>
        <v>5.4800000000000001E-2</v>
      </c>
      <c r="K64">
        <f t="shared" si="7"/>
        <v>6.3200000000000006E-2</v>
      </c>
      <c r="L64">
        <f t="shared" si="7"/>
        <v>0.1414</v>
      </c>
      <c r="M64">
        <f t="shared" si="7"/>
        <v>0.1095</v>
      </c>
    </row>
    <row r="65" spans="1:13" x14ac:dyDescent="0.3">
      <c r="A65" t="s">
        <v>7</v>
      </c>
      <c r="B65">
        <f t="shared" si="7"/>
        <v>6.3200000000000006E-2</v>
      </c>
      <c r="C65">
        <f t="shared" si="7"/>
        <v>0.1414</v>
      </c>
      <c r="D65">
        <f t="shared" si="7"/>
        <v>0.1414</v>
      </c>
      <c r="E65">
        <f t="shared" si="7"/>
        <v>6.3200000000000006E-2</v>
      </c>
      <c r="F65">
        <f t="shared" si="7"/>
        <v>3.1600000000000003E-2</v>
      </c>
      <c r="G65">
        <f t="shared" si="7"/>
        <v>7.0699999999999999E-2</v>
      </c>
      <c r="H65">
        <f t="shared" si="7"/>
        <v>0.1414</v>
      </c>
      <c r="I65">
        <f t="shared" si="7"/>
        <v>0</v>
      </c>
      <c r="J65">
        <f t="shared" si="7"/>
        <v>0.3795</v>
      </c>
      <c r="K65">
        <f t="shared" si="7"/>
        <v>0.3795</v>
      </c>
      <c r="L65">
        <f t="shared" si="7"/>
        <v>0.3795</v>
      </c>
      <c r="M65">
        <f t="shared" si="7"/>
        <v>0.3795</v>
      </c>
    </row>
    <row r="66" spans="1:13" x14ac:dyDescent="0.3">
      <c r="A66" t="s">
        <v>8</v>
      </c>
      <c r="B66">
        <f t="shared" si="7"/>
        <v>0.251</v>
      </c>
      <c r="C66">
        <f t="shared" si="7"/>
        <v>0.1095</v>
      </c>
      <c r="D66">
        <f t="shared" si="7"/>
        <v>7.0699999999999999E-2</v>
      </c>
      <c r="E66">
        <f t="shared" si="7"/>
        <v>7.0699999999999999E-2</v>
      </c>
      <c r="F66">
        <f t="shared" si="7"/>
        <v>3.1600000000000003E-2</v>
      </c>
      <c r="G66">
        <f t="shared" si="7"/>
        <v>7.0699999999999999E-2</v>
      </c>
      <c r="H66">
        <f t="shared" si="7"/>
        <v>0.3795</v>
      </c>
      <c r="I66">
        <f t="shared" si="7"/>
        <v>3.1600000000000003E-2</v>
      </c>
      <c r="J66">
        <f t="shared" si="7"/>
        <v>0</v>
      </c>
      <c r="K66">
        <f t="shared" si="7"/>
        <v>0.3795</v>
      </c>
      <c r="L66">
        <f t="shared" si="7"/>
        <v>0.3795</v>
      </c>
      <c r="M66">
        <f t="shared" si="7"/>
        <v>0.3795</v>
      </c>
    </row>
    <row r="67" spans="1:13" x14ac:dyDescent="0.3">
      <c r="A67" t="s">
        <v>9</v>
      </c>
      <c r="B67">
        <f t="shared" si="7"/>
        <v>0.1095</v>
      </c>
      <c r="C67">
        <f t="shared" si="7"/>
        <v>0.21210000000000001</v>
      </c>
      <c r="D67">
        <f t="shared" si="7"/>
        <v>5.4800000000000001E-2</v>
      </c>
      <c r="E67">
        <f t="shared" si="7"/>
        <v>0.1414</v>
      </c>
      <c r="F67">
        <f t="shared" si="7"/>
        <v>8.3699999999999997E-2</v>
      </c>
      <c r="G67">
        <f t="shared" si="7"/>
        <v>7.0699999999999999E-2</v>
      </c>
      <c r="H67">
        <f t="shared" si="7"/>
        <v>0.1095</v>
      </c>
      <c r="I67">
        <f t="shared" si="7"/>
        <v>7.0699999999999999E-2</v>
      </c>
      <c r="J67">
        <f t="shared" si="7"/>
        <v>7.0699999999999999E-2</v>
      </c>
      <c r="K67">
        <f t="shared" si="7"/>
        <v>0</v>
      </c>
      <c r="L67">
        <f t="shared" si="7"/>
        <v>3.1600000000000003E-2</v>
      </c>
      <c r="M67">
        <f t="shared" si="7"/>
        <v>5.4800000000000001E-2</v>
      </c>
    </row>
    <row r="68" spans="1:13" x14ac:dyDescent="0.3">
      <c r="A68" t="s">
        <v>10</v>
      </c>
      <c r="B68">
        <f t="shared" si="7"/>
        <v>0.21210000000000001</v>
      </c>
      <c r="C68">
        <f t="shared" si="7"/>
        <v>5.4800000000000001E-2</v>
      </c>
      <c r="D68">
        <f t="shared" si="7"/>
        <v>7.0699999999999999E-2</v>
      </c>
      <c r="E68">
        <f t="shared" si="7"/>
        <v>7.0699999999999999E-2</v>
      </c>
      <c r="F68">
        <f t="shared" si="7"/>
        <v>5.4800000000000001E-2</v>
      </c>
      <c r="G68">
        <f t="shared" si="7"/>
        <v>0.1414</v>
      </c>
      <c r="H68">
        <f t="shared" si="7"/>
        <v>7.0699999999999999E-2</v>
      </c>
      <c r="I68">
        <f t="shared" si="7"/>
        <v>0.1414</v>
      </c>
      <c r="J68">
        <f t="shared" si="7"/>
        <v>0.1414</v>
      </c>
      <c r="K68">
        <f t="shared" si="7"/>
        <v>7.0699999999999999E-2</v>
      </c>
      <c r="L68">
        <f t="shared" si="7"/>
        <v>0</v>
      </c>
      <c r="M68">
        <f t="shared" si="7"/>
        <v>0.3347</v>
      </c>
    </row>
    <row r="69" spans="1:13" x14ac:dyDescent="0.3">
      <c r="A69" t="s">
        <v>11</v>
      </c>
      <c r="B69">
        <f t="shared" si="7"/>
        <v>0.1414</v>
      </c>
      <c r="C69">
        <f t="shared" si="7"/>
        <v>7.0699999999999999E-2</v>
      </c>
      <c r="D69">
        <f t="shared" si="7"/>
        <v>8.3699999999999997E-2</v>
      </c>
      <c r="E69">
        <f t="shared" si="7"/>
        <v>0.1095</v>
      </c>
      <c r="F69">
        <f t="shared" si="7"/>
        <v>0.1414</v>
      </c>
      <c r="G69">
        <f t="shared" si="7"/>
        <v>6.3200000000000006E-2</v>
      </c>
      <c r="H69">
        <f t="shared" si="7"/>
        <v>3.1600000000000003E-2</v>
      </c>
      <c r="I69">
        <f t="shared" si="7"/>
        <v>0.21210000000000001</v>
      </c>
      <c r="J69">
        <f t="shared" si="7"/>
        <v>7.0699999999999999E-2</v>
      </c>
      <c r="K69">
        <f t="shared" si="7"/>
        <v>3.1600000000000003E-2</v>
      </c>
      <c r="L69">
        <f t="shared" si="7"/>
        <v>7.0699999999999999E-2</v>
      </c>
      <c r="M69">
        <f t="shared" si="7"/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M69"/>
  <sheetViews>
    <sheetView workbookViewId="0">
      <selection activeCell="A15" sqref="A15:M69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13</v>
      </c>
      <c r="D2" t="s">
        <v>12</v>
      </c>
      <c r="E2" t="s">
        <v>71</v>
      </c>
      <c r="F2" t="s">
        <v>12</v>
      </c>
      <c r="G2" t="s">
        <v>15</v>
      </c>
      <c r="H2" t="s">
        <v>16</v>
      </c>
      <c r="I2" t="s">
        <v>23</v>
      </c>
      <c r="J2" t="s">
        <v>12</v>
      </c>
      <c r="K2" t="s">
        <v>22</v>
      </c>
      <c r="L2" t="s">
        <v>23</v>
      </c>
      <c r="M2" t="s">
        <v>16</v>
      </c>
    </row>
    <row r="3" spans="1:13" x14ac:dyDescent="0.3">
      <c r="A3" s="1" t="s">
        <v>1</v>
      </c>
      <c r="B3" t="s">
        <v>15</v>
      </c>
      <c r="C3">
        <v>0</v>
      </c>
      <c r="D3" t="s">
        <v>13</v>
      </c>
      <c r="E3" t="s">
        <v>18</v>
      </c>
      <c r="F3" t="s">
        <v>24</v>
      </c>
      <c r="G3" t="s">
        <v>25</v>
      </c>
      <c r="H3" t="s">
        <v>25</v>
      </c>
      <c r="I3" t="s">
        <v>20</v>
      </c>
      <c r="J3" t="s">
        <v>62</v>
      </c>
      <c r="K3" t="s">
        <v>18</v>
      </c>
      <c r="L3" t="s">
        <v>25</v>
      </c>
      <c r="M3" t="s">
        <v>13</v>
      </c>
    </row>
    <row r="4" spans="1:13" x14ac:dyDescent="0.3">
      <c r="A4" s="1" t="s">
        <v>2</v>
      </c>
      <c r="B4" t="s">
        <v>22</v>
      </c>
      <c r="C4" t="s">
        <v>20</v>
      </c>
      <c r="D4">
        <v>0</v>
      </c>
      <c r="E4" t="s">
        <v>16</v>
      </c>
      <c r="F4" t="s">
        <v>15</v>
      </c>
      <c r="G4" t="s">
        <v>22</v>
      </c>
      <c r="H4" t="s">
        <v>22</v>
      </c>
      <c r="I4" t="s">
        <v>22</v>
      </c>
      <c r="J4" t="s">
        <v>18</v>
      </c>
      <c r="K4" t="s">
        <v>25</v>
      </c>
      <c r="L4" t="s">
        <v>13</v>
      </c>
      <c r="M4" t="s">
        <v>18</v>
      </c>
    </row>
    <row r="5" spans="1:13" x14ac:dyDescent="0.3">
      <c r="A5" s="1" t="s">
        <v>3</v>
      </c>
      <c r="B5" t="s">
        <v>22</v>
      </c>
      <c r="C5" t="s">
        <v>21</v>
      </c>
      <c r="D5" t="s">
        <v>17</v>
      </c>
      <c r="E5">
        <v>0</v>
      </c>
      <c r="F5" t="s">
        <v>24</v>
      </c>
      <c r="G5" t="s">
        <v>16</v>
      </c>
      <c r="H5" t="s">
        <v>13</v>
      </c>
      <c r="I5" t="s">
        <v>23</v>
      </c>
      <c r="J5" t="s">
        <v>12</v>
      </c>
      <c r="K5" t="s">
        <v>62</v>
      </c>
      <c r="L5" t="s">
        <v>13</v>
      </c>
      <c r="M5" t="s">
        <v>13</v>
      </c>
    </row>
    <row r="6" spans="1:13" x14ac:dyDescent="0.3">
      <c r="A6" s="1" t="s">
        <v>4</v>
      </c>
      <c r="B6" t="s">
        <v>15</v>
      </c>
      <c r="C6" t="s">
        <v>24</v>
      </c>
      <c r="D6" t="s">
        <v>16</v>
      </c>
      <c r="E6" t="s">
        <v>16</v>
      </c>
      <c r="F6">
        <v>0</v>
      </c>
      <c r="G6" t="s">
        <v>25</v>
      </c>
      <c r="H6" t="s">
        <v>15</v>
      </c>
      <c r="I6" t="s">
        <v>17</v>
      </c>
      <c r="J6" t="s">
        <v>12</v>
      </c>
      <c r="K6" t="s">
        <v>13</v>
      </c>
      <c r="L6" t="s">
        <v>24</v>
      </c>
      <c r="M6" t="s">
        <v>16</v>
      </c>
    </row>
    <row r="7" spans="1:13" x14ac:dyDescent="0.3">
      <c r="A7" s="1" t="s">
        <v>5</v>
      </c>
      <c r="B7" t="s">
        <v>16</v>
      </c>
      <c r="C7" t="s">
        <v>20</v>
      </c>
      <c r="D7" t="s">
        <v>15</v>
      </c>
      <c r="E7" t="s">
        <v>22</v>
      </c>
      <c r="F7" t="s">
        <v>16</v>
      </c>
      <c r="G7">
        <v>0</v>
      </c>
      <c r="H7" t="s">
        <v>71</v>
      </c>
      <c r="I7" t="s">
        <v>23</v>
      </c>
      <c r="J7" t="s">
        <v>18</v>
      </c>
      <c r="K7" t="s">
        <v>62</v>
      </c>
      <c r="L7" s="6" t="s">
        <v>24</v>
      </c>
      <c r="M7" t="s">
        <v>15</v>
      </c>
    </row>
    <row r="8" spans="1:13" x14ac:dyDescent="0.3">
      <c r="A8" s="1" t="s">
        <v>6</v>
      </c>
      <c r="B8" t="s">
        <v>23</v>
      </c>
      <c r="C8" t="s">
        <v>15</v>
      </c>
      <c r="D8" t="s">
        <v>16</v>
      </c>
      <c r="E8" t="s">
        <v>15</v>
      </c>
      <c r="F8" t="s">
        <v>15</v>
      </c>
      <c r="G8" t="s">
        <v>22</v>
      </c>
      <c r="H8">
        <v>0</v>
      </c>
      <c r="I8" t="s">
        <v>22</v>
      </c>
      <c r="J8" t="s">
        <v>16</v>
      </c>
      <c r="K8" t="s">
        <v>16</v>
      </c>
      <c r="L8" s="6" t="s">
        <v>24</v>
      </c>
      <c r="M8" t="s">
        <v>16</v>
      </c>
    </row>
    <row r="9" spans="1:13" x14ac:dyDescent="0.3">
      <c r="A9" s="1" t="s">
        <v>7</v>
      </c>
      <c r="B9" t="s">
        <v>15</v>
      </c>
      <c r="C9" t="s">
        <v>20</v>
      </c>
      <c r="D9" t="s">
        <v>15</v>
      </c>
      <c r="E9" t="s">
        <v>62</v>
      </c>
      <c r="F9" t="s">
        <v>20</v>
      </c>
      <c r="G9" t="s">
        <v>16</v>
      </c>
      <c r="H9" t="s">
        <v>16</v>
      </c>
      <c r="I9">
        <v>0</v>
      </c>
      <c r="J9" t="s">
        <v>13</v>
      </c>
      <c r="K9" t="s">
        <v>25</v>
      </c>
      <c r="L9" s="6" t="s">
        <v>12</v>
      </c>
      <c r="M9" t="s">
        <v>18</v>
      </c>
    </row>
    <row r="10" spans="1:13" x14ac:dyDescent="0.3">
      <c r="A10" s="1" t="s">
        <v>8</v>
      </c>
      <c r="B10" t="s">
        <v>22</v>
      </c>
      <c r="C10" t="s">
        <v>17</v>
      </c>
      <c r="D10" t="s">
        <v>20</v>
      </c>
      <c r="E10" t="s">
        <v>21</v>
      </c>
      <c r="F10" t="s">
        <v>71</v>
      </c>
      <c r="G10" t="s">
        <v>16</v>
      </c>
      <c r="H10" t="s">
        <v>13</v>
      </c>
      <c r="I10" t="s">
        <v>24</v>
      </c>
      <c r="J10">
        <v>0</v>
      </c>
      <c r="K10" t="s">
        <v>25</v>
      </c>
      <c r="L10" s="6" t="s">
        <v>13</v>
      </c>
      <c r="M10" t="s">
        <v>13</v>
      </c>
    </row>
    <row r="11" spans="1:13" x14ac:dyDescent="0.3">
      <c r="A11" s="1" t="s">
        <v>9</v>
      </c>
      <c r="B11" t="s">
        <v>24</v>
      </c>
      <c r="C11" t="s">
        <v>16</v>
      </c>
      <c r="D11" t="s">
        <v>24</v>
      </c>
      <c r="E11" t="s">
        <v>23</v>
      </c>
      <c r="F11" t="s">
        <v>15</v>
      </c>
      <c r="G11" t="s">
        <v>23</v>
      </c>
      <c r="H11" t="s">
        <v>15</v>
      </c>
      <c r="I11" t="s">
        <v>24</v>
      </c>
      <c r="J11" t="s">
        <v>17</v>
      </c>
      <c r="K11">
        <v>0</v>
      </c>
      <c r="L11" s="6" t="s">
        <v>15</v>
      </c>
      <c r="M11" t="s">
        <v>24</v>
      </c>
    </row>
    <row r="12" spans="1:13" x14ac:dyDescent="0.3">
      <c r="A12" s="1" t="s">
        <v>10</v>
      </c>
      <c r="B12" t="s">
        <v>22</v>
      </c>
      <c r="C12" t="s">
        <v>23</v>
      </c>
      <c r="D12" t="s">
        <v>16</v>
      </c>
      <c r="E12" t="s">
        <v>15</v>
      </c>
      <c r="F12" t="s">
        <v>17</v>
      </c>
      <c r="G12" t="s">
        <v>24</v>
      </c>
      <c r="H12" t="s">
        <v>16</v>
      </c>
      <c r="I12" t="s">
        <v>24</v>
      </c>
      <c r="J12" t="s">
        <v>17</v>
      </c>
      <c r="K12" t="s">
        <v>24</v>
      </c>
      <c r="L12">
        <v>0</v>
      </c>
      <c r="M12" t="s">
        <v>13</v>
      </c>
    </row>
    <row r="13" spans="1:13" x14ac:dyDescent="0.3">
      <c r="A13" s="1" t="s">
        <v>11</v>
      </c>
      <c r="B13" t="s">
        <v>22</v>
      </c>
      <c r="C13" t="s">
        <v>24</v>
      </c>
      <c r="D13" t="s">
        <v>20</v>
      </c>
      <c r="E13" t="s">
        <v>20</v>
      </c>
      <c r="F13" t="s">
        <v>16</v>
      </c>
      <c r="G13" t="s">
        <v>24</v>
      </c>
      <c r="H13" t="s">
        <v>15</v>
      </c>
      <c r="I13" t="s">
        <v>16</v>
      </c>
      <c r="J13" t="s">
        <v>21</v>
      </c>
      <c r="K13" t="s">
        <v>24</v>
      </c>
      <c r="L13" t="s">
        <v>24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(0,1897; 0,2846; 0,3795)</v>
      </c>
      <c r="D16" t="str">
        <f>VLOOKUP(D2,'Thang đánh giá'!$C$2:$D$27,2,FALSE)</f>
        <v>(0,1673; 0,251; 0,3347)</v>
      </c>
      <c r="E16" t="str">
        <f>VLOOKUP(E2,'Thang đánh giá'!$C$2:$D$27,2,FALSE)</f>
        <v>(0; 0; 0,0837)</v>
      </c>
      <c r="F16" t="str">
        <f>VLOOKUP(F2,'Thang đánh giá'!$C$2:$D$27,2,FALSE)</f>
        <v>(0,1673; 0,251; 0,3347)</v>
      </c>
      <c r="G16" t="str">
        <f>VLOOKUP(G2,'Thang đánh giá'!$C$2:$D$27,2,FALSE)</f>
        <v>(0; 0,0707; 0,1414)</v>
      </c>
      <c r="H16" t="str">
        <f>VLOOKUP(H2,'Thang đánh giá'!$C$2:$D$27,2,FALSE)</f>
        <v>(0; 0; 0,0707)</v>
      </c>
      <c r="I16" t="str">
        <f>VLOOKUP(I2,'Thang đánh giá'!$C$2:$D$27,2,FALSE)</f>
        <v>(0; 0; 0,0316)</v>
      </c>
      <c r="J16" t="str">
        <f>VLOOKUP(J2,'Thang đánh giá'!$C$2:$D$27,2,FALSE)</f>
        <v>(0,1673; 0,251; 0,3347)</v>
      </c>
      <c r="K16" t="str">
        <f>VLOOKUP(K2,'Thang đánh giá'!$C$2:$D$27,2,FALSE)</f>
        <v>(0,0707; 0,1414; 0,2121)</v>
      </c>
      <c r="L16" t="str">
        <f>VLOOKUP(L2,'Thang đánh giá'!$C$2:$D$27,2,FALSE)</f>
        <v>(0; 0; 0,0316)</v>
      </c>
      <c r="M16" t="str">
        <f>VLOOKUP(M2,'Thang đánh giá'!$C$2:$D$27,2,FALSE)</f>
        <v>(0; 0; 0,0707)</v>
      </c>
    </row>
    <row r="17" spans="1:13" x14ac:dyDescent="0.3">
      <c r="A17" t="s">
        <v>1</v>
      </c>
      <c r="B17" t="str">
        <f>VLOOKUP(B3,'Thang đánh giá'!$C$2:$D$27,2,FALSE)</f>
        <v>(0; 0,0707; 0,1414)</v>
      </c>
      <c r="C17" t="str">
        <f>VLOOKUP(C3,'Thang đánh giá'!$C$2:$D$27,2,FALSE)</f>
        <v>(0; 0; 0)</v>
      </c>
      <c r="D17" t="str">
        <f>VLOOKUP(D3,'Thang đánh giá'!$C$2:$D$27,2,FALSE)</f>
        <v>(0,1897; 0,2846; 0,3795)</v>
      </c>
      <c r="E17" t="str">
        <f>VLOOKUP(E3,'Thang đánh giá'!$C$2:$D$27,2,FALSE)</f>
        <v>(0,2846; 0,3795; 0,3795)</v>
      </c>
      <c r="F17" t="str">
        <f>VLOOKUP(F3,'Thang đánh giá'!$C$2:$D$27,2,FALSE)</f>
        <v>(0; 0; 0,0548)</v>
      </c>
      <c r="G17" t="str">
        <f>VLOOKUP(G3,'Thang đánh giá'!$C$2:$D$27,2,FALSE)</f>
        <v>(0,251; 0,3347; 0,3347)</v>
      </c>
      <c r="H17" t="str">
        <f>VLOOKUP(H3,'Thang đánh giá'!$C$2:$D$27,2,FALSE)</f>
        <v>(0,251; 0,3347; 0,3347)</v>
      </c>
      <c r="I17" t="str">
        <f>VLOOKUP(I3,'Thang đánh giá'!$C$2:$D$27,2,FALSE)</f>
        <v>(0; 0,0548; 0,1095)</v>
      </c>
      <c r="J17" t="str">
        <f>VLOOKUP(J3,'Thang đánh giá'!$C$2:$D$27,2,FALSE)</f>
        <v>(0; 0,0837; 0,1673)</v>
      </c>
      <c r="K17" t="str">
        <f>VLOOKUP(K3,'Thang đánh giá'!$C$2:$D$27,2,FALSE)</f>
        <v>(0,2846; 0,3795; 0,3795)</v>
      </c>
      <c r="L17" t="str">
        <f>VLOOKUP(L3,'Thang đánh giá'!$C$2:$D$27,2,FALSE)</f>
        <v>(0,251; 0,3347; 0,3347)</v>
      </c>
      <c r="M17" t="str">
        <f>VLOOKUP(M3,'Thang đánh giá'!$C$2:$D$27,2,FALSE)</f>
        <v>(0,1897; 0,2846; 0,3795)</v>
      </c>
    </row>
    <row r="18" spans="1:13" x14ac:dyDescent="0.3">
      <c r="A18" t="s">
        <v>2</v>
      </c>
      <c r="B18" t="str">
        <f>VLOOKUP(B4,'Thang đánh giá'!$C$2:$D$27,2,FALSE)</f>
        <v>(0,0707; 0,1414; 0,2121)</v>
      </c>
      <c r="C18" t="str">
        <f>VLOOKUP(C4,'Thang đánh giá'!$C$2:$D$27,2,FALSE)</f>
        <v>(0; 0,0548; 0,1095)</v>
      </c>
      <c r="D18" t="str">
        <f>VLOOKUP(D4,'Thang đánh giá'!$C$2:$D$27,2,FALSE)</f>
        <v>(0; 0; 0)</v>
      </c>
      <c r="E18" t="str">
        <f>VLOOKUP(E4,'Thang đánh giá'!$C$2:$D$27,2,FALSE)</f>
        <v>(0; 0; 0,0707)</v>
      </c>
      <c r="F18" t="str">
        <f>VLOOKUP(F4,'Thang đánh giá'!$C$2:$D$27,2,FALSE)</f>
        <v>(0; 0,0707; 0,1414)</v>
      </c>
      <c r="G18" t="str">
        <f>VLOOKUP(G4,'Thang đánh giá'!$C$2:$D$27,2,FALSE)</f>
        <v>(0,0707; 0,1414; 0,2121)</v>
      </c>
      <c r="H18" t="str">
        <f>VLOOKUP(H4,'Thang đánh giá'!$C$2:$D$27,2,FALSE)</f>
        <v>(0,0707; 0,1414; 0,2121)</v>
      </c>
      <c r="I18" t="str">
        <f>VLOOKUP(I4,'Thang đánh giá'!$C$2:$D$27,2,FALSE)</f>
        <v>(0,0707; 0,1414; 0,2121)</v>
      </c>
      <c r="J18" t="str">
        <f>VLOOKUP(J4,'Thang đánh giá'!$C$2:$D$27,2,FALSE)</f>
        <v>(0,2846; 0,3795; 0,3795)</v>
      </c>
      <c r="K18" t="str">
        <f>VLOOKUP(K4,'Thang đánh giá'!$C$2:$D$27,2,FALSE)</f>
        <v>(0,251; 0,3347; 0,3347)</v>
      </c>
      <c r="L18" t="str">
        <f>VLOOKUP(L4,'Thang đánh giá'!$C$2:$D$27,2,FALSE)</f>
        <v>(0,1897; 0,2846; 0,3795)</v>
      </c>
      <c r="M18" t="str">
        <f>VLOOKUP(M4,'Thang đánh giá'!$C$2:$D$27,2,FALSE)</f>
        <v>(0,2846; 0,3795; 0,3795)</v>
      </c>
    </row>
    <row r="19" spans="1:13" x14ac:dyDescent="0.3">
      <c r="A19" t="s">
        <v>3</v>
      </c>
      <c r="B19" t="str">
        <f>VLOOKUP(B5,'Thang đánh giá'!$C$2:$D$27,2,FALSE)</f>
        <v>(0,0707; 0,1414; 0,2121)</v>
      </c>
      <c r="C19" t="str">
        <f>VLOOKUP(C5,'Thang đánh giá'!$C$2:$D$27,2,FALSE)</f>
        <v>(0,0837; 0,1673; 0,251)</v>
      </c>
      <c r="D19" t="str">
        <f>VLOOKUP(D5,'Thang đánh giá'!$C$2:$D$27,2,FALSE)</f>
        <v>(0; 0,0316; 0,0632)</v>
      </c>
      <c r="E19" t="str">
        <f>VLOOKUP(E5,'Thang đánh giá'!$C$2:$D$27,2,FALSE)</f>
        <v>(0; 0; 0)</v>
      </c>
      <c r="F19" t="str">
        <f>VLOOKUP(F5,'Thang đánh giá'!$C$2:$D$27,2,FALSE)</f>
        <v>(0; 0; 0,0548)</v>
      </c>
      <c r="G19" t="str">
        <f>VLOOKUP(G5,'Thang đánh giá'!$C$2:$D$27,2,FALSE)</f>
        <v>(0; 0; 0,0707)</v>
      </c>
      <c r="H19" t="str">
        <f>VLOOKUP(H5,'Thang đánh giá'!$C$2:$D$27,2,FALSE)</f>
        <v>(0,1897; 0,2846; 0,3795)</v>
      </c>
      <c r="I19" t="str">
        <f>VLOOKUP(I5,'Thang đánh giá'!$C$2:$D$27,2,FALSE)</f>
        <v>(0; 0; 0,0316)</v>
      </c>
      <c r="J19" t="str">
        <f>VLOOKUP(J5,'Thang đánh giá'!$C$2:$D$27,2,FALSE)</f>
        <v>(0,1673; 0,251; 0,3347)</v>
      </c>
      <c r="K19" t="str">
        <f>VLOOKUP(K5,'Thang đánh giá'!$C$2:$D$27,2,FALSE)</f>
        <v>(0; 0,0837; 0,1673)</v>
      </c>
      <c r="L19" t="str">
        <f>VLOOKUP(L5,'Thang đánh giá'!$C$2:$D$27,2,FALSE)</f>
        <v>(0,1897; 0,2846; 0,3795)</v>
      </c>
      <c r="M19" t="str">
        <f>VLOOKUP(M5,'Thang đánh giá'!$C$2:$D$27,2,FALSE)</f>
        <v>(0,1897; 0,2846; 0,3795)</v>
      </c>
    </row>
    <row r="20" spans="1:13" x14ac:dyDescent="0.3">
      <c r="A20" t="s">
        <v>4</v>
      </c>
      <c r="B20" t="str">
        <f>VLOOKUP(B6,'Thang đánh giá'!$C$2:$D$27,2,FALSE)</f>
        <v>(0; 0,0707; 0,1414)</v>
      </c>
      <c r="C20" t="str">
        <f>VLOOKUP(C6,'Thang đánh giá'!$C$2:$D$27,2,FALSE)</f>
        <v>(0; 0; 0,0548)</v>
      </c>
      <c r="D20" t="str">
        <f>VLOOKUP(D6,'Thang đánh giá'!$C$2:$D$27,2,FALSE)</f>
        <v>(0; 0; 0,0707)</v>
      </c>
      <c r="E20" t="str">
        <f>VLOOKUP(E6,'Thang đánh giá'!$C$2:$D$27,2,FALSE)</f>
        <v>(0; 0; 0,0707)</v>
      </c>
      <c r="F20" t="str">
        <f>VLOOKUP(F6,'Thang đánh giá'!$C$2:$D$27,2,FALSE)</f>
        <v>(0; 0; 0)</v>
      </c>
      <c r="G20" t="str">
        <f>VLOOKUP(G6,'Thang đánh giá'!$C$2:$D$27,2,FALSE)</f>
        <v>(0,251; 0,3347; 0,3347)</v>
      </c>
      <c r="H20" t="str">
        <f>VLOOKUP(H6,'Thang đánh giá'!$C$2:$D$27,2,FALSE)</f>
        <v>(0; 0,0707; 0,1414)</v>
      </c>
      <c r="I20" t="str">
        <f>VLOOKUP(I6,'Thang đánh giá'!$C$2:$D$27,2,FALSE)</f>
        <v>(0; 0,0316; 0,0632)</v>
      </c>
      <c r="J20" t="str">
        <f>VLOOKUP(J6,'Thang đánh giá'!$C$2:$D$27,2,FALSE)</f>
        <v>(0,1673; 0,251; 0,3347)</v>
      </c>
      <c r="K20" t="str">
        <f>VLOOKUP(K6,'Thang đánh giá'!$C$2:$D$27,2,FALSE)</f>
        <v>(0,1897; 0,2846; 0,3795)</v>
      </c>
      <c r="L20" t="str">
        <f>VLOOKUP(L6,'Thang đánh giá'!$C$2:$D$27,2,FALSE)</f>
        <v>(0; 0; 0,0548)</v>
      </c>
      <c r="M20" t="str">
        <f>VLOOKUP(M6,'Thang đánh giá'!$C$2:$D$27,2,FALSE)</f>
        <v>(0; 0; 0,0707)</v>
      </c>
    </row>
    <row r="21" spans="1:13" x14ac:dyDescent="0.3">
      <c r="A21" t="s">
        <v>5</v>
      </c>
      <c r="B21" t="str">
        <f>VLOOKUP(B7,'Thang đánh giá'!$C$2:$D$27,2,FALSE)</f>
        <v>(0; 0; 0,0707)</v>
      </c>
      <c r="C21" t="str">
        <f>VLOOKUP(C7,'Thang đánh giá'!$C$2:$D$27,2,FALSE)</f>
        <v>(0; 0,0548; 0,1095)</v>
      </c>
      <c r="D21" t="str">
        <f>VLOOKUP(D7,'Thang đánh giá'!$C$2:$D$27,2,FALSE)</f>
        <v>(0; 0,0707; 0,1414)</v>
      </c>
      <c r="E21" t="str">
        <f>VLOOKUP(E7,'Thang đánh giá'!$C$2:$D$27,2,FALSE)</f>
        <v>(0,0707; 0,1414; 0,2121)</v>
      </c>
      <c r="F21" t="str">
        <f>VLOOKUP(F7,'Thang đánh giá'!$C$2:$D$27,2,FALSE)</f>
        <v>(0; 0; 0,0707)</v>
      </c>
      <c r="G21" t="str">
        <f>VLOOKUP(G7,'Thang đánh giá'!$C$2:$D$27,2,FALSE)</f>
        <v>(0; 0; 0)</v>
      </c>
      <c r="H21" t="str">
        <f>VLOOKUP(H7,'Thang đánh giá'!$C$2:$D$27,2,FALSE)</f>
        <v>(0; 0; 0,0837)</v>
      </c>
      <c r="I21" t="str">
        <f>VLOOKUP(I7,'Thang đánh giá'!$C$2:$D$27,2,FALSE)</f>
        <v>(0; 0; 0,0316)</v>
      </c>
      <c r="J21" t="str">
        <f>VLOOKUP(J7,'Thang đánh giá'!$C$2:$D$27,2,FALSE)</f>
        <v>(0,2846; 0,3795; 0,3795)</v>
      </c>
      <c r="K21" t="str">
        <f>VLOOKUP(K7,'Thang đánh giá'!$C$2:$D$27,2,FALSE)</f>
        <v>(0; 0,0837; 0,1673)</v>
      </c>
      <c r="L21" t="str">
        <f>VLOOKUP(L7,'Thang đánh giá'!$C$2:$D$27,2,FALSE)</f>
        <v>(0; 0; 0,0548)</v>
      </c>
      <c r="M21" t="str">
        <f>VLOOKUP(M7,'Thang đánh giá'!$C$2:$D$27,2,FALSE)</f>
        <v>(0; 0,0707; 0,1414)</v>
      </c>
    </row>
    <row r="22" spans="1:13" x14ac:dyDescent="0.3">
      <c r="A22" t="s">
        <v>6</v>
      </c>
      <c r="B22" t="str">
        <f>VLOOKUP(B8,'Thang đánh giá'!$C$2:$D$27,2,FALSE)</f>
        <v>(0; 0; 0,0316)</v>
      </c>
      <c r="C22" t="str">
        <f>VLOOKUP(C8,'Thang đánh giá'!$C$2:$D$27,2,FALSE)</f>
        <v>(0; 0,0707; 0,1414)</v>
      </c>
      <c r="D22" t="str">
        <f>VLOOKUP(D8,'Thang đánh giá'!$C$2:$D$27,2,FALSE)</f>
        <v>(0; 0; 0,0707)</v>
      </c>
      <c r="E22" t="str">
        <f>VLOOKUP(E8,'Thang đánh giá'!$C$2:$D$27,2,FALSE)</f>
        <v>(0; 0,0707; 0,1414)</v>
      </c>
      <c r="F22" t="str">
        <f>VLOOKUP(F8,'Thang đánh giá'!$C$2:$D$27,2,FALSE)</f>
        <v>(0; 0,0707; 0,1414)</v>
      </c>
      <c r="G22" t="str">
        <f>VLOOKUP(G8,'Thang đánh giá'!$C$2:$D$27,2,FALSE)</f>
        <v>(0,0707; 0,1414; 0,2121)</v>
      </c>
      <c r="H22" t="str">
        <f>VLOOKUP(H8,'Thang đánh giá'!$C$2:$D$27,2,FALSE)</f>
        <v>(0; 0; 0)</v>
      </c>
      <c r="I22" t="str">
        <f>VLOOKUP(I8,'Thang đánh giá'!$C$2:$D$27,2,FALSE)</f>
        <v>(0,0707; 0,1414; 0,2121)</v>
      </c>
      <c r="J22" t="str">
        <f>VLOOKUP(J8,'Thang đánh giá'!$C$2:$D$27,2,FALSE)</f>
        <v>(0; 0; 0,0707)</v>
      </c>
      <c r="K22" t="str">
        <f>VLOOKUP(K8,'Thang đánh giá'!$C$2:$D$27,2,FALSE)</f>
        <v>(0; 0; 0,0707)</v>
      </c>
      <c r="L22" t="str">
        <f>VLOOKUP(L8,'Thang đánh giá'!$C$2:$D$27,2,FALSE)</f>
        <v>(0; 0; 0,0548)</v>
      </c>
      <c r="M22" t="str">
        <f>VLOOKUP(M8,'Thang đánh giá'!$C$2:$D$27,2,FALSE)</f>
        <v>(0; 0; 0,0707)</v>
      </c>
    </row>
    <row r="23" spans="1:13" x14ac:dyDescent="0.3">
      <c r="A23" t="s">
        <v>7</v>
      </c>
      <c r="B23" t="str">
        <f>VLOOKUP(B9,'Thang đánh giá'!$C$2:$D$27,2,FALSE)</f>
        <v>(0; 0,0707; 0,1414)</v>
      </c>
      <c r="C23" t="str">
        <f>VLOOKUP(C9,'Thang đánh giá'!$C$2:$D$27,2,FALSE)</f>
        <v>(0; 0,0548; 0,1095)</v>
      </c>
      <c r="D23" t="str">
        <f>VLOOKUP(D9,'Thang đánh giá'!$C$2:$D$27,2,FALSE)</f>
        <v>(0; 0,0707; 0,1414)</v>
      </c>
      <c r="E23" t="str">
        <f>VLOOKUP(E9,'Thang đánh giá'!$C$2:$D$27,2,FALSE)</f>
        <v>(0; 0,0837; 0,1673)</v>
      </c>
      <c r="F23" t="str">
        <f>VLOOKUP(F9,'Thang đánh giá'!$C$2:$D$27,2,FALSE)</f>
        <v>(0; 0,0548; 0,1095)</v>
      </c>
      <c r="G23" t="str">
        <f>VLOOKUP(G9,'Thang đánh giá'!$C$2:$D$27,2,FALSE)</f>
        <v>(0; 0; 0,0707)</v>
      </c>
      <c r="H23" t="str">
        <f>VLOOKUP(H9,'Thang đánh giá'!$C$2:$D$27,2,FALSE)</f>
        <v>(0; 0; 0,0707)</v>
      </c>
      <c r="I23" t="str">
        <f>VLOOKUP(I9,'Thang đánh giá'!$C$2:$D$27,2,FALSE)</f>
        <v>(0; 0; 0)</v>
      </c>
      <c r="J23" t="str">
        <f>VLOOKUP(J9,'Thang đánh giá'!$C$2:$D$27,2,FALSE)</f>
        <v>(0,1897; 0,2846; 0,3795)</v>
      </c>
      <c r="K23" t="str">
        <f>VLOOKUP(K9,'Thang đánh giá'!$C$2:$D$27,2,FALSE)</f>
        <v>(0,251; 0,3347; 0,3347)</v>
      </c>
      <c r="L23" t="str">
        <f>VLOOKUP(L9,'Thang đánh giá'!$C$2:$D$27,2,FALSE)</f>
        <v>(0,1673; 0,251; 0,3347)</v>
      </c>
      <c r="M23" t="str">
        <f>VLOOKUP(M9,'Thang đánh giá'!$C$2:$D$27,2,FALSE)</f>
        <v>(0,2846; 0,3795; 0,3795)</v>
      </c>
    </row>
    <row r="24" spans="1:13" x14ac:dyDescent="0.3">
      <c r="A24" t="s">
        <v>8</v>
      </c>
      <c r="B24" t="str">
        <f>VLOOKUP(B10,'Thang đánh giá'!$C$2:$D$27,2,FALSE)</f>
        <v>(0,0707; 0,1414; 0,2121)</v>
      </c>
      <c r="C24" t="str">
        <f>VLOOKUP(C10,'Thang đánh giá'!$C$2:$D$27,2,FALSE)</f>
        <v>(0; 0,0316; 0,0632)</v>
      </c>
      <c r="D24" t="str">
        <f>VLOOKUP(D10,'Thang đánh giá'!$C$2:$D$27,2,FALSE)</f>
        <v>(0; 0,0548; 0,1095)</v>
      </c>
      <c r="E24" t="str">
        <f>VLOOKUP(E10,'Thang đánh giá'!$C$2:$D$27,2,FALSE)</f>
        <v>(0,0837; 0,1673; 0,251)</v>
      </c>
      <c r="F24" t="str">
        <f>VLOOKUP(F10,'Thang đánh giá'!$C$2:$D$27,2,FALSE)</f>
        <v>(0; 0; 0,0837)</v>
      </c>
      <c r="G24" t="str">
        <f>VLOOKUP(G10,'Thang đánh giá'!$C$2:$D$27,2,FALSE)</f>
        <v>(0; 0; 0,0707)</v>
      </c>
      <c r="H24" t="str">
        <f>VLOOKUP(H10,'Thang đánh giá'!$C$2:$D$27,2,FALSE)</f>
        <v>(0,1897; 0,2846; 0,3795)</v>
      </c>
      <c r="I24" t="str">
        <f>VLOOKUP(I10,'Thang đánh giá'!$C$2:$D$27,2,FALSE)</f>
        <v>(0; 0; 0,0548)</v>
      </c>
      <c r="J24" t="str">
        <f>VLOOKUP(J10,'Thang đánh giá'!$C$2:$D$27,2,FALSE)</f>
        <v>(0; 0; 0)</v>
      </c>
      <c r="K24" t="str">
        <f>VLOOKUP(K10,'Thang đánh giá'!$C$2:$D$27,2,FALSE)</f>
        <v>(0,251; 0,3347; 0,3347)</v>
      </c>
      <c r="L24" t="str">
        <f>VLOOKUP(L10,'Thang đánh giá'!$C$2:$D$27,2,FALSE)</f>
        <v>(0,1897; 0,2846; 0,3795)</v>
      </c>
      <c r="M24" t="str">
        <f>VLOOKUP(M10,'Thang đánh giá'!$C$2:$D$27,2,FALSE)</f>
        <v>(0,1897; 0,2846; 0,3795)</v>
      </c>
    </row>
    <row r="25" spans="1:13" x14ac:dyDescent="0.3">
      <c r="A25" t="s">
        <v>9</v>
      </c>
      <c r="B25" t="str">
        <f>VLOOKUP(B11,'Thang đánh giá'!$C$2:$D$27,2,FALSE)</f>
        <v>(0; 0; 0,0548)</v>
      </c>
      <c r="C25" t="str">
        <f>VLOOKUP(C11,'Thang đánh giá'!$C$2:$D$27,2,FALSE)</f>
        <v>(0; 0; 0,0707)</v>
      </c>
      <c r="D25" t="str">
        <f>VLOOKUP(D11,'Thang đánh giá'!$C$2:$D$27,2,FALSE)</f>
        <v>(0; 0; 0,0548)</v>
      </c>
      <c r="E25" t="str">
        <f>VLOOKUP(E11,'Thang đánh giá'!$C$2:$D$27,2,FALSE)</f>
        <v>(0; 0; 0,0316)</v>
      </c>
      <c r="F25" t="str">
        <f>VLOOKUP(F11,'Thang đánh giá'!$C$2:$D$27,2,FALSE)</f>
        <v>(0; 0,0707; 0,1414)</v>
      </c>
      <c r="G25" t="str">
        <f>VLOOKUP(G11,'Thang đánh giá'!$C$2:$D$27,2,FALSE)</f>
        <v>(0; 0; 0,0316)</v>
      </c>
      <c r="H25" t="str">
        <f>VLOOKUP(H11,'Thang đánh giá'!$C$2:$D$27,2,FALSE)</f>
        <v>(0; 0,0707; 0,1414)</v>
      </c>
      <c r="I25" t="str">
        <f>VLOOKUP(I11,'Thang đánh giá'!$C$2:$D$27,2,FALSE)</f>
        <v>(0; 0; 0,0548)</v>
      </c>
      <c r="J25" t="str">
        <f>VLOOKUP(J11,'Thang đánh giá'!$C$2:$D$27,2,FALSE)</f>
        <v>(0; 0,0316; 0,0632)</v>
      </c>
      <c r="K25" t="str">
        <f>VLOOKUP(K11,'Thang đánh giá'!$C$2:$D$27,2,FALSE)</f>
        <v>(0; 0; 0)</v>
      </c>
      <c r="L25" t="str">
        <f>VLOOKUP(L11,'Thang đánh giá'!$C$2:$D$27,2,FALSE)</f>
        <v>(0; 0,0707; 0,1414)</v>
      </c>
      <c r="M25" t="str">
        <f>VLOOKUP(M11,'Thang đánh giá'!$C$2:$D$27,2,FALSE)</f>
        <v>(0; 0; 0,0548)</v>
      </c>
    </row>
    <row r="26" spans="1:13" x14ac:dyDescent="0.3">
      <c r="A26" t="s">
        <v>10</v>
      </c>
      <c r="B26" t="str">
        <f>VLOOKUP(B12,'Thang đánh giá'!$C$2:$D$27,2,FALSE)</f>
        <v>(0,0707; 0,1414; 0,2121)</v>
      </c>
      <c r="C26" t="str">
        <f>VLOOKUP(C12,'Thang đánh giá'!$C$2:$D$27,2,FALSE)</f>
        <v>(0; 0; 0,0316)</v>
      </c>
      <c r="D26" t="str">
        <f>VLOOKUP(D12,'Thang đánh giá'!$C$2:$D$27,2,FALSE)</f>
        <v>(0; 0; 0,0707)</v>
      </c>
      <c r="E26" t="str">
        <f>VLOOKUP(E12,'Thang đánh giá'!$C$2:$D$27,2,FALSE)</f>
        <v>(0; 0,0707; 0,1414)</v>
      </c>
      <c r="F26" t="str">
        <f>VLOOKUP(F12,'Thang đánh giá'!$C$2:$D$27,2,FALSE)</f>
        <v>(0; 0,0316; 0,0632)</v>
      </c>
      <c r="G26" t="str">
        <f>VLOOKUP(G12,'Thang đánh giá'!$C$2:$D$27,2,FALSE)</f>
        <v>(0; 0; 0,0548)</v>
      </c>
      <c r="H26" t="str">
        <f>VLOOKUP(H12,'Thang đánh giá'!$C$2:$D$27,2,FALSE)</f>
        <v>(0; 0; 0,0707)</v>
      </c>
      <c r="I26" t="str">
        <f>VLOOKUP(I12,'Thang đánh giá'!$C$2:$D$27,2,FALSE)</f>
        <v>(0; 0; 0,0548)</v>
      </c>
      <c r="J26" t="str">
        <f>VLOOKUP(J12,'Thang đánh giá'!$C$2:$D$27,2,FALSE)</f>
        <v>(0; 0,0316; 0,0632)</v>
      </c>
      <c r="K26" t="str">
        <f>VLOOKUP(K12,'Thang đánh giá'!$C$2:$D$27,2,FALSE)</f>
        <v>(0; 0; 0,0548)</v>
      </c>
      <c r="L26" t="str">
        <f>VLOOKUP(L12,'Thang đánh giá'!$C$2:$D$27,2,FALSE)</f>
        <v>(0; 0; 0)</v>
      </c>
      <c r="M26" t="str">
        <f>VLOOKUP(M12,'Thang đánh giá'!$C$2:$D$27,2,FALSE)</f>
        <v>(0,1897; 0,2846; 0,3795)</v>
      </c>
    </row>
    <row r="27" spans="1:13" x14ac:dyDescent="0.3">
      <c r="A27" t="s">
        <v>11</v>
      </c>
      <c r="B27" t="str">
        <f>VLOOKUP(B13,'Thang đánh giá'!$C$2:$D$27,2,FALSE)</f>
        <v>(0,0707; 0,1414; 0,2121)</v>
      </c>
      <c r="C27" t="str">
        <f>VLOOKUP(C13,'Thang đánh giá'!$C$2:$D$27,2,FALSE)</f>
        <v>(0; 0; 0,0548)</v>
      </c>
      <c r="D27" t="str">
        <f>VLOOKUP(D13,'Thang đánh giá'!$C$2:$D$27,2,FALSE)</f>
        <v>(0; 0,0548; 0,1095)</v>
      </c>
      <c r="E27" t="str">
        <f>VLOOKUP(E13,'Thang đánh giá'!$C$2:$D$27,2,FALSE)</f>
        <v>(0; 0,0548; 0,1095)</v>
      </c>
      <c r="F27" t="str">
        <f>VLOOKUP(F13,'Thang đánh giá'!$C$2:$D$27,2,FALSE)</f>
        <v>(0; 0; 0,0707)</v>
      </c>
      <c r="G27" t="str">
        <f>VLOOKUP(G13,'Thang đánh giá'!$C$2:$D$27,2,FALSE)</f>
        <v>(0; 0; 0,0548)</v>
      </c>
      <c r="H27" t="str">
        <f>VLOOKUP(H13,'Thang đánh giá'!$C$2:$D$27,2,FALSE)</f>
        <v>(0; 0,0707; 0,1414)</v>
      </c>
      <c r="I27" t="str">
        <f>VLOOKUP(I13,'Thang đánh giá'!$C$2:$D$27,2,FALSE)</f>
        <v>(0; 0; 0,0707)</v>
      </c>
      <c r="J27" t="str">
        <f>VLOOKUP(J13,'Thang đánh giá'!$C$2:$D$27,2,FALSE)</f>
        <v>(0,0837; 0,1673; 0,251)</v>
      </c>
      <c r="K27" t="str">
        <f>VLOOKUP(K13,'Thang đánh giá'!$C$2:$D$27,2,FALSE)</f>
        <v>(0; 0; 0,0548)</v>
      </c>
      <c r="L27" t="str">
        <f>VLOOKUP(L13,'Thang đánh giá'!$C$2:$D$27,2,FALSE)</f>
        <v>(0; 0; 0,0548)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0.18970000000000001</v>
      </c>
      <c r="D30">
        <f t="shared" si="0"/>
        <v>0.1673</v>
      </c>
      <c r="E30">
        <f t="shared" si="0"/>
        <v>0</v>
      </c>
      <c r="F30">
        <f t="shared" si="0"/>
        <v>0.1673</v>
      </c>
      <c r="G30">
        <f t="shared" si="0"/>
        <v>0</v>
      </c>
      <c r="H30">
        <f t="shared" si="0"/>
        <v>0</v>
      </c>
      <c r="I30">
        <f t="shared" si="0"/>
        <v>0</v>
      </c>
      <c r="J30">
        <f t="shared" si="0"/>
        <v>0.1673</v>
      </c>
      <c r="K30">
        <f t="shared" si="0"/>
        <v>7.0699999999999999E-2</v>
      </c>
      <c r="L30">
        <f t="shared" si="0"/>
        <v>0</v>
      </c>
      <c r="M30">
        <f t="shared" si="0"/>
        <v>0</v>
      </c>
    </row>
    <row r="31" spans="1:13" x14ac:dyDescent="0.3">
      <c r="A31" t="s">
        <v>1</v>
      </c>
      <c r="B31">
        <f t="shared" ref="B31:M41" si="1">_xlfn.NUMBERVALUE(MID(B17,2,FIND(";",B17,1)-2))</f>
        <v>0</v>
      </c>
      <c r="C31">
        <f t="shared" si="1"/>
        <v>0</v>
      </c>
      <c r="D31">
        <f t="shared" si="1"/>
        <v>0.18970000000000001</v>
      </c>
      <c r="E31">
        <f t="shared" si="1"/>
        <v>0.28460000000000002</v>
      </c>
      <c r="F31">
        <f t="shared" si="1"/>
        <v>0</v>
      </c>
      <c r="G31">
        <f t="shared" si="1"/>
        <v>0.251</v>
      </c>
      <c r="H31">
        <f t="shared" si="1"/>
        <v>0.251</v>
      </c>
      <c r="I31">
        <f t="shared" si="1"/>
        <v>0</v>
      </c>
      <c r="J31">
        <f t="shared" si="1"/>
        <v>0</v>
      </c>
      <c r="K31">
        <f t="shared" si="1"/>
        <v>0.28460000000000002</v>
      </c>
      <c r="L31">
        <f t="shared" si="1"/>
        <v>0.251</v>
      </c>
      <c r="M31">
        <f t="shared" si="1"/>
        <v>0.18970000000000001</v>
      </c>
    </row>
    <row r="32" spans="1:13" x14ac:dyDescent="0.3">
      <c r="A32" t="s">
        <v>2</v>
      </c>
      <c r="B32">
        <f t="shared" si="1"/>
        <v>7.0699999999999999E-2</v>
      </c>
      <c r="C32">
        <f t="shared" si="1"/>
        <v>0</v>
      </c>
      <c r="D32">
        <f t="shared" si="1"/>
        <v>0</v>
      </c>
      <c r="E32">
        <f t="shared" si="1"/>
        <v>0</v>
      </c>
      <c r="F32">
        <f t="shared" si="1"/>
        <v>0</v>
      </c>
      <c r="G32">
        <f t="shared" si="1"/>
        <v>7.0699999999999999E-2</v>
      </c>
      <c r="H32">
        <f t="shared" si="1"/>
        <v>7.0699999999999999E-2</v>
      </c>
      <c r="I32">
        <f t="shared" si="1"/>
        <v>7.0699999999999999E-2</v>
      </c>
      <c r="J32">
        <f t="shared" si="1"/>
        <v>0.28460000000000002</v>
      </c>
      <c r="K32">
        <f t="shared" si="1"/>
        <v>0.251</v>
      </c>
      <c r="L32">
        <f t="shared" si="1"/>
        <v>0.18970000000000001</v>
      </c>
      <c r="M32">
        <f t="shared" si="1"/>
        <v>0.28460000000000002</v>
      </c>
    </row>
    <row r="33" spans="1:13" x14ac:dyDescent="0.3">
      <c r="A33" t="s">
        <v>3</v>
      </c>
      <c r="B33">
        <f t="shared" si="1"/>
        <v>7.0699999999999999E-2</v>
      </c>
      <c r="C33">
        <f t="shared" si="1"/>
        <v>8.3699999999999997E-2</v>
      </c>
      <c r="D33">
        <f t="shared" si="1"/>
        <v>0</v>
      </c>
      <c r="E33">
        <f t="shared" si="1"/>
        <v>0</v>
      </c>
      <c r="F33">
        <f t="shared" si="1"/>
        <v>0</v>
      </c>
      <c r="G33">
        <f t="shared" si="1"/>
        <v>0</v>
      </c>
      <c r="H33">
        <f t="shared" si="1"/>
        <v>0.18970000000000001</v>
      </c>
      <c r="I33">
        <f t="shared" si="1"/>
        <v>0</v>
      </c>
      <c r="J33">
        <f t="shared" si="1"/>
        <v>0.1673</v>
      </c>
      <c r="K33">
        <f t="shared" si="1"/>
        <v>0</v>
      </c>
      <c r="L33">
        <f t="shared" si="1"/>
        <v>0.18970000000000001</v>
      </c>
      <c r="M33">
        <f t="shared" si="1"/>
        <v>0.18970000000000001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0</v>
      </c>
      <c r="D34">
        <f t="shared" si="2"/>
        <v>0</v>
      </c>
      <c r="E34">
        <f t="shared" si="2"/>
        <v>0</v>
      </c>
      <c r="F34">
        <f t="shared" si="2"/>
        <v>0</v>
      </c>
      <c r="G34">
        <f t="shared" si="2"/>
        <v>0.251</v>
      </c>
      <c r="H34">
        <f t="shared" si="2"/>
        <v>0</v>
      </c>
      <c r="I34">
        <f t="shared" si="2"/>
        <v>0</v>
      </c>
      <c r="J34">
        <f t="shared" si="2"/>
        <v>0.1673</v>
      </c>
      <c r="K34">
        <f t="shared" si="2"/>
        <v>0.18970000000000001</v>
      </c>
      <c r="L34">
        <f t="shared" si="2"/>
        <v>0</v>
      </c>
      <c r="M34">
        <f t="shared" si="2"/>
        <v>0</v>
      </c>
    </row>
    <row r="35" spans="1:13" x14ac:dyDescent="0.3">
      <c r="A35" t="s">
        <v>5</v>
      </c>
      <c r="B35">
        <f t="shared" si="1"/>
        <v>0</v>
      </c>
      <c r="C35">
        <f t="shared" si="1"/>
        <v>0</v>
      </c>
      <c r="D35">
        <f t="shared" si="1"/>
        <v>0</v>
      </c>
      <c r="E35">
        <f t="shared" si="1"/>
        <v>7.0699999999999999E-2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0</v>
      </c>
      <c r="J35">
        <f t="shared" si="1"/>
        <v>0.28460000000000002</v>
      </c>
      <c r="K35">
        <f t="shared" si="1"/>
        <v>0</v>
      </c>
      <c r="L35">
        <f t="shared" si="1"/>
        <v>0</v>
      </c>
      <c r="M35">
        <f t="shared" si="1"/>
        <v>0</v>
      </c>
    </row>
    <row r="36" spans="1:13" x14ac:dyDescent="0.3">
      <c r="A36" t="s">
        <v>6</v>
      </c>
      <c r="B36">
        <f t="shared" si="1"/>
        <v>0</v>
      </c>
      <c r="C36">
        <f t="shared" si="1"/>
        <v>0</v>
      </c>
      <c r="D36">
        <f t="shared" si="1"/>
        <v>0</v>
      </c>
      <c r="E36">
        <f t="shared" si="1"/>
        <v>0</v>
      </c>
      <c r="F36">
        <f t="shared" si="1"/>
        <v>0</v>
      </c>
      <c r="G36">
        <f t="shared" si="1"/>
        <v>7.0699999999999999E-2</v>
      </c>
      <c r="H36">
        <f t="shared" si="1"/>
        <v>0</v>
      </c>
      <c r="I36">
        <f t="shared" si="1"/>
        <v>7.0699999999999999E-2</v>
      </c>
      <c r="J36">
        <f t="shared" si="1"/>
        <v>0</v>
      </c>
      <c r="K36">
        <f t="shared" si="1"/>
        <v>0</v>
      </c>
      <c r="L36">
        <f t="shared" si="1"/>
        <v>0</v>
      </c>
      <c r="M36">
        <f t="shared" si="1"/>
        <v>0</v>
      </c>
    </row>
    <row r="37" spans="1:13" x14ac:dyDescent="0.3">
      <c r="A37" t="s">
        <v>7</v>
      </c>
      <c r="B37">
        <f t="shared" si="1"/>
        <v>0</v>
      </c>
      <c r="C37">
        <f t="shared" si="1"/>
        <v>0</v>
      </c>
      <c r="D37">
        <f t="shared" si="1"/>
        <v>0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0.18970000000000001</v>
      </c>
      <c r="K37">
        <f t="shared" si="1"/>
        <v>0.251</v>
      </c>
      <c r="L37">
        <f t="shared" si="1"/>
        <v>0.1673</v>
      </c>
      <c r="M37">
        <f t="shared" si="1"/>
        <v>0.28460000000000002</v>
      </c>
    </row>
    <row r="38" spans="1:13" x14ac:dyDescent="0.3">
      <c r="A38" t="s">
        <v>8</v>
      </c>
      <c r="B38">
        <f t="shared" si="1"/>
        <v>7.0699999999999999E-2</v>
      </c>
      <c r="C38">
        <f t="shared" si="1"/>
        <v>0</v>
      </c>
      <c r="D38">
        <f t="shared" si="1"/>
        <v>0</v>
      </c>
      <c r="E38">
        <f t="shared" si="1"/>
        <v>8.3699999999999997E-2</v>
      </c>
      <c r="F38">
        <f t="shared" si="1"/>
        <v>0</v>
      </c>
      <c r="G38">
        <f t="shared" si="1"/>
        <v>0</v>
      </c>
      <c r="H38">
        <f t="shared" si="1"/>
        <v>0.18970000000000001</v>
      </c>
      <c r="I38">
        <f t="shared" si="1"/>
        <v>0</v>
      </c>
      <c r="J38">
        <f t="shared" si="1"/>
        <v>0</v>
      </c>
      <c r="K38">
        <f t="shared" si="1"/>
        <v>0.251</v>
      </c>
      <c r="L38">
        <f t="shared" si="1"/>
        <v>0.18970000000000001</v>
      </c>
      <c r="M38">
        <f t="shared" si="1"/>
        <v>0.18970000000000001</v>
      </c>
    </row>
    <row r="39" spans="1:13" x14ac:dyDescent="0.3">
      <c r="A39" t="s">
        <v>9</v>
      </c>
      <c r="B39">
        <f t="shared" si="1"/>
        <v>0</v>
      </c>
      <c r="C39">
        <f t="shared" si="1"/>
        <v>0</v>
      </c>
      <c r="D39">
        <f t="shared" si="1"/>
        <v>0</v>
      </c>
      <c r="E39">
        <f t="shared" si="1"/>
        <v>0</v>
      </c>
      <c r="F39">
        <f t="shared" si="1"/>
        <v>0</v>
      </c>
      <c r="G39">
        <f t="shared" si="1"/>
        <v>0</v>
      </c>
      <c r="H39">
        <f t="shared" si="1"/>
        <v>0</v>
      </c>
      <c r="I39">
        <f t="shared" si="1"/>
        <v>0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0</v>
      </c>
    </row>
    <row r="40" spans="1:13" x14ac:dyDescent="0.3">
      <c r="A40" t="s">
        <v>10</v>
      </c>
      <c r="B40">
        <f t="shared" si="1"/>
        <v>7.0699999999999999E-2</v>
      </c>
      <c r="C40">
        <f t="shared" si="1"/>
        <v>0</v>
      </c>
      <c r="D40">
        <f t="shared" si="1"/>
        <v>0</v>
      </c>
      <c r="E40">
        <f t="shared" si="1"/>
        <v>0</v>
      </c>
      <c r="F40">
        <f t="shared" si="1"/>
        <v>0</v>
      </c>
      <c r="G40">
        <f t="shared" si="1"/>
        <v>0</v>
      </c>
      <c r="H40">
        <f t="shared" si="1"/>
        <v>0</v>
      </c>
      <c r="I40">
        <f t="shared" si="1"/>
        <v>0</v>
      </c>
      <c r="J40">
        <f t="shared" si="1"/>
        <v>0</v>
      </c>
      <c r="K40">
        <f t="shared" si="1"/>
        <v>0</v>
      </c>
      <c r="L40">
        <f t="shared" si="1"/>
        <v>0</v>
      </c>
      <c r="M40">
        <f t="shared" si="1"/>
        <v>0.18970000000000001</v>
      </c>
    </row>
    <row r="41" spans="1:13" x14ac:dyDescent="0.3">
      <c r="A41" t="s">
        <v>11</v>
      </c>
      <c r="B41">
        <f t="shared" si="1"/>
        <v>7.0699999999999999E-2</v>
      </c>
      <c r="C41">
        <f t="shared" si="1"/>
        <v>0</v>
      </c>
      <c r="D41">
        <f t="shared" si="1"/>
        <v>0</v>
      </c>
      <c r="E41">
        <f t="shared" si="1"/>
        <v>0</v>
      </c>
      <c r="F41">
        <f t="shared" si="1"/>
        <v>0</v>
      </c>
      <c r="G41">
        <f t="shared" si="1"/>
        <v>0</v>
      </c>
      <c r="H41">
        <f t="shared" si="1"/>
        <v>0</v>
      </c>
      <c r="I41">
        <f t="shared" si="1"/>
        <v>0</v>
      </c>
      <c r="J41">
        <f t="shared" si="1"/>
        <v>8.3699999999999997E-2</v>
      </c>
      <c r="K41">
        <f t="shared" si="1"/>
        <v>0</v>
      </c>
      <c r="L41">
        <f t="shared" si="1"/>
        <v>0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0.28460000000000002</v>
      </c>
      <c r="D44">
        <f t="shared" si="3"/>
        <v>0.251</v>
      </c>
      <c r="E44">
        <f t="shared" si="3"/>
        <v>0</v>
      </c>
      <c r="F44">
        <f t="shared" si="3"/>
        <v>0.251</v>
      </c>
      <c r="G44">
        <f t="shared" si="3"/>
        <v>7.0699999999999999E-2</v>
      </c>
      <c r="H44">
        <f t="shared" si="3"/>
        <v>0</v>
      </c>
      <c r="I44">
        <f t="shared" si="3"/>
        <v>0</v>
      </c>
      <c r="J44">
        <f t="shared" si="3"/>
        <v>0.251</v>
      </c>
      <c r="K44">
        <f t="shared" si="3"/>
        <v>0.1414</v>
      </c>
      <c r="L44">
        <f t="shared" si="3"/>
        <v>0</v>
      </c>
      <c r="M44">
        <f t="shared" si="3"/>
        <v>0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7.0699999999999999E-2</v>
      </c>
      <c r="C45">
        <f t="shared" si="4"/>
        <v>0</v>
      </c>
      <c r="D45">
        <f t="shared" si="4"/>
        <v>0.28460000000000002</v>
      </c>
      <c r="E45">
        <f t="shared" si="4"/>
        <v>0.3795</v>
      </c>
      <c r="F45">
        <f t="shared" si="4"/>
        <v>0</v>
      </c>
      <c r="G45">
        <f t="shared" si="4"/>
        <v>0.3347</v>
      </c>
      <c r="H45">
        <f t="shared" si="4"/>
        <v>0.3347</v>
      </c>
      <c r="I45">
        <f t="shared" si="4"/>
        <v>5.4800000000000001E-2</v>
      </c>
      <c r="J45">
        <f t="shared" si="4"/>
        <v>8.3699999999999997E-2</v>
      </c>
      <c r="K45">
        <f t="shared" si="4"/>
        <v>0.3795</v>
      </c>
      <c r="L45">
        <f t="shared" si="4"/>
        <v>0.3347</v>
      </c>
      <c r="M45">
        <f t="shared" si="4"/>
        <v>0.28460000000000002</v>
      </c>
    </row>
    <row r="46" spans="1:13" x14ac:dyDescent="0.3">
      <c r="A46" t="s">
        <v>2</v>
      </c>
      <c r="B46">
        <f t="shared" si="4"/>
        <v>0.1414</v>
      </c>
      <c r="C46">
        <f t="shared" si="4"/>
        <v>5.4800000000000001E-2</v>
      </c>
      <c r="D46">
        <f t="shared" si="4"/>
        <v>0</v>
      </c>
      <c r="E46">
        <f t="shared" si="4"/>
        <v>0</v>
      </c>
      <c r="F46">
        <f t="shared" si="4"/>
        <v>7.0699999999999999E-2</v>
      </c>
      <c r="G46">
        <f t="shared" si="4"/>
        <v>0.1414</v>
      </c>
      <c r="H46">
        <f t="shared" si="4"/>
        <v>0.1414</v>
      </c>
      <c r="I46">
        <f t="shared" si="4"/>
        <v>0.1414</v>
      </c>
      <c r="J46">
        <f t="shared" si="4"/>
        <v>0.3795</v>
      </c>
      <c r="K46">
        <f t="shared" si="4"/>
        <v>0.3347</v>
      </c>
      <c r="L46">
        <f t="shared" si="4"/>
        <v>0.28460000000000002</v>
      </c>
      <c r="M46">
        <f t="shared" si="4"/>
        <v>0.3795</v>
      </c>
    </row>
    <row r="47" spans="1:13" x14ac:dyDescent="0.3">
      <c r="A47" t="s">
        <v>3</v>
      </c>
      <c r="B47">
        <f t="shared" si="4"/>
        <v>0.1414</v>
      </c>
      <c r="C47">
        <f t="shared" si="4"/>
        <v>0.1673</v>
      </c>
      <c r="D47">
        <f t="shared" si="4"/>
        <v>3.1600000000000003E-2</v>
      </c>
      <c r="E47">
        <f t="shared" si="4"/>
        <v>0</v>
      </c>
      <c r="F47">
        <f t="shared" si="4"/>
        <v>0</v>
      </c>
      <c r="G47">
        <f t="shared" si="4"/>
        <v>0</v>
      </c>
      <c r="H47">
        <f t="shared" si="4"/>
        <v>0.28460000000000002</v>
      </c>
      <c r="I47">
        <f t="shared" si="4"/>
        <v>0</v>
      </c>
      <c r="J47">
        <f t="shared" si="4"/>
        <v>0.251</v>
      </c>
      <c r="K47">
        <f t="shared" si="4"/>
        <v>8.3699999999999997E-2</v>
      </c>
      <c r="L47">
        <f t="shared" si="4"/>
        <v>0.28460000000000002</v>
      </c>
      <c r="M47">
        <f t="shared" si="4"/>
        <v>0.28460000000000002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7.0699999999999999E-2</v>
      </c>
      <c r="C48">
        <f t="shared" si="5"/>
        <v>0</v>
      </c>
      <c r="D48">
        <f t="shared" si="5"/>
        <v>0</v>
      </c>
      <c r="E48">
        <f t="shared" si="5"/>
        <v>0</v>
      </c>
      <c r="F48">
        <f t="shared" si="5"/>
        <v>0</v>
      </c>
      <c r="G48">
        <f t="shared" si="5"/>
        <v>0.3347</v>
      </c>
      <c r="H48">
        <f t="shared" si="5"/>
        <v>7.0699999999999999E-2</v>
      </c>
      <c r="I48">
        <f t="shared" si="5"/>
        <v>3.1600000000000003E-2</v>
      </c>
      <c r="J48">
        <f t="shared" si="5"/>
        <v>0.251</v>
      </c>
      <c r="K48">
        <f t="shared" si="5"/>
        <v>0.28460000000000002</v>
      </c>
      <c r="L48">
        <f t="shared" si="5"/>
        <v>0</v>
      </c>
      <c r="M48">
        <f t="shared" si="5"/>
        <v>0</v>
      </c>
    </row>
    <row r="49" spans="1:13" x14ac:dyDescent="0.3">
      <c r="A49" t="s">
        <v>5</v>
      </c>
      <c r="B49">
        <f t="shared" si="4"/>
        <v>0</v>
      </c>
      <c r="C49">
        <f t="shared" si="4"/>
        <v>5.4800000000000001E-2</v>
      </c>
      <c r="D49">
        <f t="shared" si="4"/>
        <v>7.0699999999999999E-2</v>
      </c>
      <c r="E49">
        <f t="shared" si="4"/>
        <v>0.1414</v>
      </c>
      <c r="F49">
        <f t="shared" si="4"/>
        <v>0</v>
      </c>
      <c r="G49">
        <f t="shared" si="4"/>
        <v>0</v>
      </c>
      <c r="H49">
        <f t="shared" si="4"/>
        <v>0</v>
      </c>
      <c r="I49">
        <f t="shared" si="4"/>
        <v>0</v>
      </c>
      <c r="J49">
        <f t="shared" si="4"/>
        <v>0.3795</v>
      </c>
      <c r="K49">
        <f t="shared" si="4"/>
        <v>8.3699999999999997E-2</v>
      </c>
      <c r="L49">
        <f t="shared" si="4"/>
        <v>0</v>
      </c>
      <c r="M49">
        <f t="shared" si="4"/>
        <v>7.0699999999999999E-2</v>
      </c>
    </row>
    <row r="50" spans="1:13" x14ac:dyDescent="0.3">
      <c r="A50" t="s">
        <v>6</v>
      </c>
      <c r="B50">
        <f t="shared" si="4"/>
        <v>0</v>
      </c>
      <c r="C50">
        <f t="shared" si="4"/>
        <v>7.0699999999999999E-2</v>
      </c>
      <c r="D50">
        <f t="shared" si="4"/>
        <v>0</v>
      </c>
      <c r="E50">
        <f t="shared" si="4"/>
        <v>7.0699999999999999E-2</v>
      </c>
      <c r="F50">
        <f t="shared" si="4"/>
        <v>7.0699999999999999E-2</v>
      </c>
      <c r="G50">
        <f t="shared" si="4"/>
        <v>0.1414</v>
      </c>
      <c r="H50">
        <f t="shared" si="4"/>
        <v>0</v>
      </c>
      <c r="I50">
        <f t="shared" si="4"/>
        <v>0.1414</v>
      </c>
      <c r="J50">
        <f t="shared" si="4"/>
        <v>0</v>
      </c>
      <c r="K50">
        <f t="shared" si="4"/>
        <v>0</v>
      </c>
      <c r="L50">
        <f t="shared" si="4"/>
        <v>0</v>
      </c>
      <c r="M50">
        <f t="shared" si="4"/>
        <v>0</v>
      </c>
    </row>
    <row r="51" spans="1:13" x14ac:dyDescent="0.3">
      <c r="A51" t="s">
        <v>7</v>
      </c>
      <c r="B51">
        <f t="shared" si="4"/>
        <v>7.0699999999999999E-2</v>
      </c>
      <c r="C51">
        <f t="shared" si="4"/>
        <v>5.4800000000000001E-2</v>
      </c>
      <c r="D51">
        <f t="shared" si="4"/>
        <v>7.0699999999999999E-2</v>
      </c>
      <c r="E51">
        <f t="shared" si="4"/>
        <v>8.3699999999999997E-2</v>
      </c>
      <c r="F51">
        <f t="shared" si="4"/>
        <v>5.4800000000000001E-2</v>
      </c>
      <c r="G51">
        <f t="shared" si="4"/>
        <v>0</v>
      </c>
      <c r="H51">
        <f t="shared" si="4"/>
        <v>0</v>
      </c>
      <c r="I51">
        <f t="shared" si="4"/>
        <v>0</v>
      </c>
      <c r="J51">
        <f t="shared" si="4"/>
        <v>0.28460000000000002</v>
      </c>
      <c r="K51">
        <f t="shared" si="4"/>
        <v>0.3347</v>
      </c>
      <c r="L51">
        <f t="shared" si="4"/>
        <v>0.251</v>
      </c>
      <c r="M51">
        <f t="shared" si="4"/>
        <v>0.3795</v>
      </c>
    </row>
    <row r="52" spans="1:13" x14ac:dyDescent="0.3">
      <c r="A52" t="s">
        <v>8</v>
      </c>
      <c r="B52">
        <f t="shared" si="4"/>
        <v>0.1414</v>
      </c>
      <c r="C52">
        <f t="shared" si="4"/>
        <v>3.1600000000000003E-2</v>
      </c>
      <c r="D52">
        <f t="shared" si="4"/>
        <v>5.4800000000000001E-2</v>
      </c>
      <c r="E52">
        <f t="shared" si="4"/>
        <v>0.1673</v>
      </c>
      <c r="F52">
        <f t="shared" si="4"/>
        <v>0</v>
      </c>
      <c r="G52">
        <f t="shared" si="4"/>
        <v>0</v>
      </c>
      <c r="H52">
        <f t="shared" si="4"/>
        <v>0.28460000000000002</v>
      </c>
      <c r="I52">
        <f t="shared" si="4"/>
        <v>0</v>
      </c>
      <c r="J52">
        <f t="shared" si="4"/>
        <v>0</v>
      </c>
      <c r="K52">
        <f t="shared" si="4"/>
        <v>0.3347</v>
      </c>
      <c r="L52">
        <f t="shared" si="4"/>
        <v>0.28460000000000002</v>
      </c>
      <c r="M52">
        <f t="shared" si="4"/>
        <v>0.28460000000000002</v>
      </c>
    </row>
    <row r="53" spans="1:13" x14ac:dyDescent="0.3">
      <c r="A53" t="s">
        <v>9</v>
      </c>
      <c r="B53">
        <f t="shared" si="4"/>
        <v>0</v>
      </c>
      <c r="C53">
        <f t="shared" si="4"/>
        <v>0</v>
      </c>
      <c r="D53">
        <f t="shared" si="4"/>
        <v>0</v>
      </c>
      <c r="E53">
        <f t="shared" si="4"/>
        <v>0</v>
      </c>
      <c r="F53">
        <f t="shared" si="4"/>
        <v>7.0699999999999999E-2</v>
      </c>
      <c r="G53">
        <f t="shared" si="4"/>
        <v>0</v>
      </c>
      <c r="H53">
        <f t="shared" si="4"/>
        <v>7.0699999999999999E-2</v>
      </c>
      <c r="I53">
        <f t="shared" si="4"/>
        <v>0</v>
      </c>
      <c r="J53">
        <f t="shared" si="4"/>
        <v>3.1600000000000003E-2</v>
      </c>
      <c r="K53">
        <f t="shared" si="4"/>
        <v>0</v>
      </c>
      <c r="L53">
        <f t="shared" si="4"/>
        <v>7.0699999999999999E-2</v>
      </c>
      <c r="M53">
        <f t="shared" si="4"/>
        <v>0</v>
      </c>
    </row>
    <row r="54" spans="1:13" x14ac:dyDescent="0.3">
      <c r="A54" t="s">
        <v>10</v>
      </c>
      <c r="B54">
        <f t="shared" si="4"/>
        <v>0.1414</v>
      </c>
      <c r="C54">
        <f t="shared" si="4"/>
        <v>0</v>
      </c>
      <c r="D54">
        <f t="shared" si="4"/>
        <v>0</v>
      </c>
      <c r="E54">
        <f t="shared" si="4"/>
        <v>7.0699999999999999E-2</v>
      </c>
      <c r="F54">
        <f t="shared" si="4"/>
        <v>3.1600000000000003E-2</v>
      </c>
      <c r="G54">
        <f t="shared" si="4"/>
        <v>0</v>
      </c>
      <c r="H54">
        <f t="shared" si="4"/>
        <v>0</v>
      </c>
      <c r="I54">
        <f t="shared" si="4"/>
        <v>0</v>
      </c>
      <c r="J54">
        <f t="shared" si="4"/>
        <v>3.1600000000000003E-2</v>
      </c>
      <c r="K54">
        <f t="shared" si="4"/>
        <v>0</v>
      </c>
      <c r="L54">
        <f t="shared" si="4"/>
        <v>0</v>
      </c>
      <c r="M54">
        <f t="shared" si="4"/>
        <v>0.28460000000000002</v>
      </c>
    </row>
    <row r="55" spans="1:13" x14ac:dyDescent="0.3">
      <c r="A55" t="s">
        <v>11</v>
      </c>
      <c r="B55">
        <f t="shared" si="4"/>
        <v>0.1414</v>
      </c>
      <c r="C55">
        <f t="shared" si="4"/>
        <v>0</v>
      </c>
      <c r="D55">
        <f t="shared" si="4"/>
        <v>5.4800000000000001E-2</v>
      </c>
      <c r="E55">
        <f t="shared" si="4"/>
        <v>5.4800000000000001E-2</v>
      </c>
      <c r="F55">
        <f t="shared" si="4"/>
        <v>0</v>
      </c>
      <c r="G55">
        <f t="shared" si="4"/>
        <v>0</v>
      </c>
      <c r="H55">
        <f t="shared" si="4"/>
        <v>7.0699999999999999E-2</v>
      </c>
      <c r="I55">
        <f t="shared" si="4"/>
        <v>0</v>
      </c>
      <c r="J55">
        <f t="shared" si="4"/>
        <v>0.1673</v>
      </c>
      <c r="K55">
        <f t="shared" si="4"/>
        <v>0</v>
      </c>
      <c r="L55">
        <f t="shared" si="4"/>
        <v>0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0.3795</v>
      </c>
      <c r="D58">
        <f t="shared" si="6"/>
        <v>0.3347</v>
      </c>
      <c r="E58">
        <f t="shared" si="6"/>
        <v>8.3699999999999997E-2</v>
      </c>
      <c r="F58">
        <f t="shared" si="6"/>
        <v>0.3347</v>
      </c>
      <c r="G58">
        <f t="shared" si="6"/>
        <v>0.1414</v>
      </c>
      <c r="H58">
        <f t="shared" si="6"/>
        <v>7.0699999999999999E-2</v>
      </c>
      <c r="I58">
        <f t="shared" si="6"/>
        <v>3.1600000000000003E-2</v>
      </c>
      <c r="J58">
        <f t="shared" si="6"/>
        <v>0.3347</v>
      </c>
      <c r="K58">
        <f t="shared" si="6"/>
        <v>0.21210000000000001</v>
      </c>
      <c r="L58">
        <f t="shared" si="6"/>
        <v>3.1600000000000003E-2</v>
      </c>
      <c r="M58">
        <f t="shared" si="6"/>
        <v>7.0699999999999999E-2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0.1414</v>
      </c>
      <c r="C59">
        <f t="shared" si="7"/>
        <v>0</v>
      </c>
      <c r="D59">
        <f t="shared" si="7"/>
        <v>0.3795</v>
      </c>
      <c r="E59">
        <f t="shared" si="7"/>
        <v>0.3795</v>
      </c>
      <c r="F59">
        <f t="shared" si="7"/>
        <v>5.4800000000000001E-2</v>
      </c>
      <c r="G59">
        <f t="shared" si="7"/>
        <v>0.3347</v>
      </c>
      <c r="H59">
        <f t="shared" si="7"/>
        <v>0.3347</v>
      </c>
      <c r="I59">
        <f t="shared" si="7"/>
        <v>0.1095</v>
      </c>
      <c r="J59">
        <f t="shared" si="7"/>
        <v>0.1673</v>
      </c>
      <c r="K59">
        <f t="shared" si="7"/>
        <v>0.3795</v>
      </c>
      <c r="L59">
        <f t="shared" si="7"/>
        <v>0.3347</v>
      </c>
      <c r="M59">
        <f t="shared" si="7"/>
        <v>0.3795</v>
      </c>
    </row>
    <row r="60" spans="1:13" x14ac:dyDescent="0.3">
      <c r="A60" t="s">
        <v>2</v>
      </c>
      <c r="B60">
        <f t="shared" si="7"/>
        <v>0.21210000000000001</v>
      </c>
      <c r="C60">
        <f t="shared" si="7"/>
        <v>0.1095</v>
      </c>
      <c r="D60">
        <f t="shared" si="7"/>
        <v>0</v>
      </c>
      <c r="E60">
        <f t="shared" si="7"/>
        <v>7.0699999999999999E-2</v>
      </c>
      <c r="F60">
        <f t="shared" si="7"/>
        <v>0.1414</v>
      </c>
      <c r="G60">
        <f t="shared" si="7"/>
        <v>0.21210000000000001</v>
      </c>
      <c r="H60">
        <f t="shared" si="7"/>
        <v>0.21210000000000001</v>
      </c>
      <c r="I60">
        <f t="shared" si="7"/>
        <v>0.21210000000000001</v>
      </c>
      <c r="J60">
        <f t="shared" si="7"/>
        <v>0.3795</v>
      </c>
      <c r="K60">
        <f t="shared" si="7"/>
        <v>0.3347</v>
      </c>
      <c r="L60">
        <f t="shared" si="7"/>
        <v>0.3795</v>
      </c>
      <c r="M60">
        <f t="shared" si="7"/>
        <v>0.3795</v>
      </c>
    </row>
    <row r="61" spans="1:13" x14ac:dyDescent="0.3">
      <c r="A61" t="s">
        <v>3</v>
      </c>
      <c r="B61">
        <f t="shared" si="7"/>
        <v>0.21210000000000001</v>
      </c>
      <c r="C61">
        <f t="shared" si="7"/>
        <v>0.251</v>
      </c>
      <c r="D61">
        <f t="shared" si="7"/>
        <v>6.3200000000000006E-2</v>
      </c>
      <c r="E61">
        <f t="shared" si="7"/>
        <v>0</v>
      </c>
      <c r="F61">
        <f t="shared" si="7"/>
        <v>5.4800000000000001E-2</v>
      </c>
      <c r="G61">
        <f t="shared" si="7"/>
        <v>7.0699999999999999E-2</v>
      </c>
      <c r="H61">
        <f t="shared" si="7"/>
        <v>0.3795</v>
      </c>
      <c r="I61">
        <f t="shared" si="7"/>
        <v>3.1600000000000003E-2</v>
      </c>
      <c r="J61">
        <f t="shared" si="7"/>
        <v>0.3347</v>
      </c>
      <c r="K61">
        <f t="shared" si="7"/>
        <v>0.1673</v>
      </c>
      <c r="L61">
        <f t="shared" si="7"/>
        <v>0.3795</v>
      </c>
      <c r="M61">
        <f t="shared" si="7"/>
        <v>0.3795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0.1414</v>
      </c>
      <c r="C62">
        <f t="shared" si="8"/>
        <v>5.4800000000000001E-2</v>
      </c>
      <c r="D62">
        <f t="shared" si="8"/>
        <v>7.0699999999999999E-2</v>
      </c>
      <c r="E62">
        <f t="shared" si="8"/>
        <v>7.0699999999999999E-2</v>
      </c>
      <c r="F62">
        <f t="shared" si="8"/>
        <v>0</v>
      </c>
      <c r="G62">
        <f t="shared" si="8"/>
        <v>0.3347</v>
      </c>
      <c r="H62">
        <f t="shared" si="8"/>
        <v>0.1414</v>
      </c>
      <c r="I62">
        <f t="shared" si="8"/>
        <v>6.3200000000000006E-2</v>
      </c>
      <c r="J62">
        <f t="shared" si="8"/>
        <v>0.3347</v>
      </c>
      <c r="K62">
        <f t="shared" si="8"/>
        <v>0.3795</v>
      </c>
      <c r="L62">
        <f t="shared" si="8"/>
        <v>5.4800000000000001E-2</v>
      </c>
      <c r="M62">
        <f t="shared" si="8"/>
        <v>7.0699999999999999E-2</v>
      </c>
    </row>
    <row r="63" spans="1:13" x14ac:dyDescent="0.3">
      <c r="A63" t="s">
        <v>5</v>
      </c>
      <c r="B63">
        <f t="shared" si="7"/>
        <v>7.0699999999999999E-2</v>
      </c>
      <c r="C63">
        <f t="shared" si="7"/>
        <v>0.1095</v>
      </c>
      <c r="D63">
        <f t="shared" si="7"/>
        <v>0.1414</v>
      </c>
      <c r="E63">
        <f t="shared" si="7"/>
        <v>0.21210000000000001</v>
      </c>
      <c r="F63">
        <f t="shared" si="7"/>
        <v>7.0699999999999999E-2</v>
      </c>
      <c r="G63">
        <f t="shared" si="7"/>
        <v>0</v>
      </c>
      <c r="H63">
        <f t="shared" si="7"/>
        <v>8.3699999999999997E-2</v>
      </c>
      <c r="I63">
        <f t="shared" si="7"/>
        <v>3.1600000000000003E-2</v>
      </c>
      <c r="J63">
        <f t="shared" si="7"/>
        <v>0.3795</v>
      </c>
      <c r="K63">
        <f t="shared" si="7"/>
        <v>0.1673</v>
      </c>
      <c r="L63">
        <f t="shared" si="7"/>
        <v>5.4800000000000001E-2</v>
      </c>
      <c r="M63">
        <f t="shared" si="7"/>
        <v>0.1414</v>
      </c>
    </row>
    <row r="64" spans="1:13" x14ac:dyDescent="0.3">
      <c r="A64" t="s">
        <v>6</v>
      </c>
      <c r="B64">
        <f t="shared" si="7"/>
        <v>3.1600000000000003E-2</v>
      </c>
      <c r="C64">
        <f t="shared" si="7"/>
        <v>0.1414</v>
      </c>
      <c r="D64">
        <f t="shared" si="7"/>
        <v>7.0699999999999999E-2</v>
      </c>
      <c r="E64">
        <f t="shared" si="7"/>
        <v>0.1414</v>
      </c>
      <c r="F64">
        <f t="shared" si="7"/>
        <v>0.1414</v>
      </c>
      <c r="G64">
        <f t="shared" si="7"/>
        <v>0.21210000000000001</v>
      </c>
      <c r="H64">
        <f t="shared" si="7"/>
        <v>0</v>
      </c>
      <c r="I64">
        <f t="shared" si="7"/>
        <v>0.21210000000000001</v>
      </c>
      <c r="J64">
        <f t="shared" si="7"/>
        <v>7.0699999999999999E-2</v>
      </c>
      <c r="K64">
        <f t="shared" si="7"/>
        <v>7.0699999999999999E-2</v>
      </c>
      <c r="L64">
        <f t="shared" si="7"/>
        <v>5.4800000000000001E-2</v>
      </c>
      <c r="M64">
        <f t="shared" si="7"/>
        <v>7.0699999999999999E-2</v>
      </c>
    </row>
    <row r="65" spans="1:13" x14ac:dyDescent="0.3">
      <c r="A65" t="s">
        <v>7</v>
      </c>
      <c r="B65">
        <f t="shared" si="7"/>
        <v>0.1414</v>
      </c>
      <c r="C65">
        <f t="shared" si="7"/>
        <v>0.1095</v>
      </c>
      <c r="D65">
        <f t="shared" si="7"/>
        <v>0.1414</v>
      </c>
      <c r="E65">
        <f t="shared" si="7"/>
        <v>0.1673</v>
      </c>
      <c r="F65">
        <f t="shared" si="7"/>
        <v>0.1095</v>
      </c>
      <c r="G65">
        <f t="shared" si="7"/>
        <v>7.0699999999999999E-2</v>
      </c>
      <c r="H65">
        <f t="shared" si="7"/>
        <v>7.0699999999999999E-2</v>
      </c>
      <c r="I65">
        <f t="shared" si="7"/>
        <v>0</v>
      </c>
      <c r="J65">
        <f t="shared" si="7"/>
        <v>0.3795</v>
      </c>
      <c r="K65">
        <f t="shared" si="7"/>
        <v>0.3347</v>
      </c>
      <c r="L65">
        <f t="shared" si="7"/>
        <v>0.3347</v>
      </c>
      <c r="M65">
        <f t="shared" si="7"/>
        <v>0.3795</v>
      </c>
    </row>
    <row r="66" spans="1:13" x14ac:dyDescent="0.3">
      <c r="A66" t="s">
        <v>8</v>
      </c>
      <c r="B66">
        <f t="shared" si="7"/>
        <v>0.21210000000000001</v>
      </c>
      <c r="C66">
        <f t="shared" si="7"/>
        <v>6.3200000000000006E-2</v>
      </c>
      <c r="D66">
        <f t="shared" si="7"/>
        <v>0.1095</v>
      </c>
      <c r="E66">
        <f t="shared" si="7"/>
        <v>0.251</v>
      </c>
      <c r="F66">
        <f t="shared" si="7"/>
        <v>8.3699999999999997E-2</v>
      </c>
      <c r="G66">
        <f t="shared" si="7"/>
        <v>7.0699999999999999E-2</v>
      </c>
      <c r="H66">
        <f t="shared" si="7"/>
        <v>0.3795</v>
      </c>
      <c r="I66">
        <f t="shared" si="7"/>
        <v>5.4800000000000001E-2</v>
      </c>
      <c r="J66">
        <f t="shared" si="7"/>
        <v>0</v>
      </c>
      <c r="K66">
        <f t="shared" si="7"/>
        <v>0.3347</v>
      </c>
      <c r="L66">
        <f t="shared" si="7"/>
        <v>0.3795</v>
      </c>
      <c r="M66">
        <f t="shared" si="7"/>
        <v>0.3795</v>
      </c>
    </row>
    <row r="67" spans="1:13" x14ac:dyDescent="0.3">
      <c r="A67" t="s">
        <v>9</v>
      </c>
      <c r="B67">
        <f t="shared" si="7"/>
        <v>5.4800000000000001E-2</v>
      </c>
      <c r="C67">
        <f t="shared" si="7"/>
        <v>7.0699999999999999E-2</v>
      </c>
      <c r="D67">
        <f t="shared" si="7"/>
        <v>5.4800000000000001E-2</v>
      </c>
      <c r="E67">
        <f t="shared" si="7"/>
        <v>3.1600000000000003E-2</v>
      </c>
      <c r="F67">
        <f t="shared" si="7"/>
        <v>0.1414</v>
      </c>
      <c r="G67">
        <f t="shared" si="7"/>
        <v>3.1600000000000003E-2</v>
      </c>
      <c r="H67">
        <f t="shared" si="7"/>
        <v>0.1414</v>
      </c>
      <c r="I67">
        <f t="shared" si="7"/>
        <v>5.4800000000000001E-2</v>
      </c>
      <c r="J67">
        <f t="shared" si="7"/>
        <v>6.3200000000000006E-2</v>
      </c>
      <c r="K67">
        <f t="shared" si="7"/>
        <v>0</v>
      </c>
      <c r="L67">
        <f t="shared" si="7"/>
        <v>0.1414</v>
      </c>
      <c r="M67">
        <f t="shared" si="7"/>
        <v>5.4800000000000001E-2</v>
      </c>
    </row>
    <row r="68" spans="1:13" x14ac:dyDescent="0.3">
      <c r="A68" t="s">
        <v>10</v>
      </c>
      <c r="B68">
        <f t="shared" si="7"/>
        <v>0.21210000000000001</v>
      </c>
      <c r="C68">
        <f t="shared" si="7"/>
        <v>3.1600000000000003E-2</v>
      </c>
      <c r="D68">
        <f t="shared" si="7"/>
        <v>7.0699999999999999E-2</v>
      </c>
      <c r="E68">
        <f t="shared" si="7"/>
        <v>0.1414</v>
      </c>
      <c r="F68">
        <f t="shared" si="7"/>
        <v>6.3200000000000006E-2</v>
      </c>
      <c r="G68">
        <f t="shared" si="7"/>
        <v>5.4800000000000001E-2</v>
      </c>
      <c r="H68">
        <f t="shared" si="7"/>
        <v>7.0699999999999999E-2</v>
      </c>
      <c r="I68">
        <f t="shared" si="7"/>
        <v>5.4800000000000001E-2</v>
      </c>
      <c r="J68">
        <f t="shared" si="7"/>
        <v>6.3200000000000006E-2</v>
      </c>
      <c r="K68">
        <f t="shared" si="7"/>
        <v>5.4800000000000001E-2</v>
      </c>
      <c r="L68">
        <f t="shared" si="7"/>
        <v>0</v>
      </c>
      <c r="M68">
        <f t="shared" si="7"/>
        <v>0.3795</v>
      </c>
    </row>
    <row r="69" spans="1:13" x14ac:dyDescent="0.3">
      <c r="A69" t="s">
        <v>11</v>
      </c>
      <c r="B69">
        <f t="shared" si="7"/>
        <v>0.21210000000000001</v>
      </c>
      <c r="C69">
        <f t="shared" si="7"/>
        <v>5.4800000000000001E-2</v>
      </c>
      <c r="D69">
        <f t="shared" si="7"/>
        <v>0.1095</v>
      </c>
      <c r="E69">
        <f t="shared" si="7"/>
        <v>0.1095</v>
      </c>
      <c r="F69">
        <f t="shared" si="7"/>
        <v>7.0699999999999999E-2</v>
      </c>
      <c r="G69">
        <f t="shared" si="7"/>
        <v>5.4800000000000001E-2</v>
      </c>
      <c r="H69">
        <f t="shared" si="7"/>
        <v>0.1414</v>
      </c>
      <c r="I69">
        <f t="shared" si="7"/>
        <v>7.0699999999999999E-2</v>
      </c>
      <c r="J69">
        <f t="shared" si="7"/>
        <v>0.251</v>
      </c>
      <c r="K69">
        <f t="shared" si="7"/>
        <v>5.4800000000000001E-2</v>
      </c>
      <c r="L69">
        <f t="shared" si="7"/>
        <v>5.4800000000000001E-2</v>
      </c>
      <c r="M69">
        <f t="shared" si="7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M69"/>
  <sheetViews>
    <sheetView workbookViewId="0">
      <selection activeCell="O6" sqref="O6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12</v>
      </c>
      <c r="D2" t="s">
        <v>13</v>
      </c>
      <c r="E2" t="s">
        <v>16</v>
      </c>
      <c r="F2" t="s">
        <v>20</v>
      </c>
      <c r="G2" t="s">
        <v>71</v>
      </c>
      <c r="H2" t="s">
        <v>16</v>
      </c>
      <c r="I2" t="s">
        <v>16</v>
      </c>
      <c r="J2" t="s">
        <v>13</v>
      </c>
      <c r="K2" t="s">
        <v>24</v>
      </c>
      <c r="L2" t="s">
        <v>15</v>
      </c>
      <c r="M2" t="s">
        <v>16</v>
      </c>
    </row>
    <row r="3" spans="1:13" x14ac:dyDescent="0.3">
      <c r="A3" s="1" t="s">
        <v>1</v>
      </c>
      <c r="B3" t="s">
        <v>17</v>
      </c>
      <c r="C3">
        <v>0</v>
      </c>
      <c r="D3" t="s">
        <v>18</v>
      </c>
      <c r="E3" t="s">
        <v>25</v>
      </c>
      <c r="F3" t="s">
        <v>62</v>
      </c>
      <c r="G3" t="s">
        <v>18</v>
      </c>
      <c r="H3" t="s">
        <v>25</v>
      </c>
      <c r="I3" t="s">
        <v>23</v>
      </c>
      <c r="J3" t="s">
        <v>12</v>
      </c>
      <c r="K3" t="s">
        <v>25</v>
      </c>
      <c r="L3" t="s">
        <v>25</v>
      </c>
      <c r="M3" t="s">
        <v>13</v>
      </c>
    </row>
    <row r="4" spans="1:13" x14ac:dyDescent="0.3">
      <c r="A4" s="1" t="s">
        <v>2</v>
      </c>
      <c r="B4" t="s">
        <v>21</v>
      </c>
      <c r="C4" t="s">
        <v>20</v>
      </c>
      <c r="D4">
        <v>0</v>
      </c>
      <c r="E4" t="s">
        <v>19</v>
      </c>
      <c r="F4" t="s">
        <v>24</v>
      </c>
      <c r="G4" t="s">
        <v>16</v>
      </c>
      <c r="H4" t="s">
        <v>21</v>
      </c>
      <c r="I4" t="s">
        <v>22</v>
      </c>
      <c r="J4" t="s">
        <v>25</v>
      </c>
      <c r="K4" t="s">
        <v>18</v>
      </c>
      <c r="L4" t="s">
        <v>12</v>
      </c>
      <c r="M4" t="s">
        <v>18</v>
      </c>
    </row>
    <row r="5" spans="1:13" x14ac:dyDescent="0.3">
      <c r="A5" s="1" t="s">
        <v>3</v>
      </c>
      <c r="B5" t="s">
        <v>24</v>
      </c>
      <c r="C5" t="s">
        <v>21</v>
      </c>
      <c r="D5" t="s">
        <v>62</v>
      </c>
      <c r="E5">
        <v>0</v>
      </c>
      <c r="F5" t="s">
        <v>21</v>
      </c>
      <c r="G5" t="s">
        <v>17</v>
      </c>
      <c r="H5" t="s">
        <v>13</v>
      </c>
      <c r="I5" t="s">
        <v>71</v>
      </c>
      <c r="J5" t="s">
        <v>13</v>
      </c>
      <c r="K5" t="s">
        <v>15</v>
      </c>
      <c r="L5" t="s">
        <v>13</v>
      </c>
      <c r="M5" t="s">
        <v>15</v>
      </c>
    </row>
    <row r="6" spans="1:13" x14ac:dyDescent="0.3">
      <c r="A6" s="1" t="s">
        <v>4</v>
      </c>
      <c r="B6" t="s">
        <v>23</v>
      </c>
      <c r="C6" t="s">
        <v>16</v>
      </c>
      <c r="D6" t="s">
        <v>16</v>
      </c>
      <c r="E6" t="s">
        <v>24</v>
      </c>
      <c r="F6">
        <v>0</v>
      </c>
      <c r="G6" t="s">
        <v>21</v>
      </c>
      <c r="H6" t="s">
        <v>24</v>
      </c>
      <c r="I6" t="s">
        <v>22</v>
      </c>
      <c r="J6" t="s">
        <v>25</v>
      </c>
      <c r="K6" t="s">
        <v>25</v>
      </c>
      <c r="L6" t="s">
        <v>16</v>
      </c>
      <c r="M6" t="s">
        <v>20</v>
      </c>
    </row>
    <row r="7" spans="1:13" x14ac:dyDescent="0.3">
      <c r="A7" s="1" t="s">
        <v>5</v>
      </c>
      <c r="B7" t="s">
        <v>20</v>
      </c>
      <c r="C7" t="s">
        <v>20</v>
      </c>
      <c r="D7" t="s">
        <v>23</v>
      </c>
      <c r="E7" t="s">
        <v>15</v>
      </c>
      <c r="F7" t="s">
        <v>15</v>
      </c>
      <c r="G7">
        <v>0</v>
      </c>
      <c r="H7" t="s">
        <v>20</v>
      </c>
      <c r="I7" t="s">
        <v>16</v>
      </c>
      <c r="J7" t="s">
        <v>18</v>
      </c>
      <c r="K7" t="s">
        <v>24</v>
      </c>
      <c r="L7" s="6" t="s">
        <v>15</v>
      </c>
      <c r="M7" t="s">
        <v>15</v>
      </c>
    </row>
    <row r="8" spans="1:13" x14ac:dyDescent="0.3">
      <c r="A8" s="1" t="s">
        <v>6</v>
      </c>
      <c r="B8" t="s">
        <v>20</v>
      </c>
      <c r="C8" t="s">
        <v>22</v>
      </c>
      <c r="D8" t="s">
        <v>23</v>
      </c>
      <c r="E8" t="s">
        <v>20</v>
      </c>
      <c r="F8" t="s">
        <v>17</v>
      </c>
      <c r="G8" t="s">
        <v>16</v>
      </c>
      <c r="H8">
        <v>0</v>
      </c>
      <c r="I8" t="s">
        <v>20</v>
      </c>
      <c r="J8" t="s">
        <v>16</v>
      </c>
      <c r="K8" t="s">
        <v>15</v>
      </c>
      <c r="L8" s="6" t="s">
        <v>17</v>
      </c>
      <c r="M8" t="s">
        <v>22</v>
      </c>
    </row>
    <row r="9" spans="1:13" x14ac:dyDescent="0.3">
      <c r="A9" s="1" t="s">
        <v>7</v>
      </c>
      <c r="B9" t="s">
        <v>24</v>
      </c>
      <c r="C9" t="s">
        <v>15</v>
      </c>
      <c r="D9" t="s">
        <v>22</v>
      </c>
      <c r="E9" t="s">
        <v>23</v>
      </c>
      <c r="F9" t="s">
        <v>71</v>
      </c>
      <c r="G9" t="s">
        <v>62</v>
      </c>
      <c r="H9" t="s">
        <v>22</v>
      </c>
      <c r="I9">
        <v>0</v>
      </c>
      <c r="J9" t="s">
        <v>18</v>
      </c>
      <c r="K9" t="s">
        <v>18</v>
      </c>
      <c r="L9" s="6" t="s">
        <v>18</v>
      </c>
      <c r="M9" t="s">
        <v>21</v>
      </c>
    </row>
    <row r="10" spans="1:13" x14ac:dyDescent="0.3">
      <c r="A10" s="1" t="s">
        <v>8</v>
      </c>
      <c r="B10" t="s">
        <v>22</v>
      </c>
      <c r="C10" t="s">
        <v>24</v>
      </c>
      <c r="D10" t="s">
        <v>15</v>
      </c>
      <c r="E10" t="s">
        <v>20</v>
      </c>
      <c r="F10" t="s">
        <v>24</v>
      </c>
      <c r="G10" t="s">
        <v>15</v>
      </c>
      <c r="H10" t="s">
        <v>25</v>
      </c>
      <c r="I10" t="s">
        <v>71</v>
      </c>
      <c r="J10">
        <v>0</v>
      </c>
      <c r="K10" t="s">
        <v>18</v>
      </c>
      <c r="L10" s="6" t="s">
        <v>13</v>
      </c>
      <c r="M10" t="s">
        <v>18</v>
      </c>
    </row>
    <row r="11" spans="1:13" x14ac:dyDescent="0.3">
      <c r="A11" s="1" t="s">
        <v>9</v>
      </c>
      <c r="B11" t="s">
        <v>16</v>
      </c>
      <c r="C11" t="s">
        <v>16</v>
      </c>
      <c r="D11" t="s">
        <v>15</v>
      </c>
      <c r="E11" t="s">
        <v>16</v>
      </c>
      <c r="F11" t="s">
        <v>16</v>
      </c>
      <c r="G11" t="s">
        <v>20</v>
      </c>
      <c r="H11" t="s">
        <v>22</v>
      </c>
      <c r="I11" t="s">
        <v>15</v>
      </c>
      <c r="J11" t="s">
        <v>23</v>
      </c>
      <c r="K11">
        <v>0</v>
      </c>
      <c r="L11" s="6" t="s">
        <v>62</v>
      </c>
      <c r="M11" t="s">
        <v>24</v>
      </c>
    </row>
    <row r="12" spans="1:13" x14ac:dyDescent="0.3">
      <c r="A12" s="1" t="s">
        <v>10</v>
      </c>
      <c r="B12" t="s">
        <v>23</v>
      </c>
      <c r="C12" t="s">
        <v>15</v>
      </c>
      <c r="D12" t="s">
        <v>23</v>
      </c>
      <c r="E12" t="s">
        <v>16</v>
      </c>
      <c r="F12" t="s">
        <v>23</v>
      </c>
      <c r="G12" t="s">
        <v>15</v>
      </c>
      <c r="H12" t="s">
        <v>17</v>
      </c>
      <c r="I12" t="s">
        <v>23</v>
      </c>
      <c r="J12" t="s">
        <v>24</v>
      </c>
      <c r="K12" t="s">
        <v>22</v>
      </c>
      <c r="L12">
        <v>0</v>
      </c>
      <c r="M12" t="s">
        <v>18</v>
      </c>
    </row>
    <row r="13" spans="1:13" x14ac:dyDescent="0.3">
      <c r="A13" s="1" t="s">
        <v>11</v>
      </c>
      <c r="B13" t="s">
        <v>17</v>
      </c>
      <c r="C13" t="s">
        <v>71</v>
      </c>
      <c r="D13" t="s">
        <v>15</v>
      </c>
      <c r="E13" t="s">
        <v>16</v>
      </c>
      <c r="F13" t="s">
        <v>20</v>
      </c>
      <c r="G13" t="s">
        <v>16</v>
      </c>
      <c r="H13" t="s">
        <v>16</v>
      </c>
      <c r="I13" t="s">
        <v>15</v>
      </c>
      <c r="J13" t="s">
        <v>17</v>
      </c>
      <c r="K13" t="s">
        <v>23</v>
      </c>
      <c r="L13" t="s">
        <v>15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(0,1673; 0,251; 0,3347)</v>
      </c>
      <c r="D16" t="str">
        <f>VLOOKUP(D2,'Thang đánh giá'!$C$2:$D$27,2,FALSE)</f>
        <v>(0,1897; 0,2846; 0,3795)</v>
      </c>
      <c r="E16" t="str">
        <f>VLOOKUP(E2,'Thang đánh giá'!$C$2:$D$27,2,FALSE)</f>
        <v>(0; 0; 0,0707)</v>
      </c>
      <c r="F16" t="str">
        <f>VLOOKUP(F2,'Thang đánh giá'!$C$2:$D$27,2,FALSE)</f>
        <v>(0; 0,0548; 0,1095)</v>
      </c>
      <c r="G16" t="str">
        <f>VLOOKUP(G2,'Thang đánh giá'!$C$2:$D$27,2,FALSE)</f>
        <v>(0; 0; 0,0837)</v>
      </c>
      <c r="H16" t="str">
        <f>VLOOKUP(H2,'Thang đánh giá'!$C$2:$D$27,2,FALSE)</f>
        <v>(0; 0; 0,0707)</v>
      </c>
      <c r="I16" t="str">
        <f>VLOOKUP(I2,'Thang đánh giá'!$C$2:$D$27,2,FALSE)</f>
        <v>(0; 0; 0,0707)</v>
      </c>
      <c r="J16" t="str">
        <f>VLOOKUP(J2,'Thang đánh giá'!$C$2:$D$27,2,FALSE)</f>
        <v>(0,1897; 0,2846; 0,3795)</v>
      </c>
      <c r="K16" t="str">
        <f>VLOOKUP(K2,'Thang đánh giá'!$C$2:$D$27,2,FALSE)</f>
        <v>(0; 0; 0,0548)</v>
      </c>
      <c r="L16" t="str">
        <f>VLOOKUP(L2,'Thang đánh giá'!$C$2:$D$27,2,FALSE)</f>
        <v>(0; 0,0707; 0,1414)</v>
      </c>
      <c r="M16" t="str">
        <f>VLOOKUP(M2,'Thang đánh giá'!$C$2:$D$27,2,FALSE)</f>
        <v>(0; 0; 0,0707)</v>
      </c>
    </row>
    <row r="17" spans="1:13" x14ac:dyDescent="0.3">
      <c r="A17" t="s">
        <v>1</v>
      </c>
      <c r="B17" t="str">
        <f>VLOOKUP(B3,'Thang đánh giá'!$C$2:$D$27,2,FALSE)</f>
        <v>(0; 0,0316; 0,0632)</v>
      </c>
      <c r="C17" t="str">
        <f>VLOOKUP(C3,'Thang đánh giá'!$C$2:$D$27,2,FALSE)</f>
        <v>(0; 0; 0)</v>
      </c>
      <c r="D17" t="str">
        <f>VLOOKUP(D3,'Thang đánh giá'!$C$2:$D$27,2,FALSE)</f>
        <v>(0,2846; 0,3795; 0,3795)</v>
      </c>
      <c r="E17" t="str">
        <f>VLOOKUP(E3,'Thang đánh giá'!$C$2:$D$27,2,FALSE)</f>
        <v>(0,251; 0,3347; 0,3347)</v>
      </c>
      <c r="F17" t="str">
        <f>VLOOKUP(F3,'Thang đánh giá'!$C$2:$D$27,2,FALSE)</f>
        <v>(0; 0,0837; 0,1673)</v>
      </c>
      <c r="G17" t="str">
        <f>VLOOKUP(G3,'Thang đánh giá'!$C$2:$D$27,2,FALSE)</f>
        <v>(0,2846; 0,3795; 0,3795)</v>
      </c>
      <c r="H17" t="str">
        <f>VLOOKUP(H3,'Thang đánh giá'!$C$2:$D$27,2,FALSE)</f>
        <v>(0,251; 0,3347; 0,3347)</v>
      </c>
      <c r="I17" t="str">
        <f>VLOOKUP(I3,'Thang đánh giá'!$C$2:$D$27,2,FALSE)</f>
        <v>(0; 0; 0,0316)</v>
      </c>
      <c r="J17" t="str">
        <f>VLOOKUP(J3,'Thang đánh giá'!$C$2:$D$27,2,FALSE)</f>
        <v>(0,1673; 0,251; 0,3347)</v>
      </c>
      <c r="K17" t="str">
        <f>VLOOKUP(K3,'Thang đánh giá'!$C$2:$D$27,2,FALSE)</f>
        <v>(0,251; 0,3347; 0,3347)</v>
      </c>
      <c r="L17" t="str">
        <f>VLOOKUP(L3,'Thang đánh giá'!$C$2:$D$27,2,FALSE)</f>
        <v>(0,251; 0,3347; 0,3347)</v>
      </c>
      <c r="M17" t="str">
        <f>VLOOKUP(M3,'Thang đánh giá'!$C$2:$D$27,2,FALSE)</f>
        <v>(0,1897; 0,2846; 0,3795)</v>
      </c>
    </row>
    <row r="18" spans="1:13" x14ac:dyDescent="0.3">
      <c r="A18" t="s">
        <v>2</v>
      </c>
      <c r="B18" t="str">
        <f>VLOOKUP(B4,'Thang đánh giá'!$C$2:$D$27,2,FALSE)</f>
        <v>(0,0837; 0,1673; 0,251)</v>
      </c>
      <c r="C18" t="str">
        <f>VLOOKUP(C4,'Thang đánh giá'!$C$2:$D$27,2,FALSE)</f>
        <v>(0; 0,0548; 0,1095)</v>
      </c>
      <c r="D18" t="str">
        <f>VLOOKUP(D4,'Thang đánh giá'!$C$2:$D$27,2,FALSE)</f>
        <v>(0; 0; 0)</v>
      </c>
      <c r="E18" t="str">
        <f>VLOOKUP(E4,'Thang đánh giá'!$C$2:$D$27,2,FALSE)</f>
        <v>(0,1414; 0,2121; 0,2828)</v>
      </c>
      <c r="F18" t="str">
        <f>VLOOKUP(F4,'Thang đánh giá'!$C$2:$D$27,2,FALSE)</f>
        <v>(0; 0; 0,0548)</v>
      </c>
      <c r="G18" t="str">
        <f>VLOOKUP(G4,'Thang đánh giá'!$C$2:$D$27,2,FALSE)</f>
        <v>(0; 0; 0,0707)</v>
      </c>
      <c r="H18" t="str">
        <f>VLOOKUP(H4,'Thang đánh giá'!$C$2:$D$27,2,FALSE)</f>
        <v>(0,0837; 0,1673; 0,251)</v>
      </c>
      <c r="I18" t="str">
        <f>VLOOKUP(I4,'Thang đánh giá'!$C$2:$D$27,2,FALSE)</f>
        <v>(0,0707; 0,1414; 0,2121)</v>
      </c>
      <c r="J18" t="str">
        <f>VLOOKUP(J4,'Thang đánh giá'!$C$2:$D$27,2,FALSE)</f>
        <v>(0,251; 0,3347; 0,3347)</v>
      </c>
      <c r="K18" t="str">
        <f>VLOOKUP(K4,'Thang đánh giá'!$C$2:$D$27,2,FALSE)</f>
        <v>(0,2846; 0,3795; 0,3795)</v>
      </c>
      <c r="L18" t="str">
        <f>VLOOKUP(L4,'Thang đánh giá'!$C$2:$D$27,2,FALSE)</f>
        <v>(0,1673; 0,251; 0,3347)</v>
      </c>
      <c r="M18" t="str">
        <f>VLOOKUP(M4,'Thang đánh giá'!$C$2:$D$27,2,FALSE)</f>
        <v>(0,2846; 0,3795; 0,3795)</v>
      </c>
    </row>
    <row r="19" spans="1:13" x14ac:dyDescent="0.3">
      <c r="A19" t="s">
        <v>3</v>
      </c>
      <c r="B19" t="str">
        <f>VLOOKUP(B5,'Thang đánh giá'!$C$2:$D$27,2,FALSE)</f>
        <v>(0; 0; 0,0548)</v>
      </c>
      <c r="C19" t="str">
        <f>VLOOKUP(C5,'Thang đánh giá'!$C$2:$D$27,2,FALSE)</f>
        <v>(0,0837; 0,1673; 0,251)</v>
      </c>
      <c r="D19" t="str">
        <f>VLOOKUP(D5,'Thang đánh giá'!$C$2:$D$27,2,FALSE)</f>
        <v>(0; 0,0837; 0,1673)</v>
      </c>
      <c r="E19" t="str">
        <f>VLOOKUP(E5,'Thang đánh giá'!$C$2:$D$27,2,FALSE)</f>
        <v>(0; 0; 0)</v>
      </c>
      <c r="F19" t="str">
        <f>VLOOKUP(F5,'Thang đánh giá'!$C$2:$D$27,2,FALSE)</f>
        <v>(0,0837; 0,1673; 0,251)</v>
      </c>
      <c r="G19" t="str">
        <f>VLOOKUP(G5,'Thang đánh giá'!$C$2:$D$27,2,FALSE)</f>
        <v>(0; 0,0316; 0,0632)</v>
      </c>
      <c r="H19" t="str">
        <f>VLOOKUP(H5,'Thang đánh giá'!$C$2:$D$27,2,FALSE)</f>
        <v>(0,1897; 0,2846; 0,3795)</v>
      </c>
      <c r="I19" t="str">
        <f>VLOOKUP(I5,'Thang đánh giá'!$C$2:$D$27,2,FALSE)</f>
        <v>(0; 0; 0,0837)</v>
      </c>
      <c r="J19" t="str">
        <f>VLOOKUP(J5,'Thang đánh giá'!$C$2:$D$27,2,FALSE)</f>
        <v>(0,1897; 0,2846; 0,3795)</v>
      </c>
      <c r="K19" t="str">
        <f>VLOOKUP(K5,'Thang đánh giá'!$C$2:$D$27,2,FALSE)</f>
        <v>(0; 0,0707; 0,1414)</v>
      </c>
      <c r="L19" t="str">
        <f>VLOOKUP(L5,'Thang đánh giá'!$C$2:$D$27,2,FALSE)</f>
        <v>(0,1897; 0,2846; 0,3795)</v>
      </c>
      <c r="M19" t="str">
        <f>VLOOKUP(M5,'Thang đánh giá'!$C$2:$D$27,2,FALSE)</f>
        <v>(0; 0,0707; 0,1414)</v>
      </c>
    </row>
    <row r="20" spans="1:13" x14ac:dyDescent="0.3">
      <c r="A20" t="s">
        <v>4</v>
      </c>
      <c r="B20" t="str">
        <f>VLOOKUP(B6,'Thang đánh giá'!$C$2:$D$27,2,FALSE)</f>
        <v>(0; 0; 0,0316)</v>
      </c>
      <c r="C20" t="str">
        <f>VLOOKUP(C6,'Thang đánh giá'!$C$2:$D$27,2,FALSE)</f>
        <v>(0; 0; 0,0707)</v>
      </c>
      <c r="D20" t="str">
        <f>VLOOKUP(D6,'Thang đánh giá'!$C$2:$D$27,2,FALSE)</f>
        <v>(0; 0; 0,0707)</v>
      </c>
      <c r="E20" t="str">
        <f>VLOOKUP(E6,'Thang đánh giá'!$C$2:$D$27,2,FALSE)</f>
        <v>(0; 0; 0,0548)</v>
      </c>
      <c r="F20" t="str">
        <f>VLOOKUP(F6,'Thang đánh giá'!$C$2:$D$27,2,FALSE)</f>
        <v>(0; 0; 0)</v>
      </c>
      <c r="G20" t="str">
        <f>VLOOKUP(G6,'Thang đánh giá'!$C$2:$D$27,2,FALSE)</f>
        <v>(0,0837; 0,1673; 0,251)</v>
      </c>
      <c r="H20" t="str">
        <f>VLOOKUP(H6,'Thang đánh giá'!$C$2:$D$27,2,FALSE)</f>
        <v>(0; 0; 0,0548)</v>
      </c>
      <c r="I20" t="str">
        <f>VLOOKUP(I6,'Thang đánh giá'!$C$2:$D$27,2,FALSE)</f>
        <v>(0,0707; 0,1414; 0,2121)</v>
      </c>
      <c r="J20" t="str">
        <f>VLOOKUP(J6,'Thang đánh giá'!$C$2:$D$27,2,FALSE)</f>
        <v>(0,251; 0,3347; 0,3347)</v>
      </c>
      <c r="K20" t="str">
        <f>VLOOKUP(K6,'Thang đánh giá'!$C$2:$D$27,2,FALSE)</f>
        <v>(0,251; 0,3347; 0,3347)</v>
      </c>
      <c r="L20" t="str">
        <f>VLOOKUP(L6,'Thang đánh giá'!$C$2:$D$27,2,FALSE)</f>
        <v>(0; 0; 0,0707)</v>
      </c>
      <c r="M20" t="str">
        <f>VLOOKUP(M6,'Thang đánh giá'!$C$2:$D$27,2,FALSE)</f>
        <v>(0; 0,0548; 0,1095)</v>
      </c>
    </row>
    <row r="21" spans="1:13" x14ac:dyDescent="0.3">
      <c r="A21" t="s">
        <v>5</v>
      </c>
      <c r="B21" t="str">
        <f>VLOOKUP(B7,'Thang đánh giá'!$C$2:$D$27,2,FALSE)</f>
        <v>(0; 0,0548; 0,1095)</v>
      </c>
      <c r="C21" t="str">
        <f>VLOOKUP(C7,'Thang đánh giá'!$C$2:$D$27,2,FALSE)</f>
        <v>(0; 0,0548; 0,1095)</v>
      </c>
      <c r="D21" t="str">
        <f>VLOOKUP(D7,'Thang đánh giá'!$C$2:$D$27,2,FALSE)</f>
        <v>(0; 0; 0,0316)</v>
      </c>
      <c r="E21" t="str">
        <f>VLOOKUP(E7,'Thang đánh giá'!$C$2:$D$27,2,FALSE)</f>
        <v>(0; 0,0707; 0,1414)</v>
      </c>
      <c r="F21" t="str">
        <f>VLOOKUP(F7,'Thang đánh giá'!$C$2:$D$27,2,FALSE)</f>
        <v>(0; 0,0707; 0,1414)</v>
      </c>
      <c r="G21" t="str">
        <f>VLOOKUP(G7,'Thang đánh giá'!$C$2:$D$27,2,FALSE)</f>
        <v>(0; 0; 0)</v>
      </c>
      <c r="H21" t="str">
        <f>VLOOKUP(H7,'Thang đánh giá'!$C$2:$D$27,2,FALSE)</f>
        <v>(0; 0,0548; 0,1095)</v>
      </c>
      <c r="I21" t="str">
        <f>VLOOKUP(I7,'Thang đánh giá'!$C$2:$D$27,2,FALSE)</f>
        <v>(0; 0; 0,0707)</v>
      </c>
      <c r="J21" t="str">
        <f>VLOOKUP(J7,'Thang đánh giá'!$C$2:$D$27,2,FALSE)</f>
        <v>(0,2846; 0,3795; 0,3795)</v>
      </c>
      <c r="K21" t="str">
        <f>VLOOKUP(K7,'Thang đánh giá'!$C$2:$D$27,2,FALSE)</f>
        <v>(0; 0; 0,0548)</v>
      </c>
      <c r="L21" t="str">
        <f>VLOOKUP(L7,'Thang đánh giá'!$C$2:$D$27,2,FALSE)</f>
        <v>(0; 0,0707; 0,1414)</v>
      </c>
      <c r="M21" t="str">
        <f>VLOOKUP(M7,'Thang đánh giá'!$C$2:$D$27,2,FALSE)</f>
        <v>(0; 0,0707; 0,1414)</v>
      </c>
    </row>
    <row r="22" spans="1:13" x14ac:dyDescent="0.3">
      <c r="A22" t="s">
        <v>6</v>
      </c>
      <c r="B22" t="str">
        <f>VLOOKUP(B8,'Thang đánh giá'!$C$2:$D$27,2,FALSE)</f>
        <v>(0; 0,0548; 0,1095)</v>
      </c>
      <c r="C22" t="str">
        <f>VLOOKUP(C8,'Thang đánh giá'!$C$2:$D$27,2,FALSE)</f>
        <v>(0,0707; 0,1414; 0,2121)</v>
      </c>
      <c r="D22" t="str">
        <f>VLOOKUP(D8,'Thang đánh giá'!$C$2:$D$27,2,FALSE)</f>
        <v>(0; 0; 0,0316)</v>
      </c>
      <c r="E22" t="str">
        <f>VLOOKUP(E8,'Thang đánh giá'!$C$2:$D$27,2,FALSE)</f>
        <v>(0; 0,0548; 0,1095)</v>
      </c>
      <c r="F22" t="str">
        <f>VLOOKUP(F8,'Thang đánh giá'!$C$2:$D$27,2,FALSE)</f>
        <v>(0; 0,0316; 0,0632)</v>
      </c>
      <c r="G22" t="str">
        <f>VLOOKUP(G8,'Thang đánh giá'!$C$2:$D$27,2,FALSE)</f>
        <v>(0; 0; 0,0707)</v>
      </c>
      <c r="H22" t="str">
        <f>VLOOKUP(H8,'Thang đánh giá'!$C$2:$D$27,2,FALSE)</f>
        <v>(0; 0; 0)</v>
      </c>
      <c r="I22" t="str">
        <f>VLOOKUP(I8,'Thang đánh giá'!$C$2:$D$27,2,FALSE)</f>
        <v>(0; 0,0548; 0,1095)</v>
      </c>
      <c r="J22" t="str">
        <f>VLOOKUP(J8,'Thang đánh giá'!$C$2:$D$27,2,FALSE)</f>
        <v>(0; 0; 0,0707)</v>
      </c>
      <c r="K22" t="str">
        <f>VLOOKUP(K8,'Thang đánh giá'!$C$2:$D$27,2,FALSE)</f>
        <v>(0; 0,0707; 0,1414)</v>
      </c>
      <c r="L22" t="str">
        <f>VLOOKUP(L8,'Thang đánh giá'!$C$2:$D$27,2,FALSE)</f>
        <v>(0; 0,0316; 0,0632)</v>
      </c>
      <c r="M22" t="str">
        <f>VLOOKUP(M8,'Thang đánh giá'!$C$2:$D$27,2,FALSE)</f>
        <v>(0,0707; 0,1414; 0,2121)</v>
      </c>
    </row>
    <row r="23" spans="1:13" x14ac:dyDescent="0.3">
      <c r="A23" t="s">
        <v>7</v>
      </c>
      <c r="B23" t="str">
        <f>VLOOKUP(B9,'Thang đánh giá'!$C$2:$D$27,2,FALSE)</f>
        <v>(0; 0; 0,0548)</v>
      </c>
      <c r="C23" t="str">
        <f>VLOOKUP(C9,'Thang đánh giá'!$C$2:$D$27,2,FALSE)</f>
        <v>(0; 0,0707; 0,1414)</v>
      </c>
      <c r="D23" t="str">
        <f>VLOOKUP(D9,'Thang đánh giá'!$C$2:$D$27,2,FALSE)</f>
        <v>(0,0707; 0,1414; 0,2121)</v>
      </c>
      <c r="E23" t="str">
        <f>VLOOKUP(E9,'Thang đánh giá'!$C$2:$D$27,2,FALSE)</f>
        <v>(0; 0; 0,0316)</v>
      </c>
      <c r="F23" t="str">
        <f>VLOOKUP(F9,'Thang đánh giá'!$C$2:$D$27,2,FALSE)</f>
        <v>(0; 0; 0,0837)</v>
      </c>
      <c r="G23" t="str">
        <f>VLOOKUP(G9,'Thang đánh giá'!$C$2:$D$27,2,FALSE)</f>
        <v>(0; 0,0837; 0,1673)</v>
      </c>
      <c r="H23" t="str">
        <f>VLOOKUP(H9,'Thang đánh giá'!$C$2:$D$27,2,FALSE)</f>
        <v>(0,0707; 0,1414; 0,2121)</v>
      </c>
      <c r="I23" t="str">
        <f>VLOOKUP(I9,'Thang đánh giá'!$C$2:$D$27,2,FALSE)</f>
        <v>(0; 0; 0)</v>
      </c>
      <c r="J23" t="str">
        <f>VLOOKUP(J9,'Thang đánh giá'!$C$2:$D$27,2,FALSE)</f>
        <v>(0,2846; 0,3795; 0,3795)</v>
      </c>
      <c r="K23" t="str">
        <f>VLOOKUP(K9,'Thang đánh giá'!$C$2:$D$27,2,FALSE)</f>
        <v>(0,2846; 0,3795; 0,3795)</v>
      </c>
      <c r="L23" t="str">
        <f>VLOOKUP(L9,'Thang đánh giá'!$C$2:$D$27,2,FALSE)</f>
        <v>(0,2846; 0,3795; 0,3795)</v>
      </c>
      <c r="M23" t="str">
        <f>VLOOKUP(M9,'Thang đánh giá'!$C$2:$D$27,2,FALSE)</f>
        <v>(0,0837; 0,1673; 0,251)</v>
      </c>
    </row>
    <row r="24" spans="1:13" x14ac:dyDescent="0.3">
      <c r="A24" t="s">
        <v>8</v>
      </c>
      <c r="B24" t="str">
        <f>VLOOKUP(B10,'Thang đánh giá'!$C$2:$D$27,2,FALSE)</f>
        <v>(0,0707; 0,1414; 0,2121)</v>
      </c>
      <c r="C24" t="str">
        <f>VLOOKUP(C10,'Thang đánh giá'!$C$2:$D$27,2,FALSE)</f>
        <v>(0; 0; 0,0548)</v>
      </c>
      <c r="D24" t="str">
        <f>VLOOKUP(D10,'Thang đánh giá'!$C$2:$D$27,2,FALSE)</f>
        <v>(0; 0,0707; 0,1414)</v>
      </c>
      <c r="E24" t="str">
        <f>VLOOKUP(E10,'Thang đánh giá'!$C$2:$D$27,2,FALSE)</f>
        <v>(0; 0,0548; 0,1095)</v>
      </c>
      <c r="F24" t="str">
        <f>VLOOKUP(F10,'Thang đánh giá'!$C$2:$D$27,2,FALSE)</f>
        <v>(0; 0; 0,0548)</v>
      </c>
      <c r="G24" t="str">
        <f>VLOOKUP(G10,'Thang đánh giá'!$C$2:$D$27,2,FALSE)</f>
        <v>(0; 0,0707; 0,1414)</v>
      </c>
      <c r="H24" t="str">
        <f>VLOOKUP(H10,'Thang đánh giá'!$C$2:$D$27,2,FALSE)</f>
        <v>(0,251; 0,3347; 0,3347)</v>
      </c>
      <c r="I24" t="str">
        <f>VLOOKUP(I10,'Thang đánh giá'!$C$2:$D$27,2,FALSE)</f>
        <v>(0; 0; 0,0837)</v>
      </c>
      <c r="J24" t="str">
        <f>VLOOKUP(J10,'Thang đánh giá'!$C$2:$D$27,2,FALSE)</f>
        <v>(0; 0; 0)</v>
      </c>
      <c r="K24" t="str">
        <f>VLOOKUP(K10,'Thang đánh giá'!$C$2:$D$27,2,FALSE)</f>
        <v>(0,2846; 0,3795; 0,3795)</v>
      </c>
      <c r="L24" t="str">
        <f>VLOOKUP(L10,'Thang đánh giá'!$C$2:$D$27,2,FALSE)</f>
        <v>(0,1897; 0,2846; 0,3795)</v>
      </c>
      <c r="M24" t="str">
        <f>VLOOKUP(M10,'Thang đánh giá'!$C$2:$D$27,2,FALSE)</f>
        <v>(0,2846; 0,3795; 0,3795)</v>
      </c>
    </row>
    <row r="25" spans="1:13" x14ac:dyDescent="0.3">
      <c r="A25" t="s">
        <v>9</v>
      </c>
      <c r="B25" t="str">
        <f>VLOOKUP(B11,'Thang đánh giá'!$C$2:$D$27,2,FALSE)</f>
        <v>(0; 0; 0,0707)</v>
      </c>
      <c r="C25" t="str">
        <f>VLOOKUP(C11,'Thang đánh giá'!$C$2:$D$27,2,FALSE)</f>
        <v>(0; 0; 0,0707)</v>
      </c>
      <c r="D25" t="str">
        <f>VLOOKUP(D11,'Thang đánh giá'!$C$2:$D$27,2,FALSE)</f>
        <v>(0; 0,0707; 0,1414)</v>
      </c>
      <c r="E25" t="str">
        <f>VLOOKUP(E11,'Thang đánh giá'!$C$2:$D$27,2,FALSE)</f>
        <v>(0; 0; 0,0707)</v>
      </c>
      <c r="F25" t="str">
        <f>VLOOKUP(F11,'Thang đánh giá'!$C$2:$D$27,2,FALSE)</f>
        <v>(0; 0; 0,0707)</v>
      </c>
      <c r="G25" t="str">
        <f>VLOOKUP(G11,'Thang đánh giá'!$C$2:$D$27,2,FALSE)</f>
        <v>(0; 0,0548; 0,1095)</v>
      </c>
      <c r="H25" t="str">
        <f>VLOOKUP(H11,'Thang đánh giá'!$C$2:$D$27,2,FALSE)</f>
        <v>(0,0707; 0,1414; 0,2121)</v>
      </c>
      <c r="I25" t="str">
        <f>VLOOKUP(I11,'Thang đánh giá'!$C$2:$D$27,2,FALSE)</f>
        <v>(0; 0,0707; 0,1414)</v>
      </c>
      <c r="J25" t="str">
        <f>VLOOKUP(J11,'Thang đánh giá'!$C$2:$D$27,2,FALSE)</f>
        <v>(0; 0; 0,0316)</v>
      </c>
      <c r="K25" t="str">
        <f>VLOOKUP(K11,'Thang đánh giá'!$C$2:$D$27,2,FALSE)</f>
        <v>(0; 0; 0)</v>
      </c>
      <c r="L25" t="str">
        <f>VLOOKUP(L11,'Thang đánh giá'!$C$2:$D$27,2,FALSE)</f>
        <v>(0; 0,0837; 0,1673)</v>
      </c>
      <c r="M25" t="str">
        <f>VLOOKUP(M11,'Thang đánh giá'!$C$2:$D$27,2,FALSE)</f>
        <v>(0; 0; 0,0548)</v>
      </c>
    </row>
    <row r="26" spans="1:13" x14ac:dyDescent="0.3">
      <c r="A26" t="s">
        <v>10</v>
      </c>
      <c r="B26" t="str">
        <f>VLOOKUP(B12,'Thang đánh giá'!$C$2:$D$27,2,FALSE)</f>
        <v>(0; 0; 0,0316)</v>
      </c>
      <c r="C26" t="str">
        <f>VLOOKUP(C12,'Thang đánh giá'!$C$2:$D$27,2,FALSE)</f>
        <v>(0; 0,0707; 0,1414)</v>
      </c>
      <c r="D26" t="str">
        <f>VLOOKUP(D12,'Thang đánh giá'!$C$2:$D$27,2,FALSE)</f>
        <v>(0; 0; 0,0316)</v>
      </c>
      <c r="E26" t="str">
        <f>VLOOKUP(E12,'Thang đánh giá'!$C$2:$D$27,2,FALSE)</f>
        <v>(0; 0; 0,0707)</v>
      </c>
      <c r="F26" t="str">
        <f>VLOOKUP(F12,'Thang đánh giá'!$C$2:$D$27,2,FALSE)</f>
        <v>(0; 0; 0,0316)</v>
      </c>
      <c r="G26" t="str">
        <f>VLOOKUP(G12,'Thang đánh giá'!$C$2:$D$27,2,FALSE)</f>
        <v>(0; 0,0707; 0,1414)</v>
      </c>
      <c r="H26" t="str">
        <f>VLOOKUP(H12,'Thang đánh giá'!$C$2:$D$27,2,FALSE)</f>
        <v>(0; 0,0316; 0,0632)</v>
      </c>
      <c r="I26" t="str">
        <f>VLOOKUP(I12,'Thang đánh giá'!$C$2:$D$27,2,FALSE)</f>
        <v>(0; 0; 0,0316)</v>
      </c>
      <c r="J26" t="str">
        <f>VLOOKUP(J12,'Thang đánh giá'!$C$2:$D$27,2,FALSE)</f>
        <v>(0; 0; 0,0548)</v>
      </c>
      <c r="K26" t="str">
        <f>VLOOKUP(K12,'Thang đánh giá'!$C$2:$D$27,2,FALSE)</f>
        <v>(0,0707; 0,1414; 0,2121)</v>
      </c>
      <c r="L26" t="str">
        <f>VLOOKUP(L12,'Thang đánh giá'!$C$2:$D$27,2,FALSE)</f>
        <v>(0; 0; 0)</v>
      </c>
      <c r="M26" t="str">
        <f>VLOOKUP(M12,'Thang đánh giá'!$C$2:$D$27,2,FALSE)</f>
        <v>(0,2846; 0,3795; 0,3795)</v>
      </c>
    </row>
    <row r="27" spans="1:13" x14ac:dyDescent="0.3">
      <c r="A27" t="s">
        <v>11</v>
      </c>
      <c r="B27" t="str">
        <f>VLOOKUP(B13,'Thang đánh giá'!$C$2:$D$27,2,FALSE)</f>
        <v>(0; 0,0316; 0,0632)</v>
      </c>
      <c r="C27" t="str">
        <f>VLOOKUP(C13,'Thang đánh giá'!$C$2:$D$27,2,FALSE)</f>
        <v>(0; 0; 0,0837)</v>
      </c>
      <c r="D27" t="str">
        <f>VLOOKUP(D13,'Thang đánh giá'!$C$2:$D$27,2,FALSE)</f>
        <v>(0; 0,0707; 0,1414)</v>
      </c>
      <c r="E27" t="str">
        <f>VLOOKUP(E13,'Thang đánh giá'!$C$2:$D$27,2,FALSE)</f>
        <v>(0; 0; 0,0707)</v>
      </c>
      <c r="F27" t="str">
        <f>VLOOKUP(F13,'Thang đánh giá'!$C$2:$D$27,2,FALSE)</f>
        <v>(0; 0,0548; 0,1095)</v>
      </c>
      <c r="G27" t="str">
        <f>VLOOKUP(G13,'Thang đánh giá'!$C$2:$D$27,2,FALSE)</f>
        <v>(0; 0; 0,0707)</v>
      </c>
      <c r="H27" t="str">
        <f>VLOOKUP(H13,'Thang đánh giá'!$C$2:$D$27,2,FALSE)</f>
        <v>(0; 0; 0,0707)</v>
      </c>
      <c r="I27" t="str">
        <f>VLOOKUP(I13,'Thang đánh giá'!$C$2:$D$27,2,FALSE)</f>
        <v>(0; 0,0707; 0,1414)</v>
      </c>
      <c r="J27" t="str">
        <f>VLOOKUP(J13,'Thang đánh giá'!$C$2:$D$27,2,FALSE)</f>
        <v>(0; 0,0316; 0,0632)</v>
      </c>
      <c r="K27" t="str">
        <f>VLOOKUP(K13,'Thang đánh giá'!$C$2:$D$27,2,FALSE)</f>
        <v>(0; 0; 0,0316)</v>
      </c>
      <c r="L27" t="str">
        <f>VLOOKUP(L13,'Thang đánh giá'!$C$2:$D$27,2,FALSE)</f>
        <v>(0; 0,0707; 0,1414)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0.1673</v>
      </c>
      <c r="D30">
        <f t="shared" si="0"/>
        <v>0.18970000000000001</v>
      </c>
      <c r="E30">
        <f t="shared" si="0"/>
        <v>0</v>
      </c>
      <c r="F30">
        <f t="shared" si="0"/>
        <v>0</v>
      </c>
      <c r="G30">
        <f t="shared" si="0"/>
        <v>0</v>
      </c>
      <c r="H30">
        <f t="shared" si="0"/>
        <v>0</v>
      </c>
      <c r="I30">
        <f t="shared" si="0"/>
        <v>0</v>
      </c>
      <c r="J30">
        <f t="shared" si="0"/>
        <v>0.18970000000000001</v>
      </c>
      <c r="K30">
        <f t="shared" si="0"/>
        <v>0</v>
      </c>
      <c r="L30">
        <f t="shared" si="0"/>
        <v>0</v>
      </c>
      <c r="M30">
        <f t="shared" si="0"/>
        <v>0</v>
      </c>
    </row>
    <row r="31" spans="1:13" x14ac:dyDescent="0.3">
      <c r="A31" t="s">
        <v>1</v>
      </c>
      <c r="B31">
        <f t="shared" ref="B31:M41" si="1">_xlfn.NUMBERVALUE(MID(B17,2,FIND(";",B17,1)-2))</f>
        <v>0</v>
      </c>
      <c r="C31">
        <f t="shared" si="1"/>
        <v>0</v>
      </c>
      <c r="D31">
        <f t="shared" si="1"/>
        <v>0.28460000000000002</v>
      </c>
      <c r="E31">
        <f t="shared" si="1"/>
        <v>0.251</v>
      </c>
      <c r="F31">
        <f t="shared" si="1"/>
        <v>0</v>
      </c>
      <c r="G31">
        <f t="shared" si="1"/>
        <v>0.28460000000000002</v>
      </c>
      <c r="H31">
        <f t="shared" si="1"/>
        <v>0.251</v>
      </c>
      <c r="I31">
        <f t="shared" si="1"/>
        <v>0</v>
      </c>
      <c r="J31">
        <f t="shared" si="1"/>
        <v>0.1673</v>
      </c>
      <c r="K31">
        <f t="shared" si="1"/>
        <v>0.251</v>
      </c>
      <c r="L31">
        <f t="shared" si="1"/>
        <v>0.251</v>
      </c>
      <c r="M31">
        <f t="shared" si="1"/>
        <v>0.18970000000000001</v>
      </c>
    </row>
    <row r="32" spans="1:13" x14ac:dyDescent="0.3">
      <c r="A32" t="s">
        <v>2</v>
      </c>
      <c r="B32">
        <f t="shared" si="1"/>
        <v>8.3699999999999997E-2</v>
      </c>
      <c r="C32">
        <f t="shared" si="1"/>
        <v>0</v>
      </c>
      <c r="D32">
        <f t="shared" si="1"/>
        <v>0</v>
      </c>
      <c r="E32">
        <f t="shared" si="1"/>
        <v>0.1414</v>
      </c>
      <c r="F32">
        <f t="shared" si="1"/>
        <v>0</v>
      </c>
      <c r="G32">
        <f t="shared" si="1"/>
        <v>0</v>
      </c>
      <c r="H32">
        <f t="shared" si="1"/>
        <v>8.3699999999999997E-2</v>
      </c>
      <c r="I32">
        <f t="shared" si="1"/>
        <v>7.0699999999999999E-2</v>
      </c>
      <c r="J32">
        <f t="shared" si="1"/>
        <v>0.251</v>
      </c>
      <c r="K32">
        <f t="shared" si="1"/>
        <v>0.28460000000000002</v>
      </c>
      <c r="L32">
        <f t="shared" si="1"/>
        <v>0.1673</v>
      </c>
      <c r="M32">
        <f t="shared" si="1"/>
        <v>0.28460000000000002</v>
      </c>
    </row>
    <row r="33" spans="1:13" x14ac:dyDescent="0.3">
      <c r="A33" t="s">
        <v>3</v>
      </c>
      <c r="B33">
        <f t="shared" si="1"/>
        <v>0</v>
      </c>
      <c r="C33">
        <f t="shared" si="1"/>
        <v>8.3699999999999997E-2</v>
      </c>
      <c r="D33">
        <f t="shared" si="1"/>
        <v>0</v>
      </c>
      <c r="E33">
        <f t="shared" si="1"/>
        <v>0</v>
      </c>
      <c r="F33">
        <f t="shared" si="1"/>
        <v>8.3699999999999997E-2</v>
      </c>
      <c r="G33">
        <f t="shared" si="1"/>
        <v>0</v>
      </c>
      <c r="H33">
        <f t="shared" si="1"/>
        <v>0.18970000000000001</v>
      </c>
      <c r="I33">
        <f t="shared" si="1"/>
        <v>0</v>
      </c>
      <c r="J33">
        <f t="shared" si="1"/>
        <v>0.18970000000000001</v>
      </c>
      <c r="K33">
        <f t="shared" si="1"/>
        <v>0</v>
      </c>
      <c r="L33">
        <f t="shared" si="1"/>
        <v>0.18970000000000001</v>
      </c>
      <c r="M33">
        <f t="shared" si="1"/>
        <v>0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0</v>
      </c>
      <c r="D34">
        <f t="shared" si="2"/>
        <v>0</v>
      </c>
      <c r="E34">
        <f t="shared" si="2"/>
        <v>0</v>
      </c>
      <c r="F34">
        <f t="shared" si="2"/>
        <v>0</v>
      </c>
      <c r="G34">
        <f t="shared" si="2"/>
        <v>8.3699999999999997E-2</v>
      </c>
      <c r="H34">
        <f t="shared" si="2"/>
        <v>0</v>
      </c>
      <c r="I34">
        <f t="shared" si="2"/>
        <v>7.0699999999999999E-2</v>
      </c>
      <c r="J34">
        <f t="shared" si="2"/>
        <v>0.251</v>
      </c>
      <c r="K34">
        <f t="shared" si="2"/>
        <v>0.251</v>
      </c>
      <c r="L34">
        <f t="shared" si="2"/>
        <v>0</v>
      </c>
      <c r="M34">
        <f t="shared" si="2"/>
        <v>0</v>
      </c>
    </row>
    <row r="35" spans="1:13" x14ac:dyDescent="0.3">
      <c r="A35" t="s">
        <v>5</v>
      </c>
      <c r="B35">
        <f t="shared" si="1"/>
        <v>0</v>
      </c>
      <c r="C35">
        <f t="shared" si="1"/>
        <v>0</v>
      </c>
      <c r="D35">
        <f t="shared" si="1"/>
        <v>0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0</v>
      </c>
      <c r="J35">
        <f t="shared" si="1"/>
        <v>0.28460000000000002</v>
      </c>
      <c r="K35">
        <f t="shared" si="1"/>
        <v>0</v>
      </c>
      <c r="L35">
        <f t="shared" si="1"/>
        <v>0</v>
      </c>
      <c r="M35">
        <f t="shared" si="1"/>
        <v>0</v>
      </c>
    </row>
    <row r="36" spans="1:13" x14ac:dyDescent="0.3">
      <c r="A36" t="s">
        <v>6</v>
      </c>
      <c r="B36">
        <f t="shared" si="1"/>
        <v>0</v>
      </c>
      <c r="C36">
        <f t="shared" si="1"/>
        <v>7.0699999999999999E-2</v>
      </c>
      <c r="D36">
        <f t="shared" si="1"/>
        <v>0</v>
      </c>
      <c r="E36">
        <f t="shared" si="1"/>
        <v>0</v>
      </c>
      <c r="F36">
        <f t="shared" si="1"/>
        <v>0</v>
      </c>
      <c r="G36">
        <f t="shared" si="1"/>
        <v>0</v>
      </c>
      <c r="H36">
        <f t="shared" si="1"/>
        <v>0</v>
      </c>
      <c r="I36">
        <f t="shared" si="1"/>
        <v>0</v>
      </c>
      <c r="J36">
        <f t="shared" si="1"/>
        <v>0</v>
      </c>
      <c r="K36">
        <f t="shared" si="1"/>
        <v>0</v>
      </c>
      <c r="L36">
        <f t="shared" si="1"/>
        <v>0</v>
      </c>
      <c r="M36">
        <f t="shared" si="1"/>
        <v>7.0699999999999999E-2</v>
      </c>
    </row>
    <row r="37" spans="1:13" x14ac:dyDescent="0.3">
      <c r="A37" t="s">
        <v>7</v>
      </c>
      <c r="B37">
        <f t="shared" si="1"/>
        <v>0</v>
      </c>
      <c r="C37">
        <f t="shared" si="1"/>
        <v>0</v>
      </c>
      <c r="D37">
        <f t="shared" si="1"/>
        <v>7.0699999999999999E-2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7.0699999999999999E-2</v>
      </c>
      <c r="I37">
        <f t="shared" si="1"/>
        <v>0</v>
      </c>
      <c r="J37">
        <f t="shared" si="1"/>
        <v>0.28460000000000002</v>
      </c>
      <c r="K37">
        <f t="shared" si="1"/>
        <v>0.28460000000000002</v>
      </c>
      <c r="L37">
        <f t="shared" si="1"/>
        <v>0.28460000000000002</v>
      </c>
      <c r="M37">
        <f t="shared" si="1"/>
        <v>8.3699999999999997E-2</v>
      </c>
    </row>
    <row r="38" spans="1:13" x14ac:dyDescent="0.3">
      <c r="A38" t="s">
        <v>8</v>
      </c>
      <c r="B38">
        <f t="shared" si="1"/>
        <v>7.0699999999999999E-2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0.251</v>
      </c>
      <c r="I38">
        <f t="shared" si="1"/>
        <v>0</v>
      </c>
      <c r="J38">
        <f t="shared" si="1"/>
        <v>0</v>
      </c>
      <c r="K38">
        <f t="shared" si="1"/>
        <v>0.28460000000000002</v>
      </c>
      <c r="L38">
        <f t="shared" si="1"/>
        <v>0.18970000000000001</v>
      </c>
      <c r="M38">
        <f t="shared" si="1"/>
        <v>0.28460000000000002</v>
      </c>
    </row>
    <row r="39" spans="1:13" x14ac:dyDescent="0.3">
      <c r="A39" t="s">
        <v>9</v>
      </c>
      <c r="B39">
        <f t="shared" si="1"/>
        <v>0</v>
      </c>
      <c r="C39">
        <f t="shared" si="1"/>
        <v>0</v>
      </c>
      <c r="D39">
        <f t="shared" si="1"/>
        <v>0</v>
      </c>
      <c r="E39">
        <f t="shared" si="1"/>
        <v>0</v>
      </c>
      <c r="F39">
        <f t="shared" si="1"/>
        <v>0</v>
      </c>
      <c r="G39">
        <f t="shared" si="1"/>
        <v>0</v>
      </c>
      <c r="H39">
        <f t="shared" si="1"/>
        <v>7.0699999999999999E-2</v>
      </c>
      <c r="I39">
        <f t="shared" si="1"/>
        <v>0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0</v>
      </c>
    </row>
    <row r="40" spans="1:13" x14ac:dyDescent="0.3">
      <c r="A40" t="s">
        <v>10</v>
      </c>
      <c r="B40">
        <f t="shared" si="1"/>
        <v>0</v>
      </c>
      <c r="C40">
        <f t="shared" si="1"/>
        <v>0</v>
      </c>
      <c r="D40">
        <f t="shared" si="1"/>
        <v>0</v>
      </c>
      <c r="E40">
        <f t="shared" si="1"/>
        <v>0</v>
      </c>
      <c r="F40">
        <f t="shared" si="1"/>
        <v>0</v>
      </c>
      <c r="G40">
        <f t="shared" si="1"/>
        <v>0</v>
      </c>
      <c r="H40">
        <f t="shared" si="1"/>
        <v>0</v>
      </c>
      <c r="I40">
        <f t="shared" si="1"/>
        <v>0</v>
      </c>
      <c r="J40">
        <f t="shared" si="1"/>
        <v>0</v>
      </c>
      <c r="K40">
        <f t="shared" si="1"/>
        <v>7.0699999999999999E-2</v>
      </c>
      <c r="L40">
        <f t="shared" si="1"/>
        <v>0</v>
      </c>
      <c r="M40">
        <f t="shared" si="1"/>
        <v>0.28460000000000002</v>
      </c>
    </row>
    <row r="41" spans="1:13" x14ac:dyDescent="0.3">
      <c r="A41" t="s">
        <v>11</v>
      </c>
      <c r="B41">
        <f t="shared" si="1"/>
        <v>0</v>
      </c>
      <c r="C41">
        <f t="shared" si="1"/>
        <v>0</v>
      </c>
      <c r="D41">
        <f t="shared" si="1"/>
        <v>0</v>
      </c>
      <c r="E41">
        <f t="shared" si="1"/>
        <v>0</v>
      </c>
      <c r="F41">
        <f t="shared" si="1"/>
        <v>0</v>
      </c>
      <c r="G41">
        <f t="shared" si="1"/>
        <v>0</v>
      </c>
      <c r="H41">
        <f t="shared" si="1"/>
        <v>0</v>
      </c>
      <c r="I41">
        <f t="shared" si="1"/>
        <v>0</v>
      </c>
      <c r="J41">
        <f t="shared" si="1"/>
        <v>0</v>
      </c>
      <c r="K41">
        <f t="shared" si="1"/>
        <v>0</v>
      </c>
      <c r="L41">
        <f t="shared" si="1"/>
        <v>0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0.251</v>
      </c>
      <c r="D44">
        <f t="shared" si="3"/>
        <v>0.28460000000000002</v>
      </c>
      <c r="E44">
        <f t="shared" si="3"/>
        <v>0</v>
      </c>
      <c r="F44">
        <f t="shared" si="3"/>
        <v>5.4800000000000001E-2</v>
      </c>
      <c r="G44">
        <f t="shared" si="3"/>
        <v>0</v>
      </c>
      <c r="H44">
        <f t="shared" si="3"/>
        <v>0</v>
      </c>
      <c r="I44">
        <f t="shared" si="3"/>
        <v>0</v>
      </c>
      <c r="J44">
        <f t="shared" si="3"/>
        <v>0.28460000000000002</v>
      </c>
      <c r="K44">
        <f t="shared" si="3"/>
        <v>0</v>
      </c>
      <c r="L44">
        <f t="shared" si="3"/>
        <v>7.0699999999999999E-2</v>
      </c>
      <c r="M44">
        <f t="shared" si="3"/>
        <v>0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3.1600000000000003E-2</v>
      </c>
      <c r="C45">
        <f t="shared" si="4"/>
        <v>0</v>
      </c>
      <c r="D45">
        <f t="shared" si="4"/>
        <v>0.3795</v>
      </c>
      <c r="E45">
        <f t="shared" si="4"/>
        <v>0.3347</v>
      </c>
      <c r="F45">
        <f t="shared" si="4"/>
        <v>8.3699999999999997E-2</v>
      </c>
      <c r="G45">
        <f t="shared" si="4"/>
        <v>0.3795</v>
      </c>
      <c r="H45">
        <f t="shared" si="4"/>
        <v>0.3347</v>
      </c>
      <c r="I45">
        <f t="shared" si="4"/>
        <v>0</v>
      </c>
      <c r="J45">
        <f t="shared" si="4"/>
        <v>0.251</v>
      </c>
      <c r="K45">
        <f t="shared" si="4"/>
        <v>0.3347</v>
      </c>
      <c r="L45">
        <f t="shared" si="4"/>
        <v>0.3347</v>
      </c>
      <c r="M45">
        <f t="shared" si="4"/>
        <v>0.28460000000000002</v>
      </c>
    </row>
    <row r="46" spans="1:13" x14ac:dyDescent="0.3">
      <c r="A46" t="s">
        <v>2</v>
      </c>
      <c r="B46">
        <f t="shared" si="4"/>
        <v>0.1673</v>
      </c>
      <c r="C46">
        <f t="shared" si="4"/>
        <v>5.4800000000000001E-2</v>
      </c>
      <c r="D46">
        <f t="shared" si="4"/>
        <v>0</v>
      </c>
      <c r="E46">
        <f t="shared" si="4"/>
        <v>0.21210000000000001</v>
      </c>
      <c r="F46">
        <f t="shared" si="4"/>
        <v>0</v>
      </c>
      <c r="G46">
        <f t="shared" si="4"/>
        <v>0</v>
      </c>
      <c r="H46">
        <f t="shared" si="4"/>
        <v>0.1673</v>
      </c>
      <c r="I46">
        <f t="shared" si="4"/>
        <v>0.1414</v>
      </c>
      <c r="J46">
        <f t="shared" si="4"/>
        <v>0.3347</v>
      </c>
      <c r="K46">
        <f t="shared" si="4"/>
        <v>0.3795</v>
      </c>
      <c r="L46">
        <f t="shared" si="4"/>
        <v>0.251</v>
      </c>
      <c r="M46">
        <f t="shared" si="4"/>
        <v>0.3795</v>
      </c>
    </row>
    <row r="47" spans="1:13" x14ac:dyDescent="0.3">
      <c r="A47" t="s">
        <v>3</v>
      </c>
      <c r="B47">
        <f t="shared" si="4"/>
        <v>0</v>
      </c>
      <c r="C47">
        <f t="shared" si="4"/>
        <v>0.1673</v>
      </c>
      <c r="D47">
        <f t="shared" si="4"/>
        <v>8.3699999999999997E-2</v>
      </c>
      <c r="E47">
        <f t="shared" si="4"/>
        <v>0</v>
      </c>
      <c r="F47">
        <f t="shared" si="4"/>
        <v>0.1673</v>
      </c>
      <c r="G47">
        <f t="shared" si="4"/>
        <v>3.1600000000000003E-2</v>
      </c>
      <c r="H47">
        <f t="shared" si="4"/>
        <v>0.28460000000000002</v>
      </c>
      <c r="I47">
        <f t="shared" si="4"/>
        <v>0</v>
      </c>
      <c r="J47">
        <f t="shared" si="4"/>
        <v>0.28460000000000002</v>
      </c>
      <c r="K47">
        <f t="shared" si="4"/>
        <v>7.0699999999999999E-2</v>
      </c>
      <c r="L47">
        <f t="shared" si="4"/>
        <v>0.28460000000000002</v>
      </c>
      <c r="M47">
        <f t="shared" si="4"/>
        <v>7.0699999999999999E-2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0</v>
      </c>
      <c r="C48">
        <f t="shared" si="5"/>
        <v>0</v>
      </c>
      <c r="D48">
        <f t="shared" si="5"/>
        <v>0</v>
      </c>
      <c r="E48">
        <f t="shared" si="5"/>
        <v>0</v>
      </c>
      <c r="F48">
        <f t="shared" si="5"/>
        <v>0</v>
      </c>
      <c r="G48">
        <f t="shared" si="5"/>
        <v>0.1673</v>
      </c>
      <c r="H48">
        <f t="shared" si="5"/>
        <v>0</v>
      </c>
      <c r="I48">
        <f t="shared" si="5"/>
        <v>0.1414</v>
      </c>
      <c r="J48">
        <f t="shared" si="5"/>
        <v>0.3347</v>
      </c>
      <c r="K48">
        <f t="shared" si="5"/>
        <v>0.3347</v>
      </c>
      <c r="L48">
        <f t="shared" si="5"/>
        <v>0</v>
      </c>
      <c r="M48">
        <f t="shared" si="5"/>
        <v>5.4800000000000001E-2</v>
      </c>
    </row>
    <row r="49" spans="1:13" x14ac:dyDescent="0.3">
      <c r="A49" t="s">
        <v>5</v>
      </c>
      <c r="B49">
        <f t="shared" si="4"/>
        <v>5.4800000000000001E-2</v>
      </c>
      <c r="C49">
        <f t="shared" si="4"/>
        <v>5.4800000000000001E-2</v>
      </c>
      <c r="D49">
        <f t="shared" si="4"/>
        <v>0</v>
      </c>
      <c r="E49">
        <f t="shared" si="4"/>
        <v>7.0699999999999999E-2</v>
      </c>
      <c r="F49">
        <f t="shared" si="4"/>
        <v>7.0699999999999999E-2</v>
      </c>
      <c r="G49">
        <f t="shared" si="4"/>
        <v>0</v>
      </c>
      <c r="H49">
        <f t="shared" si="4"/>
        <v>5.4800000000000001E-2</v>
      </c>
      <c r="I49">
        <f t="shared" si="4"/>
        <v>0</v>
      </c>
      <c r="J49">
        <f t="shared" si="4"/>
        <v>0.3795</v>
      </c>
      <c r="K49">
        <f t="shared" si="4"/>
        <v>0</v>
      </c>
      <c r="L49">
        <f t="shared" si="4"/>
        <v>7.0699999999999999E-2</v>
      </c>
      <c r="M49">
        <f t="shared" si="4"/>
        <v>7.0699999999999999E-2</v>
      </c>
    </row>
    <row r="50" spans="1:13" x14ac:dyDescent="0.3">
      <c r="A50" t="s">
        <v>6</v>
      </c>
      <c r="B50">
        <f t="shared" si="4"/>
        <v>5.4800000000000001E-2</v>
      </c>
      <c r="C50">
        <f t="shared" si="4"/>
        <v>0.1414</v>
      </c>
      <c r="D50">
        <f t="shared" si="4"/>
        <v>0</v>
      </c>
      <c r="E50">
        <f t="shared" si="4"/>
        <v>5.4800000000000001E-2</v>
      </c>
      <c r="F50">
        <f t="shared" si="4"/>
        <v>3.1600000000000003E-2</v>
      </c>
      <c r="G50">
        <f t="shared" si="4"/>
        <v>0</v>
      </c>
      <c r="H50">
        <f t="shared" si="4"/>
        <v>0</v>
      </c>
      <c r="I50">
        <f t="shared" si="4"/>
        <v>5.4800000000000001E-2</v>
      </c>
      <c r="J50">
        <f t="shared" si="4"/>
        <v>0</v>
      </c>
      <c r="K50">
        <f t="shared" si="4"/>
        <v>7.0699999999999999E-2</v>
      </c>
      <c r="L50">
        <f t="shared" si="4"/>
        <v>3.1600000000000003E-2</v>
      </c>
      <c r="M50">
        <f t="shared" si="4"/>
        <v>0.1414</v>
      </c>
    </row>
    <row r="51" spans="1:13" x14ac:dyDescent="0.3">
      <c r="A51" t="s">
        <v>7</v>
      </c>
      <c r="B51">
        <f t="shared" si="4"/>
        <v>0</v>
      </c>
      <c r="C51">
        <f t="shared" si="4"/>
        <v>7.0699999999999999E-2</v>
      </c>
      <c r="D51">
        <f t="shared" si="4"/>
        <v>0.1414</v>
      </c>
      <c r="E51">
        <f t="shared" si="4"/>
        <v>0</v>
      </c>
      <c r="F51">
        <f t="shared" si="4"/>
        <v>0</v>
      </c>
      <c r="G51">
        <f t="shared" si="4"/>
        <v>8.3699999999999997E-2</v>
      </c>
      <c r="H51">
        <f t="shared" si="4"/>
        <v>0.1414</v>
      </c>
      <c r="I51">
        <f t="shared" si="4"/>
        <v>0</v>
      </c>
      <c r="J51">
        <f t="shared" si="4"/>
        <v>0.3795</v>
      </c>
      <c r="K51">
        <f t="shared" si="4"/>
        <v>0.3795</v>
      </c>
      <c r="L51">
        <f t="shared" si="4"/>
        <v>0.3795</v>
      </c>
      <c r="M51">
        <f t="shared" si="4"/>
        <v>0.1673</v>
      </c>
    </row>
    <row r="52" spans="1:13" x14ac:dyDescent="0.3">
      <c r="A52" t="s">
        <v>8</v>
      </c>
      <c r="B52">
        <f t="shared" si="4"/>
        <v>0.1414</v>
      </c>
      <c r="C52">
        <f t="shared" si="4"/>
        <v>0</v>
      </c>
      <c r="D52">
        <f t="shared" si="4"/>
        <v>7.0699999999999999E-2</v>
      </c>
      <c r="E52">
        <f t="shared" si="4"/>
        <v>5.4800000000000001E-2</v>
      </c>
      <c r="F52">
        <f t="shared" si="4"/>
        <v>0</v>
      </c>
      <c r="G52">
        <f t="shared" si="4"/>
        <v>7.0699999999999999E-2</v>
      </c>
      <c r="H52">
        <f t="shared" si="4"/>
        <v>0.3347</v>
      </c>
      <c r="I52">
        <f t="shared" si="4"/>
        <v>0</v>
      </c>
      <c r="J52">
        <f t="shared" si="4"/>
        <v>0</v>
      </c>
      <c r="K52">
        <f t="shared" si="4"/>
        <v>0.3795</v>
      </c>
      <c r="L52">
        <f t="shared" si="4"/>
        <v>0.28460000000000002</v>
      </c>
      <c r="M52">
        <f t="shared" si="4"/>
        <v>0.3795</v>
      </c>
    </row>
    <row r="53" spans="1:13" x14ac:dyDescent="0.3">
      <c r="A53" t="s">
        <v>9</v>
      </c>
      <c r="B53">
        <f t="shared" si="4"/>
        <v>0</v>
      </c>
      <c r="C53">
        <f t="shared" si="4"/>
        <v>0</v>
      </c>
      <c r="D53">
        <f t="shared" si="4"/>
        <v>7.0699999999999999E-2</v>
      </c>
      <c r="E53">
        <f t="shared" si="4"/>
        <v>0</v>
      </c>
      <c r="F53">
        <f t="shared" si="4"/>
        <v>0</v>
      </c>
      <c r="G53">
        <f t="shared" si="4"/>
        <v>5.4800000000000001E-2</v>
      </c>
      <c r="H53">
        <f t="shared" si="4"/>
        <v>0.1414</v>
      </c>
      <c r="I53">
        <f t="shared" si="4"/>
        <v>7.0699999999999999E-2</v>
      </c>
      <c r="J53">
        <f t="shared" si="4"/>
        <v>0</v>
      </c>
      <c r="K53">
        <f t="shared" si="4"/>
        <v>0</v>
      </c>
      <c r="L53">
        <f t="shared" si="4"/>
        <v>8.3699999999999997E-2</v>
      </c>
      <c r="M53">
        <f t="shared" si="4"/>
        <v>0</v>
      </c>
    </row>
    <row r="54" spans="1:13" x14ac:dyDescent="0.3">
      <c r="A54" t="s">
        <v>10</v>
      </c>
      <c r="B54">
        <f t="shared" si="4"/>
        <v>0</v>
      </c>
      <c r="C54">
        <f t="shared" si="4"/>
        <v>7.0699999999999999E-2</v>
      </c>
      <c r="D54">
        <f t="shared" si="4"/>
        <v>0</v>
      </c>
      <c r="E54">
        <f t="shared" si="4"/>
        <v>0</v>
      </c>
      <c r="F54">
        <f t="shared" si="4"/>
        <v>0</v>
      </c>
      <c r="G54">
        <f t="shared" si="4"/>
        <v>7.0699999999999999E-2</v>
      </c>
      <c r="H54">
        <f t="shared" si="4"/>
        <v>3.1600000000000003E-2</v>
      </c>
      <c r="I54">
        <f t="shared" si="4"/>
        <v>0</v>
      </c>
      <c r="J54">
        <f t="shared" si="4"/>
        <v>0</v>
      </c>
      <c r="K54">
        <f t="shared" si="4"/>
        <v>0.1414</v>
      </c>
      <c r="L54">
        <f t="shared" si="4"/>
        <v>0</v>
      </c>
      <c r="M54">
        <f t="shared" si="4"/>
        <v>0.3795</v>
      </c>
    </row>
    <row r="55" spans="1:13" x14ac:dyDescent="0.3">
      <c r="A55" t="s">
        <v>11</v>
      </c>
      <c r="B55">
        <f t="shared" si="4"/>
        <v>3.1600000000000003E-2</v>
      </c>
      <c r="C55">
        <f t="shared" si="4"/>
        <v>0</v>
      </c>
      <c r="D55">
        <f t="shared" si="4"/>
        <v>7.0699999999999999E-2</v>
      </c>
      <c r="E55">
        <f t="shared" si="4"/>
        <v>0</v>
      </c>
      <c r="F55">
        <f t="shared" si="4"/>
        <v>5.4800000000000001E-2</v>
      </c>
      <c r="G55">
        <f t="shared" si="4"/>
        <v>0</v>
      </c>
      <c r="H55">
        <f t="shared" si="4"/>
        <v>0</v>
      </c>
      <c r="I55">
        <f t="shared" si="4"/>
        <v>7.0699999999999999E-2</v>
      </c>
      <c r="J55">
        <f t="shared" si="4"/>
        <v>3.1600000000000003E-2</v>
      </c>
      <c r="K55">
        <f t="shared" si="4"/>
        <v>0</v>
      </c>
      <c r="L55">
        <f t="shared" si="4"/>
        <v>7.0699999999999999E-2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0.3347</v>
      </c>
      <c r="D58">
        <f t="shared" si="6"/>
        <v>0.3795</v>
      </c>
      <c r="E58">
        <f t="shared" si="6"/>
        <v>7.0699999999999999E-2</v>
      </c>
      <c r="F58">
        <f t="shared" si="6"/>
        <v>0.1095</v>
      </c>
      <c r="G58">
        <f t="shared" si="6"/>
        <v>8.3699999999999997E-2</v>
      </c>
      <c r="H58">
        <f t="shared" si="6"/>
        <v>7.0699999999999999E-2</v>
      </c>
      <c r="I58">
        <f t="shared" si="6"/>
        <v>7.0699999999999999E-2</v>
      </c>
      <c r="J58">
        <f t="shared" si="6"/>
        <v>0.3795</v>
      </c>
      <c r="K58">
        <f t="shared" si="6"/>
        <v>5.4800000000000001E-2</v>
      </c>
      <c r="L58">
        <f t="shared" si="6"/>
        <v>0.1414</v>
      </c>
      <c r="M58">
        <f t="shared" si="6"/>
        <v>7.0699999999999999E-2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6.3200000000000006E-2</v>
      </c>
      <c r="C59">
        <f t="shared" si="7"/>
        <v>0</v>
      </c>
      <c r="D59">
        <f t="shared" si="7"/>
        <v>0.3795</v>
      </c>
      <c r="E59">
        <f t="shared" si="7"/>
        <v>0.3347</v>
      </c>
      <c r="F59">
        <f t="shared" si="7"/>
        <v>0.1673</v>
      </c>
      <c r="G59">
        <f t="shared" si="7"/>
        <v>0.3795</v>
      </c>
      <c r="H59">
        <f t="shared" si="7"/>
        <v>0.3347</v>
      </c>
      <c r="I59">
        <f t="shared" si="7"/>
        <v>3.1600000000000003E-2</v>
      </c>
      <c r="J59">
        <f t="shared" si="7"/>
        <v>0.3347</v>
      </c>
      <c r="K59">
        <f t="shared" si="7"/>
        <v>0.3347</v>
      </c>
      <c r="L59">
        <f t="shared" si="7"/>
        <v>0.3347</v>
      </c>
      <c r="M59">
        <f t="shared" si="7"/>
        <v>0.3795</v>
      </c>
    </row>
    <row r="60" spans="1:13" x14ac:dyDescent="0.3">
      <c r="A60" t="s">
        <v>2</v>
      </c>
      <c r="B60">
        <f t="shared" si="7"/>
        <v>0.251</v>
      </c>
      <c r="C60">
        <f t="shared" si="7"/>
        <v>0.1095</v>
      </c>
      <c r="D60">
        <f t="shared" si="7"/>
        <v>0</v>
      </c>
      <c r="E60">
        <f t="shared" si="7"/>
        <v>0.2828</v>
      </c>
      <c r="F60">
        <f t="shared" si="7"/>
        <v>5.4800000000000001E-2</v>
      </c>
      <c r="G60">
        <f t="shared" si="7"/>
        <v>7.0699999999999999E-2</v>
      </c>
      <c r="H60">
        <f t="shared" si="7"/>
        <v>0.251</v>
      </c>
      <c r="I60">
        <f t="shared" si="7"/>
        <v>0.21210000000000001</v>
      </c>
      <c r="J60">
        <f t="shared" si="7"/>
        <v>0.3347</v>
      </c>
      <c r="K60">
        <f t="shared" si="7"/>
        <v>0.3795</v>
      </c>
      <c r="L60">
        <f t="shared" si="7"/>
        <v>0.3347</v>
      </c>
      <c r="M60">
        <f t="shared" si="7"/>
        <v>0.3795</v>
      </c>
    </row>
    <row r="61" spans="1:13" x14ac:dyDescent="0.3">
      <c r="A61" t="s">
        <v>3</v>
      </c>
      <c r="B61">
        <f t="shared" si="7"/>
        <v>5.4800000000000001E-2</v>
      </c>
      <c r="C61">
        <f t="shared" si="7"/>
        <v>0.251</v>
      </c>
      <c r="D61">
        <f t="shared" si="7"/>
        <v>0.1673</v>
      </c>
      <c r="E61">
        <f t="shared" si="7"/>
        <v>0</v>
      </c>
      <c r="F61">
        <f t="shared" si="7"/>
        <v>0.251</v>
      </c>
      <c r="G61">
        <f t="shared" si="7"/>
        <v>6.3200000000000006E-2</v>
      </c>
      <c r="H61">
        <f t="shared" si="7"/>
        <v>0.3795</v>
      </c>
      <c r="I61">
        <f t="shared" si="7"/>
        <v>8.3699999999999997E-2</v>
      </c>
      <c r="J61">
        <f t="shared" si="7"/>
        <v>0.3795</v>
      </c>
      <c r="K61">
        <f t="shared" si="7"/>
        <v>0.1414</v>
      </c>
      <c r="L61">
        <f t="shared" si="7"/>
        <v>0.3795</v>
      </c>
      <c r="M61">
        <f t="shared" si="7"/>
        <v>0.1414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3.1600000000000003E-2</v>
      </c>
      <c r="C62">
        <f t="shared" si="8"/>
        <v>7.0699999999999999E-2</v>
      </c>
      <c r="D62">
        <f t="shared" si="8"/>
        <v>7.0699999999999999E-2</v>
      </c>
      <c r="E62">
        <f t="shared" si="8"/>
        <v>5.4800000000000001E-2</v>
      </c>
      <c r="F62">
        <f t="shared" si="8"/>
        <v>0</v>
      </c>
      <c r="G62">
        <f t="shared" si="8"/>
        <v>0.251</v>
      </c>
      <c r="H62">
        <f t="shared" si="8"/>
        <v>5.4800000000000001E-2</v>
      </c>
      <c r="I62">
        <f t="shared" si="8"/>
        <v>0.21210000000000001</v>
      </c>
      <c r="J62">
        <f t="shared" si="8"/>
        <v>0.3347</v>
      </c>
      <c r="K62">
        <f t="shared" si="8"/>
        <v>0.3347</v>
      </c>
      <c r="L62">
        <f t="shared" si="8"/>
        <v>7.0699999999999999E-2</v>
      </c>
      <c r="M62">
        <f t="shared" si="8"/>
        <v>0.1095</v>
      </c>
    </row>
    <row r="63" spans="1:13" x14ac:dyDescent="0.3">
      <c r="A63" t="s">
        <v>5</v>
      </c>
      <c r="B63">
        <f t="shared" si="7"/>
        <v>0.1095</v>
      </c>
      <c r="C63">
        <f t="shared" si="7"/>
        <v>0.1095</v>
      </c>
      <c r="D63">
        <f t="shared" si="7"/>
        <v>3.1600000000000003E-2</v>
      </c>
      <c r="E63">
        <f t="shared" si="7"/>
        <v>0.1414</v>
      </c>
      <c r="F63">
        <f t="shared" si="7"/>
        <v>0.1414</v>
      </c>
      <c r="G63">
        <f t="shared" si="7"/>
        <v>0</v>
      </c>
      <c r="H63">
        <f t="shared" si="7"/>
        <v>0.1095</v>
      </c>
      <c r="I63">
        <f t="shared" si="7"/>
        <v>7.0699999999999999E-2</v>
      </c>
      <c r="J63">
        <f t="shared" si="7"/>
        <v>0.3795</v>
      </c>
      <c r="K63">
        <f t="shared" si="7"/>
        <v>5.4800000000000001E-2</v>
      </c>
      <c r="L63">
        <f t="shared" si="7"/>
        <v>0.1414</v>
      </c>
      <c r="M63">
        <f t="shared" si="7"/>
        <v>0.1414</v>
      </c>
    </row>
    <row r="64" spans="1:13" x14ac:dyDescent="0.3">
      <c r="A64" t="s">
        <v>6</v>
      </c>
      <c r="B64">
        <f t="shared" si="7"/>
        <v>0.1095</v>
      </c>
      <c r="C64">
        <f t="shared" si="7"/>
        <v>0.21210000000000001</v>
      </c>
      <c r="D64">
        <f t="shared" si="7"/>
        <v>3.1600000000000003E-2</v>
      </c>
      <c r="E64">
        <f t="shared" si="7"/>
        <v>0.1095</v>
      </c>
      <c r="F64">
        <f t="shared" si="7"/>
        <v>6.3200000000000006E-2</v>
      </c>
      <c r="G64">
        <f t="shared" si="7"/>
        <v>7.0699999999999999E-2</v>
      </c>
      <c r="H64">
        <f t="shared" si="7"/>
        <v>0</v>
      </c>
      <c r="I64">
        <f t="shared" si="7"/>
        <v>0.1095</v>
      </c>
      <c r="J64">
        <f t="shared" si="7"/>
        <v>7.0699999999999999E-2</v>
      </c>
      <c r="K64">
        <f t="shared" si="7"/>
        <v>0.1414</v>
      </c>
      <c r="L64">
        <f t="shared" si="7"/>
        <v>6.3200000000000006E-2</v>
      </c>
      <c r="M64">
        <f t="shared" si="7"/>
        <v>0.21210000000000001</v>
      </c>
    </row>
    <row r="65" spans="1:13" x14ac:dyDescent="0.3">
      <c r="A65" t="s">
        <v>7</v>
      </c>
      <c r="B65">
        <f t="shared" si="7"/>
        <v>5.4800000000000001E-2</v>
      </c>
      <c r="C65">
        <f t="shared" si="7"/>
        <v>0.1414</v>
      </c>
      <c r="D65">
        <f t="shared" si="7"/>
        <v>0.21210000000000001</v>
      </c>
      <c r="E65">
        <f t="shared" si="7"/>
        <v>3.1600000000000003E-2</v>
      </c>
      <c r="F65">
        <f t="shared" si="7"/>
        <v>8.3699999999999997E-2</v>
      </c>
      <c r="G65">
        <f t="shared" si="7"/>
        <v>0.1673</v>
      </c>
      <c r="H65">
        <f t="shared" si="7"/>
        <v>0.21210000000000001</v>
      </c>
      <c r="I65">
        <f t="shared" si="7"/>
        <v>0</v>
      </c>
      <c r="J65">
        <f t="shared" si="7"/>
        <v>0.3795</v>
      </c>
      <c r="K65">
        <f t="shared" si="7"/>
        <v>0.3795</v>
      </c>
      <c r="L65">
        <f t="shared" si="7"/>
        <v>0.3795</v>
      </c>
      <c r="M65">
        <f t="shared" si="7"/>
        <v>0.251</v>
      </c>
    </row>
    <row r="66" spans="1:13" x14ac:dyDescent="0.3">
      <c r="A66" t="s">
        <v>8</v>
      </c>
      <c r="B66">
        <f t="shared" si="7"/>
        <v>0.21210000000000001</v>
      </c>
      <c r="C66">
        <f t="shared" si="7"/>
        <v>5.4800000000000001E-2</v>
      </c>
      <c r="D66">
        <f t="shared" si="7"/>
        <v>0.1414</v>
      </c>
      <c r="E66">
        <f t="shared" si="7"/>
        <v>0.1095</v>
      </c>
      <c r="F66">
        <f t="shared" si="7"/>
        <v>5.4800000000000001E-2</v>
      </c>
      <c r="G66">
        <f t="shared" si="7"/>
        <v>0.1414</v>
      </c>
      <c r="H66">
        <f t="shared" si="7"/>
        <v>0.3347</v>
      </c>
      <c r="I66">
        <f t="shared" si="7"/>
        <v>8.3699999999999997E-2</v>
      </c>
      <c r="J66">
        <f t="shared" si="7"/>
        <v>0</v>
      </c>
      <c r="K66">
        <f t="shared" si="7"/>
        <v>0.3795</v>
      </c>
      <c r="L66">
        <f t="shared" si="7"/>
        <v>0.3795</v>
      </c>
      <c r="M66">
        <f t="shared" si="7"/>
        <v>0.3795</v>
      </c>
    </row>
    <row r="67" spans="1:13" x14ac:dyDescent="0.3">
      <c r="A67" t="s">
        <v>9</v>
      </c>
      <c r="B67">
        <f t="shared" si="7"/>
        <v>7.0699999999999999E-2</v>
      </c>
      <c r="C67">
        <f t="shared" si="7"/>
        <v>7.0699999999999999E-2</v>
      </c>
      <c r="D67">
        <f t="shared" si="7"/>
        <v>0.1414</v>
      </c>
      <c r="E67">
        <f t="shared" si="7"/>
        <v>7.0699999999999999E-2</v>
      </c>
      <c r="F67">
        <f t="shared" si="7"/>
        <v>7.0699999999999999E-2</v>
      </c>
      <c r="G67">
        <f t="shared" si="7"/>
        <v>0.1095</v>
      </c>
      <c r="H67">
        <f t="shared" si="7"/>
        <v>0.21210000000000001</v>
      </c>
      <c r="I67">
        <f t="shared" si="7"/>
        <v>0.1414</v>
      </c>
      <c r="J67">
        <f t="shared" si="7"/>
        <v>3.1600000000000003E-2</v>
      </c>
      <c r="K67">
        <f t="shared" si="7"/>
        <v>0</v>
      </c>
      <c r="L67">
        <f t="shared" si="7"/>
        <v>0.1673</v>
      </c>
      <c r="M67">
        <f t="shared" si="7"/>
        <v>5.4800000000000001E-2</v>
      </c>
    </row>
    <row r="68" spans="1:13" x14ac:dyDescent="0.3">
      <c r="A68" t="s">
        <v>10</v>
      </c>
      <c r="B68">
        <f t="shared" si="7"/>
        <v>3.1600000000000003E-2</v>
      </c>
      <c r="C68">
        <f t="shared" si="7"/>
        <v>0.1414</v>
      </c>
      <c r="D68">
        <f t="shared" si="7"/>
        <v>3.1600000000000003E-2</v>
      </c>
      <c r="E68">
        <f t="shared" si="7"/>
        <v>7.0699999999999999E-2</v>
      </c>
      <c r="F68">
        <f t="shared" si="7"/>
        <v>3.1600000000000003E-2</v>
      </c>
      <c r="G68">
        <f t="shared" si="7"/>
        <v>0.1414</v>
      </c>
      <c r="H68">
        <f t="shared" si="7"/>
        <v>6.3200000000000006E-2</v>
      </c>
      <c r="I68">
        <f t="shared" si="7"/>
        <v>3.1600000000000003E-2</v>
      </c>
      <c r="J68">
        <f t="shared" si="7"/>
        <v>5.4800000000000001E-2</v>
      </c>
      <c r="K68">
        <f t="shared" si="7"/>
        <v>0.21210000000000001</v>
      </c>
      <c r="L68">
        <f t="shared" si="7"/>
        <v>0</v>
      </c>
      <c r="M68">
        <f t="shared" si="7"/>
        <v>0.3795</v>
      </c>
    </row>
    <row r="69" spans="1:13" x14ac:dyDescent="0.3">
      <c r="A69" t="s">
        <v>11</v>
      </c>
      <c r="B69">
        <f t="shared" si="7"/>
        <v>6.3200000000000006E-2</v>
      </c>
      <c r="C69">
        <f t="shared" si="7"/>
        <v>8.3699999999999997E-2</v>
      </c>
      <c r="D69">
        <f t="shared" si="7"/>
        <v>0.1414</v>
      </c>
      <c r="E69">
        <f t="shared" si="7"/>
        <v>7.0699999999999999E-2</v>
      </c>
      <c r="F69">
        <f t="shared" si="7"/>
        <v>0.1095</v>
      </c>
      <c r="G69">
        <f t="shared" si="7"/>
        <v>7.0699999999999999E-2</v>
      </c>
      <c r="H69">
        <f t="shared" si="7"/>
        <v>7.0699999999999999E-2</v>
      </c>
      <c r="I69">
        <f t="shared" si="7"/>
        <v>0.1414</v>
      </c>
      <c r="J69">
        <f t="shared" si="7"/>
        <v>6.3200000000000006E-2</v>
      </c>
      <c r="K69">
        <f t="shared" si="7"/>
        <v>3.1600000000000003E-2</v>
      </c>
      <c r="L69">
        <f t="shared" si="7"/>
        <v>0.1414</v>
      </c>
      <c r="M69">
        <f t="shared" si="7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M69"/>
  <sheetViews>
    <sheetView workbookViewId="0">
      <selection activeCell="A15" sqref="A15:M69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12</v>
      </c>
      <c r="D2" t="s">
        <v>12</v>
      </c>
      <c r="E2" t="s">
        <v>20</v>
      </c>
      <c r="F2" t="s">
        <v>16</v>
      </c>
      <c r="G2" t="s">
        <v>16</v>
      </c>
      <c r="H2" t="s">
        <v>16</v>
      </c>
      <c r="I2" t="s">
        <v>23</v>
      </c>
      <c r="J2" t="s">
        <v>12</v>
      </c>
      <c r="K2" t="s">
        <v>20</v>
      </c>
      <c r="L2" t="s">
        <v>20</v>
      </c>
      <c r="M2" t="s">
        <v>24</v>
      </c>
    </row>
    <row r="3" spans="1:13" x14ac:dyDescent="0.3">
      <c r="A3" s="1" t="s">
        <v>1</v>
      </c>
      <c r="B3" t="s">
        <v>22</v>
      </c>
      <c r="C3">
        <v>0</v>
      </c>
      <c r="D3" t="s">
        <v>18</v>
      </c>
      <c r="E3" t="s">
        <v>18</v>
      </c>
      <c r="F3" t="s">
        <v>15</v>
      </c>
      <c r="G3" t="s">
        <v>25</v>
      </c>
      <c r="H3" t="s">
        <v>25</v>
      </c>
      <c r="I3" t="s">
        <v>15</v>
      </c>
      <c r="J3" t="s">
        <v>25</v>
      </c>
      <c r="K3" t="s">
        <v>25</v>
      </c>
      <c r="L3" t="s">
        <v>25</v>
      </c>
      <c r="M3" t="s">
        <v>12</v>
      </c>
    </row>
    <row r="4" spans="1:13" x14ac:dyDescent="0.3">
      <c r="A4" s="1" t="s">
        <v>2</v>
      </c>
      <c r="B4" t="s">
        <v>12</v>
      </c>
      <c r="C4" t="s">
        <v>23</v>
      </c>
      <c r="D4">
        <v>0</v>
      </c>
      <c r="E4" t="s">
        <v>24</v>
      </c>
      <c r="F4" t="s">
        <v>15</v>
      </c>
      <c r="G4" t="s">
        <v>12</v>
      </c>
      <c r="H4" t="s">
        <v>24</v>
      </c>
      <c r="I4" t="s">
        <v>22</v>
      </c>
      <c r="J4" t="s">
        <v>18</v>
      </c>
      <c r="K4" t="s">
        <v>18</v>
      </c>
      <c r="L4" t="s">
        <v>12</v>
      </c>
      <c r="M4" t="s">
        <v>18</v>
      </c>
    </row>
    <row r="5" spans="1:13" x14ac:dyDescent="0.3">
      <c r="A5" s="1" t="s">
        <v>3</v>
      </c>
      <c r="B5" t="s">
        <v>18</v>
      </c>
      <c r="C5" t="s">
        <v>18</v>
      </c>
      <c r="D5" t="s">
        <v>18</v>
      </c>
      <c r="E5">
        <v>0</v>
      </c>
      <c r="F5" t="s">
        <v>21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13</v>
      </c>
    </row>
    <row r="6" spans="1:13" x14ac:dyDescent="0.3">
      <c r="A6" s="1" t="s">
        <v>4</v>
      </c>
      <c r="B6" t="s">
        <v>17</v>
      </c>
      <c r="C6" t="s">
        <v>24</v>
      </c>
      <c r="D6" t="s">
        <v>15</v>
      </c>
      <c r="E6" t="s">
        <v>22</v>
      </c>
      <c r="F6">
        <v>0</v>
      </c>
      <c r="G6" t="s">
        <v>21</v>
      </c>
      <c r="H6" t="s">
        <v>16</v>
      </c>
      <c r="I6" t="s">
        <v>15</v>
      </c>
      <c r="J6" t="s">
        <v>12</v>
      </c>
      <c r="K6" t="s">
        <v>13</v>
      </c>
      <c r="L6" t="s">
        <v>16</v>
      </c>
      <c r="M6" t="s">
        <v>22</v>
      </c>
    </row>
    <row r="7" spans="1:13" x14ac:dyDescent="0.3">
      <c r="A7" s="1" t="s">
        <v>5</v>
      </c>
      <c r="B7" t="s">
        <v>62</v>
      </c>
      <c r="C7" t="s">
        <v>16</v>
      </c>
      <c r="D7" t="s">
        <v>71</v>
      </c>
      <c r="E7" t="s">
        <v>22</v>
      </c>
      <c r="F7" t="s">
        <v>17</v>
      </c>
      <c r="G7">
        <v>0</v>
      </c>
      <c r="H7" t="s">
        <v>24</v>
      </c>
      <c r="I7" t="s">
        <v>71</v>
      </c>
      <c r="J7" t="s">
        <v>25</v>
      </c>
      <c r="K7" t="s">
        <v>20</v>
      </c>
      <c r="L7" s="6" t="s">
        <v>24</v>
      </c>
      <c r="M7" t="s">
        <v>15</v>
      </c>
    </row>
    <row r="8" spans="1:13" x14ac:dyDescent="0.3">
      <c r="A8" s="1" t="s">
        <v>6</v>
      </c>
      <c r="B8" t="s">
        <v>17</v>
      </c>
      <c r="C8" t="s">
        <v>15</v>
      </c>
      <c r="D8" t="s">
        <v>16</v>
      </c>
      <c r="E8" t="s">
        <v>71</v>
      </c>
      <c r="F8" t="s">
        <v>22</v>
      </c>
      <c r="G8" t="s">
        <v>24</v>
      </c>
      <c r="H8">
        <v>0</v>
      </c>
      <c r="I8" t="s">
        <v>22</v>
      </c>
      <c r="J8" t="s">
        <v>20</v>
      </c>
      <c r="K8" t="s">
        <v>16</v>
      </c>
      <c r="L8" s="6" t="s">
        <v>17</v>
      </c>
      <c r="M8" t="s">
        <v>16</v>
      </c>
    </row>
    <row r="9" spans="1:13" x14ac:dyDescent="0.3">
      <c r="A9" s="1" t="s">
        <v>7</v>
      </c>
      <c r="B9" t="s">
        <v>15</v>
      </c>
      <c r="C9" t="s">
        <v>15</v>
      </c>
      <c r="D9" t="s">
        <v>24</v>
      </c>
      <c r="E9" t="s">
        <v>16</v>
      </c>
      <c r="F9" t="s">
        <v>22</v>
      </c>
      <c r="G9" t="s">
        <v>20</v>
      </c>
      <c r="H9" t="s">
        <v>23</v>
      </c>
      <c r="I9">
        <v>0</v>
      </c>
      <c r="J9" t="s">
        <v>16</v>
      </c>
      <c r="K9" t="s">
        <v>13</v>
      </c>
      <c r="L9" s="6" t="s">
        <v>13</v>
      </c>
      <c r="M9" t="s">
        <v>13</v>
      </c>
    </row>
    <row r="10" spans="1:13" x14ac:dyDescent="0.3">
      <c r="A10" s="1" t="s">
        <v>8</v>
      </c>
      <c r="B10" t="s">
        <v>21</v>
      </c>
      <c r="C10" t="s">
        <v>20</v>
      </c>
      <c r="D10" t="s">
        <v>62</v>
      </c>
      <c r="E10" t="s">
        <v>15</v>
      </c>
      <c r="F10" t="s">
        <v>17</v>
      </c>
      <c r="G10" t="s">
        <v>16</v>
      </c>
      <c r="H10" t="s">
        <v>18</v>
      </c>
      <c r="I10" t="s">
        <v>20</v>
      </c>
      <c r="J10">
        <v>0</v>
      </c>
      <c r="K10" t="s">
        <v>25</v>
      </c>
      <c r="L10" s="6" t="s">
        <v>12</v>
      </c>
      <c r="M10" t="s">
        <v>18</v>
      </c>
    </row>
    <row r="11" spans="1:13" x14ac:dyDescent="0.3">
      <c r="A11" s="1" t="s">
        <v>9</v>
      </c>
      <c r="B11" t="s">
        <v>24</v>
      </c>
      <c r="C11" t="s">
        <v>15</v>
      </c>
      <c r="D11" t="s">
        <v>15</v>
      </c>
      <c r="E11" t="s">
        <v>22</v>
      </c>
      <c r="F11" t="s">
        <v>16</v>
      </c>
      <c r="G11" t="s">
        <v>21</v>
      </c>
      <c r="H11" t="s">
        <v>20</v>
      </c>
      <c r="I11" t="s">
        <v>16</v>
      </c>
      <c r="J11" t="s">
        <v>24</v>
      </c>
      <c r="K11">
        <v>0</v>
      </c>
      <c r="L11" s="6" t="s">
        <v>22</v>
      </c>
      <c r="M11" t="s">
        <v>24</v>
      </c>
    </row>
    <row r="12" spans="1:13" x14ac:dyDescent="0.3">
      <c r="A12" s="1" t="s">
        <v>10</v>
      </c>
      <c r="B12" t="s">
        <v>20</v>
      </c>
      <c r="C12" t="s">
        <v>24</v>
      </c>
      <c r="D12" t="s">
        <v>24</v>
      </c>
      <c r="E12" t="s">
        <v>24</v>
      </c>
      <c r="F12" t="s">
        <v>22</v>
      </c>
      <c r="G12" t="s">
        <v>15</v>
      </c>
      <c r="H12" t="s">
        <v>15</v>
      </c>
      <c r="I12" t="s">
        <v>16</v>
      </c>
      <c r="J12" t="s">
        <v>24</v>
      </c>
      <c r="K12" t="s">
        <v>71</v>
      </c>
      <c r="L12">
        <v>0</v>
      </c>
      <c r="M12" t="s">
        <v>13</v>
      </c>
    </row>
    <row r="13" spans="1:13" x14ac:dyDescent="0.3">
      <c r="A13" s="1" t="s">
        <v>11</v>
      </c>
      <c r="B13" t="s">
        <v>20</v>
      </c>
      <c r="C13" t="s">
        <v>62</v>
      </c>
      <c r="D13" t="s">
        <v>23</v>
      </c>
      <c r="E13" t="s">
        <v>20</v>
      </c>
      <c r="F13" t="s">
        <v>16</v>
      </c>
      <c r="G13" t="s">
        <v>16</v>
      </c>
      <c r="H13" t="s">
        <v>22</v>
      </c>
      <c r="I13" t="s">
        <v>23</v>
      </c>
      <c r="J13" t="s">
        <v>71</v>
      </c>
      <c r="K13" t="s">
        <v>24</v>
      </c>
      <c r="L13" t="s">
        <v>24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(0,1673; 0,251; 0,3347)</v>
      </c>
      <c r="D16" t="str">
        <f>VLOOKUP(D2,'Thang đánh giá'!$C$2:$D$27,2,FALSE)</f>
        <v>(0,1673; 0,251; 0,3347)</v>
      </c>
      <c r="E16" t="str">
        <f>VLOOKUP(E2,'Thang đánh giá'!$C$2:$D$27,2,FALSE)</f>
        <v>(0; 0,0548; 0,1095)</v>
      </c>
      <c r="F16" t="str">
        <f>VLOOKUP(F2,'Thang đánh giá'!$C$2:$D$27,2,FALSE)</f>
        <v>(0; 0; 0,0707)</v>
      </c>
      <c r="G16" t="str">
        <f>VLOOKUP(G2,'Thang đánh giá'!$C$2:$D$27,2,FALSE)</f>
        <v>(0; 0; 0,0707)</v>
      </c>
      <c r="H16" t="str">
        <f>VLOOKUP(H2,'Thang đánh giá'!$C$2:$D$27,2,FALSE)</f>
        <v>(0; 0; 0,0707)</v>
      </c>
      <c r="I16" t="str">
        <f>VLOOKUP(I2,'Thang đánh giá'!$C$2:$D$27,2,FALSE)</f>
        <v>(0; 0; 0,0316)</v>
      </c>
      <c r="J16" t="str">
        <f>VLOOKUP(J2,'Thang đánh giá'!$C$2:$D$27,2,FALSE)</f>
        <v>(0,1673; 0,251; 0,3347)</v>
      </c>
      <c r="K16" t="str">
        <f>VLOOKUP(K2,'Thang đánh giá'!$C$2:$D$27,2,FALSE)</f>
        <v>(0; 0,0548; 0,1095)</v>
      </c>
      <c r="L16" t="str">
        <f>VLOOKUP(L2,'Thang đánh giá'!$C$2:$D$27,2,FALSE)</f>
        <v>(0; 0,0548; 0,1095)</v>
      </c>
      <c r="M16" t="str">
        <f>VLOOKUP(M2,'Thang đánh giá'!$C$2:$D$27,2,FALSE)</f>
        <v>(0; 0; 0,0548)</v>
      </c>
    </row>
    <row r="17" spans="1:13" x14ac:dyDescent="0.3">
      <c r="A17" t="s">
        <v>1</v>
      </c>
      <c r="B17" t="str">
        <f>VLOOKUP(B3,'Thang đánh giá'!$C$2:$D$27,2,FALSE)</f>
        <v>(0,0707; 0,1414; 0,2121)</v>
      </c>
      <c r="C17" t="str">
        <f>VLOOKUP(C3,'Thang đánh giá'!$C$2:$D$27,2,FALSE)</f>
        <v>(0; 0; 0)</v>
      </c>
      <c r="D17" t="str">
        <f>VLOOKUP(D3,'Thang đánh giá'!$C$2:$D$27,2,FALSE)</f>
        <v>(0,2846; 0,3795; 0,3795)</v>
      </c>
      <c r="E17" t="str">
        <f>VLOOKUP(E3,'Thang đánh giá'!$C$2:$D$27,2,FALSE)</f>
        <v>(0,2846; 0,3795; 0,3795)</v>
      </c>
      <c r="F17" t="str">
        <f>VLOOKUP(F3,'Thang đánh giá'!$C$2:$D$27,2,FALSE)</f>
        <v>(0; 0,0707; 0,1414)</v>
      </c>
      <c r="G17" t="str">
        <f>VLOOKUP(G3,'Thang đánh giá'!$C$2:$D$27,2,FALSE)</f>
        <v>(0,251; 0,3347; 0,3347)</v>
      </c>
      <c r="H17" t="str">
        <f>VLOOKUP(H3,'Thang đánh giá'!$C$2:$D$27,2,FALSE)</f>
        <v>(0,251; 0,3347; 0,3347)</v>
      </c>
      <c r="I17" t="str">
        <f>VLOOKUP(I3,'Thang đánh giá'!$C$2:$D$27,2,FALSE)</f>
        <v>(0; 0,0707; 0,1414)</v>
      </c>
      <c r="J17" t="str">
        <f>VLOOKUP(J3,'Thang đánh giá'!$C$2:$D$27,2,FALSE)</f>
        <v>(0,251; 0,3347; 0,3347)</v>
      </c>
      <c r="K17" t="str">
        <f>VLOOKUP(K3,'Thang đánh giá'!$C$2:$D$27,2,FALSE)</f>
        <v>(0,251; 0,3347; 0,3347)</v>
      </c>
      <c r="L17" t="str">
        <f>VLOOKUP(L3,'Thang đánh giá'!$C$2:$D$27,2,FALSE)</f>
        <v>(0,251; 0,3347; 0,3347)</v>
      </c>
      <c r="M17" t="str">
        <f>VLOOKUP(M3,'Thang đánh giá'!$C$2:$D$27,2,FALSE)</f>
        <v>(0,1673; 0,251; 0,3347)</v>
      </c>
    </row>
    <row r="18" spans="1:13" x14ac:dyDescent="0.3">
      <c r="A18" t="s">
        <v>2</v>
      </c>
      <c r="B18" t="str">
        <f>VLOOKUP(B4,'Thang đánh giá'!$C$2:$D$27,2,FALSE)</f>
        <v>(0,1673; 0,251; 0,3347)</v>
      </c>
      <c r="C18" t="str">
        <f>VLOOKUP(C4,'Thang đánh giá'!$C$2:$D$27,2,FALSE)</f>
        <v>(0; 0; 0,0316)</v>
      </c>
      <c r="D18" t="str">
        <f>VLOOKUP(D4,'Thang đánh giá'!$C$2:$D$27,2,FALSE)</f>
        <v>(0; 0; 0)</v>
      </c>
      <c r="E18" t="str">
        <f>VLOOKUP(E4,'Thang đánh giá'!$C$2:$D$27,2,FALSE)</f>
        <v>(0; 0; 0,0548)</v>
      </c>
      <c r="F18" t="str">
        <f>VLOOKUP(F4,'Thang đánh giá'!$C$2:$D$27,2,FALSE)</f>
        <v>(0; 0,0707; 0,1414)</v>
      </c>
      <c r="G18" t="str">
        <f>VLOOKUP(G4,'Thang đánh giá'!$C$2:$D$27,2,FALSE)</f>
        <v>(0,1673; 0,251; 0,3347)</v>
      </c>
      <c r="H18" t="str">
        <f>VLOOKUP(H4,'Thang đánh giá'!$C$2:$D$27,2,FALSE)</f>
        <v>(0; 0; 0,0548)</v>
      </c>
      <c r="I18" t="str">
        <f>VLOOKUP(I4,'Thang đánh giá'!$C$2:$D$27,2,FALSE)</f>
        <v>(0,0707; 0,1414; 0,2121)</v>
      </c>
      <c r="J18" t="str">
        <f>VLOOKUP(J4,'Thang đánh giá'!$C$2:$D$27,2,FALSE)</f>
        <v>(0,2846; 0,3795; 0,3795)</v>
      </c>
      <c r="K18" t="str">
        <f>VLOOKUP(K4,'Thang đánh giá'!$C$2:$D$27,2,FALSE)</f>
        <v>(0,2846; 0,3795; 0,3795)</v>
      </c>
      <c r="L18" t="str">
        <f>VLOOKUP(L4,'Thang đánh giá'!$C$2:$D$27,2,FALSE)</f>
        <v>(0,1673; 0,251; 0,3347)</v>
      </c>
      <c r="M18" t="str">
        <f>VLOOKUP(M4,'Thang đánh giá'!$C$2:$D$27,2,FALSE)</f>
        <v>(0,2846; 0,3795; 0,3795)</v>
      </c>
    </row>
    <row r="19" spans="1:13" x14ac:dyDescent="0.3">
      <c r="A19" t="s">
        <v>3</v>
      </c>
      <c r="B19" t="str">
        <f>VLOOKUP(B5,'Thang đánh giá'!$C$2:$D$27,2,FALSE)</f>
        <v>(0,2846; 0,3795; 0,3795)</v>
      </c>
      <c r="C19" t="str">
        <f>VLOOKUP(C5,'Thang đánh giá'!$C$2:$D$27,2,FALSE)</f>
        <v>(0,2846; 0,3795; 0,3795)</v>
      </c>
      <c r="D19" t="str">
        <f>VLOOKUP(D5,'Thang đánh giá'!$C$2:$D$27,2,FALSE)</f>
        <v>(0,2846; 0,3795; 0,3795)</v>
      </c>
      <c r="E19" t="str">
        <f>VLOOKUP(E5,'Thang đánh giá'!$C$2:$D$27,2,FALSE)</f>
        <v>(0; 0; 0)</v>
      </c>
      <c r="F19" t="str">
        <f>VLOOKUP(F5,'Thang đánh giá'!$C$2:$D$27,2,FALSE)</f>
        <v>(0,0837; 0,1673; 0,251)</v>
      </c>
      <c r="G19" t="str">
        <f>VLOOKUP(G5,'Thang đánh giá'!$C$2:$D$27,2,FALSE)</f>
        <v>(0,2846; 0,3795; 0,3795)</v>
      </c>
      <c r="H19" t="str">
        <f>VLOOKUP(H5,'Thang đánh giá'!$C$2:$D$27,2,FALSE)</f>
        <v>(0,2846; 0,3795; 0,3795)</v>
      </c>
      <c r="I19" t="str">
        <f>VLOOKUP(I5,'Thang đánh giá'!$C$2:$D$27,2,FALSE)</f>
        <v>(0,2846; 0,3795; 0,3795)</v>
      </c>
      <c r="J19" t="str">
        <f>VLOOKUP(J5,'Thang đánh giá'!$C$2:$D$27,2,FALSE)</f>
        <v>(0,2846; 0,3795; 0,3795)</v>
      </c>
      <c r="K19" t="str">
        <f>VLOOKUP(K5,'Thang đánh giá'!$C$2:$D$27,2,FALSE)</f>
        <v>(0,2846; 0,3795; 0,3795)</v>
      </c>
      <c r="L19" t="str">
        <f>VLOOKUP(L5,'Thang đánh giá'!$C$2:$D$27,2,FALSE)</f>
        <v>(0,2846; 0,3795; 0,3795)</v>
      </c>
      <c r="M19" t="str">
        <f>VLOOKUP(M5,'Thang đánh giá'!$C$2:$D$27,2,FALSE)</f>
        <v>(0,1897; 0,2846; 0,3795)</v>
      </c>
    </row>
    <row r="20" spans="1:13" x14ac:dyDescent="0.3">
      <c r="A20" t="s">
        <v>4</v>
      </c>
      <c r="B20" t="str">
        <f>VLOOKUP(B6,'Thang đánh giá'!$C$2:$D$27,2,FALSE)</f>
        <v>(0; 0,0316; 0,0632)</v>
      </c>
      <c r="C20" t="str">
        <f>VLOOKUP(C6,'Thang đánh giá'!$C$2:$D$27,2,FALSE)</f>
        <v>(0; 0; 0,0548)</v>
      </c>
      <c r="D20" t="str">
        <f>VLOOKUP(D6,'Thang đánh giá'!$C$2:$D$27,2,FALSE)</f>
        <v>(0; 0,0707; 0,1414)</v>
      </c>
      <c r="E20" t="str">
        <f>VLOOKUP(E6,'Thang đánh giá'!$C$2:$D$27,2,FALSE)</f>
        <v>(0,0707; 0,1414; 0,2121)</v>
      </c>
      <c r="F20" t="str">
        <f>VLOOKUP(F6,'Thang đánh giá'!$C$2:$D$27,2,FALSE)</f>
        <v>(0; 0; 0)</v>
      </c>
      <c r="G20" t="str">
        <f>VLOOKUP(G6,'Thang đánh giá'!$C$2:$D$27,2,FALSE)</f>
        <v>(0,0837; 0,1673; 0,251)</v>
      </c>
      <c r="H20" t="str">
        <f>VLOOKUP(H6,'Thang đánh giá'!$C$2:$D$27,2,FALSE)</f>
        <v>(0; 0; 0,0707)</v>
      </c>
      <c r="I20" t="str">
        <f>VLOOKUP(I6,'Thang đánh giá'!$C$2:$D$27,2,FALSE)</f>
        <v>(0; 0,0707; 0,1414)</v>
      </c>
      <c r="J20" t="str">
        <f>VLOOKUP(J6,'Thang đánh giá'!$C$2:$D$27,2,FALSE)</f>
        <v>(0,1673; 0,251; 0,3347)</v>
      </c>
      <c r="K20" t="str">
        <f>VLOOKUP(K6,'Thang đánh giá'!$C$2:$D$27,2,FALSE)</f>
        <v>(0,1897; 0,2846; 0,3795)</v>
      </c>
      <c r="L20" t="str">
        <f>VLOOKUP(L6,'Thang đánh giá'!$C$2:$D$27,2,FALSE)</f>
        <v>(0; 0; 0,0707)</v>
      </c>
      <c r="M20" t="str">
        <f>VLOOKUP(M6,'Thang đánh giá'!$C$2:$D$27,2,FALSE)</f>
        <v>(0,0707; 0,1414; 0,2121)</v>
      </c>
    </row>
    <row r="21" spans="1:13" x14ac:dyDescent="0.3">
      <c r="A21" t="s">
        <v>5</v>
      </c>
      <c r="B21" t="str">
        <f>VLOOKUP(B7,'Thang đánh giá'!$C$2:$D$27,2,FALSE)</f>
        <v>(0; 0,0837; 0,1673)</v>
      </c>
      <c r="C21" t="str">
        <f>VLOOKUP(C7,'Thang đánh giá'!$C$2:$D$27,2,FALSE)</f>
        <v>(0; 0; 0,0707)</v>
      </c>
      <c r="D21" t="str">
        <f>VLOOKUP(D7,'Thang đánh giá'!$C$2:$D$27,2,FALSE)</f>
        <v>(0; 0; 0,0837)</v>
      </c>
      <c r="E21" t="str">
        <f>VLOOKUP(E7,'Thang đánh giá'!$C$2:$D$27,2,FALSE)</f>
        <v>(0,0707; 0,1414; 0,2121)</v>
      </c>
      <c r="F21" t="str">
        <f>VLOOKUP(F7,'Thang đánh giá'!$C$2:$D$27,2,FALSE)</f>
        <v>(0; 0,0316; 0,0632)</v>
      </c>
      <c r="G21" t="str">
        <f>VLOOKUP(G7,'Thang đánh giá'!$C$2:$D$27,2,FALSE)</f>
        <v>(0; 0; 0)</v>
      </c>
      <c r="H21" t="str">
        <f>VLOOKUP(H7,'Thang đánh giá'!$C$2:$D$27,2,FALSE)</f>
        <v>(0; 0; 0,0548)</v>
      </c>
      <c r="I21" t="str">
        <f>VLOOKUP(I7,'Thang đánh giá'!$C$2:$D$27,2,FALSE)</f>
        <v>(0; 0; 0,0837)</v>
      </c>
      <c r="J21" t="str">
        <f>VLOOKUP(J7,'Thang đánh giá'!$C$2:$D$27,2,FALSE)</f>
        <v>(0,251; 0,3347; 0,3347)</v>
      </c>
      <c r="K21" t="str">
        <f>VLOOKUP(K7,'Thang đánh giá'!$C$2:$D$27,2,FALSE)</f>
        <v>(0; 0,0548; 0,1095)</v>
      </c>
      <c r="L21" t="str">
        <f>VLOOKUP(L7,'Thang đánh giá'!$C$2:$D$27,2,FALSE)</f>
        <v>(0; 0; 0,0548)</v>
      </c>
      <c r="M21" t="str">
        <f>VLOOKUP(M7,'Thang đánh giá'!$C$2:$D$27,2,FALSE)</f>
        <v>(0; 0,0707; 0,1414)</v>
      </c>
    </row>
    <row r="22" spans="1:13" x14ac:dyDescent="0.3">
      <c r="A22" t="s">
        <v>6</v>
      </c>
      <c r="B22" t="str">
        <f>VLOOKUP(B8,'Thang đánh giá'!$C$2:$D$27,2,FALSE)</f>
        <v>(0; 0,0316; 0,0632)</v>
      </c>
      <c r="C22" t="str">
        <f>VLOOKUP(C8,'Thang đánh giá'!$C$2:$D$27,2,FALSE)</f>
        <v>(0; 0,0707; 0,1414)</v>
      </c>
      <c r="D22" t="str">
        <f>VLOOKUP(D8,'Thang đánh giá'!$C$2:$D$27,2,FALSE)</f>
        <v>(0; 0; 0,0707)</v>
      </c>
      <c r="E22" t="str">
        <f>VLOOKUP(E8,'Thang đánh giá'!$C$2:$D$27,2,FALSE)</f>
        <v>(0; 0; 0,0837)</v>
      </c>
      <c r="F22" t="str">
        <f>VLOOKUP(F8,'Thang đánh giá'!$C$2:$D$27,2,FALSE)</f>
        <v>(0,0707; 0,1414; 0,2121)</v>
      </c>
      <c r="G22" t="str">
        <f>VLOOKUP(G8,'Thang đánh giá'!$C$2:$D$27,2,FALSE)</f>
        <v>(0; 0; 0,0548)</v>
      </c>
      <c r="H22" t="str">
        <f>VLOOKUP(H8,'Thang đánh giá'!$C$2:$D$27,2,FALSE)</f>
        <v>(0; 0; 0)</v>
      </c>
      <c r="I22" t="str">
        <f>VLOOKUP(I8,'Thang đánh giá'!$C$2:$D$27,2,FALSE)</f>
        <v>(0,0707; 0,1414; 0,2121)</v>
      </c>
      <c r="J22" t="str">
        <f>VLOOKUP(J8,'Thang đánh giá'!$C$2:$D$27,2,FALSE)</f>
        <v>(0; 0,0548; 0,1095)</v>
      </c>
      <c r="K22" t="str">
        <f>VLOOKUP(K8,'Thang đánh giá'!$C$2:$D$27,2,FALSE)</f>
        <v>(0; 0; 0,0707)</v>
      </c>
      <c r="L22" t="str">
        <f>VLOOKUP(L8,'Thang đánh giá'!$C$2:$D$27,2,FALSE)</f>
        <v>(0; 0,0316; 0,0632)</v>
      </c>
      <c r="M22" t="str">
        <f>VLOOKUP(M8,'Thang đánh giá'!$C$2:$D$27,2,FALSE)</f>
        <v>(0; 0; 0,0707)</v>
      </c>
    </row>
    <row r="23" spans="1:13" x14ac:dyDescent="0.3">
      <c r="A23" t="s">
        <v>7</v>
      </c>
      <c r="B23" t="str">
        <f>VLOOKUP(B9,'Thang đánh giá'!$C$2:$D$27,2,FALSE)</f>
        <v>(0; 0,0707; 0,1414)</v>
      </c>
      <c r="C23" t="str">
        <f>VLOOKUP(C9,'Thang đánh giá'!$C$2:$D$27,2,FALSE)</f>
        <v>(0; 0,0707; 0,1414)</v>
      </c>
      <c r="D23" t="str">
        <f>VLOOKUP(D9,'Thang đánh giá'!$C$2:$D$27,2,FALSE)</f>
        <v>(0; 0; 0,0548)</v>
      </c>
      <c r="E23" t="str">
        <f>VLOOKUP(E9,'Thang đánh giá'!$C$2:$D$27,2,FALSE)</f>
        <v>(0; 0; 0,0707)</v>
      </c>
      <c r="F23" t="str">
        <f>VLOOKUP(F9,'Thang đánh giá'!$C$2:$D$27,2,FALSE)</f>
        <v>(0,0707; 0,1414; 0,2121)</v>
      </c>
      <c r="G23" t="str">
        <f>VLOOKUP(G9,'Thang đánh giá'!$C$2:$D$27,2,FALSE)</f>
        <v>(0; 0,0548; 0,1095)</v>
      </c>
      <c r="H23" t="str">
        <f>VLOOKUP(H9,'Thang đánh giá'!$C$2:$D$27,2,FALSE)</f>
        <v>(0; 0; 0,0316)</v>
      </c>
      <c r="I23" t="str">
        <f>VLOOKUP(I9,'Thang đánh giá'!$C$2:$D$27,2,FALSE)</f>
        <v>(0; 0; 0)</v>
      </c>
      <c r="J23" t="str">
        <f>VLOOKUP(J9,'Thang đánh giá'!$C$2:$D$27,2,FALSE)</f>
        <v>(0; 0; 0,0707)</v>
      </c>
      <c r="K23" t="str">
        <f>VLOOKUP(K9,'Thang đánh giá'!$C$2:$D$27,2,FALSE)</f>
        <v>(0,1897; 0,2846; 0,3795)</v>
      </c>
      <c r="L23" t="str">
        <f>VLOOKUP(L9,'Thang đánh giá'!$C$2:$D$27,2,FALSE)</f>
        <v>(0,1897; 0,2846; 0,3795)</v>
      </c>
      <c r="M23" t="str">
        <f>VLOOKUP(M9,'Thang đánh giá'!$C$2:$D$27,2,FALSE)</f>
        <v>(0,1897; 0,2846; 0,3795)</v>
      </c>
    </row>
    <row r="24" spans="1:13" x14ac:dyDescent="0.3">
      <c r="A24" t="s">
        <v>8</v>
      </c>
      <c r="B24" t="str">
        <f>VLOOKUP(B10,'Thang đánh giá'!$C$2:$D$27,2,FALSE)</f>
        <v>(0,0837; 0,1673; 0,251)</v>
      </c>
      <c r="C24" t="str">
        <f>VLOOKUP(C10,'Thang đánh giá'!$C$2:$D$27,2,FALSE)</f>
        <v>(0; 0,0548; 0,1095)</v>
      </c>
      <c r="D24" t="str">
        <f>VLOOKUP(D10,'Thang đánh giá'!$C$2:$D$27,2,FALSE)</f>
        <v>(0; 0,0837; 0,1673)</v>
      </c>
      <c r="E24" t="str">
        <f>VLOOKUP(E10,'Thang đánh giá'!$C$2:$D$27,2,FALSE)</f>
        <v>(0; 0,0707; 0,1414)</v>
      </c>
      <c r="F24" t="str">
        <f>VLOOKUP(F10,'Thang đánh giá'!$C$2:$D$27,2,FALSE)</f>
        <v>(0; 0,0316; 0,0632)</v>
      </c>
      <c r="G24" t="str">
        <f>VLOOKUP(G10,'Thang đánh giá'!$C$2:$D$27,2,FALSE)</f>
        <v>(0; 0; 0,0707)</v>
      </c>
      <c r="H24" t="str">
        <f>VLOOKUP(H10,'Thang đánh giá'!$C$2:$D$27,2,FALSE)</f>
        <v>(0,2846; 0,3795; 0,3795)</v>
      </c>
      <c r="I24" t="str">
        <f>VLOOKUP(I10,'Thang đánh giá'!$C$2:$D$27,2,FALSE)</f>
        <v>(0; 0,0548; 0,1095)</v>
      </c>
      <c r="J24" t="str">
        <f>VLOOKUP(J10,'Thang đánh giá'!$C$2:$D$27,2,FALSE)</f>
        <v>(0; 0; 0)</v>
      </c>
      <c r="K24" t="str">
        <f>VLOOKUP(K10,'Thang đánh giá'!$C$2:$D$27,2,FALSE)</f>
        <v>(0,251; 0,3347; 0,3347)</v>
      </c>
      <c r="L24" t="str">
        <f>VLOOKUP(L10,'Thang đánh giá'!$C$2:$D$27,2,FALSE)</f>
        <v>(0,1673; 0,251; 0,3347)</v>
      </c>
      <c r="M24" t="str">
        <f>VLOOKUP(M10,'Thang đánh giá'!$C$2:$D$27,2,FALSE)</f>
        <v>(0,2846; 0,3795; 0,3795)</v>
      </c>
    </row>
    <row r="25" spans="1:13" x14ac:dyDescent="0.3">
      <c r="A25" t="s">
        <v>9</v>
      </c>
      <c r="B25" t="str">
        <f>VLOOKUP(B11,'Thang đánh giá'!$C$2:$D$27,2,FALSE)</f>
        <v>(0; 0; 0,0548)</v>
      </c>
      <c r="C25" t="str">
        <f>VLOOKUP(C11,'Thang đánh giá'!$C$2:$D$27,2,FALSE)</f>
        <v>(0; 0,0707; 0,1414)</v>
      </c>
      <c r="D25" t="str">
        <f>VLOOKUP(D11,'Thang đánh giá'!$C$2:$D$27,2,FALSE)</f>
        <v>(0; 0,0707; 0,1414)</v>
      </c>
      <c r="E25" t="str">
        <f>VLOOKUP(E11,'Thang đánh giá'!$C$2:$D$27,2,FALSE)</f>
        <v>(0,0707; 0,1414; 0,2121)</v>
      </c>
      <c r="F25" t="str">
        <f>VLOOKUP(F11,'Thang đánh giá'!$C$2:$D$27,2,FALSE)</f>
        <v>(0; 0; 0,0707)</v>
      </c>
      <c r="G25" t="str">
        <f>VLOOKUP(G11,'Thang đánh giá'!$C$2:$D$27,2,FALSE)</f>
        <v>(0,0837; 0,1673; 0,251)</v>
      </c>
      <c r="H25" t="str">
        <f>VLOOKUP(H11,'Thang đánh giá'!$C$2:$D$27,2,FALSE)</f>
        <v>(0; 0,0548; 0,1095)</v>
      </c>
      <c r="I25" t="str">
        <f>VLOOKUP(I11,'Thang đánh giá'!$C$2:$D$27,2,FALSE)</f>
        <v>(0; 0; 0,0707)</v>
      </c>
      <c r="J25" t="str">
        <f>VLOOKUP(J11,'Thang đánh giá'!$C$2:$D$27,2,FALSE)</f>
        <v>(0; 0; 0,0548)</v>
      </c>
      <c r="K25" t="str">
        <f>VLOOKUP(K11,'Thang đánh giá'!$C$2:$D$27,2,FALSE)</f>
        <v>(0; 0; 0)</v>
      </c>
      <c r="L25" t="str">
        <f>VLOOKUP(L11,'Thang đánh giá'!$C$2:$D$27,2,FALSE)</f>
        <v>(0,0707; 0,1414; 0,2121)</v>
      </c>
      <c r="M25" t="str">
        <f>VLOOKUP(M11,'Thang đánh giá'!$C$2:$D$27,2,FALSE)</f>
        <v>(0; 0; 0,0548)</v>
      </c>
    </row>
    <row r="26" spans="1:13" x14ac:dyDescent="0.3">
      <c r="A26" t="s">
        <v>10</v>
      </c>
      <c r="B26" t="str">
        <f>VLOOKUP(B12,'Thang đánh giá'!$C$2:$D$27,2,FALSE)</f>
        <v>(0; 0,0548; 0,1095)</v>
      </c>
      <c r="C26" t="str">
        <f>VLOOKUP(C12,'Thang đánh giá'!$C$2:$D$27,2,FALSE)</f>
        <v>(0; 0; 0,0548)</v>
      </c>
      <c r="D26" t="str">
        <f>VLOOKUP(D12,'Thang đánh giá'!$C$2:$D$27,2,FALSE)</f>
        <v>(0; 0; 0,0548)</v>
      </c>
      <c r="E26" t="str">
        <f>VLOOKUP(E12,'Thang đánh giá'!$C$2:$D$27,2,FALSE)</f>
        <v>(0; 0; 0,0548)</v>
      </c>
      <c r="F26" t="str">
        <f>VLOOKUP(F12,'Thang đánh giá'!$C$2:$D$27,2,FALSE)</f>
        <v>(0,0707; 0,1414; 0,2121)</v>
      </c>
      <c r="G26" t="str">
        <f>VLOOKUP(G12,'Thang đánh giá'!$C$2:$D$27,2,FALSE)</f>
        <v>(0; 0,0707; 0,1414)</v>
      </c>
      <c r="H26" t="str">
        <f>VLOOKUP(H12,'Thang đánh giá'!$C$2:$D$27,2,FALSE)</f>
        <v>(0; 0,0707; 0,1414)</v>
      </c>
      <c r="I26" t="str">
        <f>VLOOKUP(I12,'Thang đánh giá'!$C$2:$D$27,2,FALSE)</f>
        <v>(0; 0; 0,0707)</v>
      </c>
      <c r="J26" t="str">
        <f>VLOOKUP(J12,'Thang đánh giá'!$C$2:$D$27,2,FALSE)</f>
        <v>(0; 0; 0,0548)</v>
      </c>
      <c r="K26" t="str">
        <f>VLOOKUP(K12,'Thang đánh giá'!$C$2:$D$27,2,FALSE)</f>
        <v>(0; 0; 0,0837)</v>
      </c>
      <c r="L26" t="str">
        <f>VLOOKUP(L12,'Thang đánh giá'!$C$2:$D$27,2,FALSE)</f>
        <v>(0; 0; 0)</v>
      </c>
      <c r="M26" t="str">
        <f>VLOOKUP(M12,'Thang đánh giá'!$C$2:$D$27,2,FALSE)</f>
        <v>(0,1897; 0,2846; 0,3795)</v>
      </c>
    </row>
    <row r="27" spans="1:13" x14ac:dyDescent="0.3">
      <c r="A27" t="s">
        <v>11</v>
      </c>
      <c r="B27" t="str">
        <f>VLOOKUP(B13,'Thang đánh giá'!$C$2:$D$27,2,FALSE)</f>
        <v>(0; 0,0548; 0,1095)</v>
      </c>
      <c r="C27" t="str">
        <f>VLOOKUP(C13,'Thang đánh giá'!$C$2:$D$27,2,FALSE)</f>
        <v>(0; 0,0837; 0,1673)</v>
      </c>
      <c r="D27" t="str">
        <f>VLOOKUP(D13,'Thang đánh giá'!$C$2:$D$27,2,FALSE)</f>
        <v>(0; 0; 0,0316)</v>
      </c>
      <c r="E27" t="str">
        <f>VLOOKUP(E13,'Thang đánh giá'!$C$2:$D$27,2,FALSE)</f>
        <v>(0; 0,0548; 0,1095)</v>
      </c>
      <c r="F27" t="str">
        <f>VLOOKUP(F13,'Thang đánh giá'!$C$2:$D$27,2,FALSE)</f>
        <v>(0; 0; 0,0707)</v>
      </c>
      <c r="G27" t="str">
        <f>VLOOKUP(G13,'Thang đánh giá'!$C$2:$D$27,2,FALSE)</f>
        <v>(0; 0; 0,0707)</v>
      </c>
      <c r="H27" t="str">
        <f>VLOOKUP(H13,'Thang đánh giá'!$C$2:$D$27,2,FALSE)</f>
        <v>(0,0707; 0,1414; 0,2121)</v>
      </c>
      <c r="I27" t="str">
        <f>VLOOKUP(I13,'Thang đánh giá'!$C$2:$D$27,2,FALSE)</f>
        <v>(0; 0; 0,0316)</v>
      </c>
      <c r="J27" t="str">
        <f>VLOOKUP(J13,'Thang đánh giá'!$C$2:$D$27,2,FALSE)</f>
        <v>(0; 0; 0,0837)</v>
      </c>
      <c r="K27" t="str">
        <f>VLOOKUP(K13,'Thang đánh giá'!$C$2:$D$27,2,FALSE)</f>
        <v>(0; 0; 0,0548)</v>
      </c>
      <c r="L27" t="str">
        <f>VLOOKUP(L13,'Thang đánh giá'!$C$2:$D$27,2,FALSE)</f>
        <v>(0; 0; 0,0548)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0.1673</v>
      </c>
      <c r="D30">
        <f t="shared" si="0"/>
        <v>0.1673</v>
      </c>
      <c r="E30">
        <f t="shared" si="0"/>
        <v>0</v>
      </c>
      <c r="F30">
        <f t="shared" si="0"/>
        <v>0</v>
      </c>
      <c r="G30">
        <f t="shared" si="0"/>
        <v>0</v>
      </c>
      <c r="H30">
        <f t="shared" si="0"/>
        <v>0</v>
      </c>
      <c r="I30">
        <f t="shared" si="0"/>
        <v>0</v>
      </c>
      <c r="J30">
        <f t="shared" si="0"/>
        <v>0.1673</v>
      </c>
      <c r="K30">
        <f t="shared" si="0"/>
        <v>0</v>
      </c>
      <c r="L30">
        <f t="shared" si="0"/>
        <v>0</v>
      </c>
      <c r="M30">
        <f t="shared" si="0"/>
        <v>0</v>
      </c>
    </row>
    <row r="31" spans="1:13" x14ac:dyDescent="0.3">
      <c r="A31" t="s">
        <v>1</v>
      </c>
      <c r="B31">
        <f t="shared" ref="B31:M41" si="1">_xlfn.NUMBERVALUE(MID(B17,2,FIND(";",B17,1)-2))</f>
        <v>7.0699999999999999E-2</v>
      </c>
      <c r="C31">
        <f t="shared" si="1"/>
        <v>0</v>
      </c>
      <c r="D31">
        <f t="shared" si="1"/>
        <v>0.28460000000000002</v>
      </c>
      <c r="E31">
        <f t="shared" si="1"/>
        <v>0.28460000000000002</v>
      </c>
      <c r="F31">
        <f t="shared" si="1"/>
        <v>0</v>
      </c>
      <c r="G31">
        <f t="shared" si="1"/>
        <v>0.251</v>
      </c>
      <c r="H31">
        <f t="shared" si="1"/>
        <v>0.251</v>
      </c>
      <c r="I31">
        <f t="shared" si="1"/>
        <v>0</v>
      </c>
      <c r="J31">
        <f t="shared" si="1"/>
        <v>0.251</v>
      </c>
      <c r="K31">
        <f t="shared" si="1"/>
        <v>0.251</v>
      </c>
      <c r="L31">
        <f t="shared" si="1"/>
        <v>0.251</v>
      </c>
      <c r="M31">
        <f t="shared" si="1"/>
        <v>0.1673</v>
      </c>
    </row>
    <row r="32" spans="1:13" x14ac:dyDescent="0.3">
      <c r="A32" t="s">
        <v>2</v>
      </c>
      <c r="B32">
        <f t="shared" si="1"/>
        <v>0.1673</v>
      </c>
      <c r="C32">
        <f t="shared" si="1"/>
        <v>0</v>
      </c>
      <c r="D32">
        <f t="shared" si="1"/>
        <v>0</v>
      </c>
      <c r="E32">
        <f t="shared" si="1"/>
        <v>0</v>
      </c>
      <c r="F32">
        <f t="shared" si="1"/>
        <v>0</v>
      </c>
      <c r="G32">
        <f t="shared" si="1"/>
        <v>0.1673</v>
      </c>
      <c r="H32">
        <f t="shared" si="1"/>
        <v>0</v>
      </c>
      <c r="I32">
        <f t="shared" si="1"/>
        <v>7.0699999999999999E-2</v>
      </c>
      <c r="J32">
        <f t="shared" si="1"/>
        <v>0.28460000000000002</v>
      </c>
      <c r="K32">
        <f t="shared" si="1"/>
        <v>0.28460000000000002</v>
      </c>
      <c r="L32">
        <f t="shared" si="1"/>
        <v>0.1673</v>
      </c>
      <c r="M32">
        <f t="shared" si="1"/>
        <v>0.28460000000000002</v>
      </c>
    </row>
    <row r="33" spans="1:13" x14ac:dyDescent="0.3">
      <c r="A33" t="s">
        <v>3</v>
      </c>
      <c r="B33">
        <f t="shared" si="1"/>
        <v>0.28460000000000002</v>
      </c>
      <c r="C33">
        <f t="shared" si="1"/>
        <v>0.28460000000000002</v>
      </c>
      <c r="D33">
        <f t="shared" si="1"/>
        <v>0.28460000000000002</v>
      </c>
      <c r="E33">
        <f t="shared" si="1"/>
        <v>0</v>
      </c>
      <c r="F33">
        <f t="shared" si="1"/>
        <v>8.3699999999999997E-2</v>
      </c>
      <c r="G33">
        <f t="shared" si="1"/>
        <v>0.28460000000000002</v>
      </c>
      <c r="H33">
        <f t="shared" si="1"/>
        <v>0.28460000000000002</v>
      </c>
      <c r="I33">
        <f t="shared" si="1"/>
        <v>0.28460000000000002</v>
      </c>
      <c r="J33">
        <f t="shared" si="1"/>
        <v>0.28460000000000002</v>
      </c>
      <c r="K33">
        <f t="shared" si="1"/>
        <v>0.28460000000000002</v>
      </c>
      <c r="L33">
        <f t="shared" si="1"/>
        <v>0.28460000000000002</v>
      </c>
      <c r="M33">
        <f t="shared" si="1"/>
        <v>0.18970000000000001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0</v>
      </c>
      <c r="D34">
        <f t="shared" si="2"/>
        <v>0</v>
      </c>
      <c r="E34">
        <f t="shared" si="2"/>
        <v>7.0699999999999999E-2</v>
      </c>
      <c r="F34">
        <f t="shared" si="2"/>
        <v>0</v>
      </c>
      <c r="G34">
        <f t="shared" si="2"/>
        <v>8.3699999999999997E-2</v>
      </c>
      <c r="H34">
        <f t="shared" si="2"/>
        <v>0</v>
      </c>
      <c r="I34">
        <f t="shared" si="2"/>
        <v>0</v>
      </c>
      <c r="J34">
        <f t="shared" si="2"/>
        <v>0.1673</v>
      </c>
      <c r="K34">
        <f t="shared" si="2"/>
        <v>0.18970000000000001</v>
      </c>
      <c r="L34">
        <f t="shared" si="2"/>
        <v>0</v>
      </c>
      <c r="M34">
        <f t="shared" si="2"/>
        <v>7.0699999999999999E-2</v>
      </c>
    </row>
    <row r="35" spans="1:13" x14ac:dyDescent="0.3">
      <c r="A35" t="s">
        <v>5</v>
      </c>
      <c r="B35">
        <f t="shared" si="1"/>
        <v>0</v>
      </c>
      <c r="C35">
        <f t="shared" si="1"/>
        <v>0</v>
      </c>
      <c r="D35">
        <f t="shared" si="1"/>
        <v>0</v>
      </c>
      <c r="E35">
        <f t="shared" si="1"/>
        <v>7.0699999999999999E-2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0</v>
      </c>
      <c r="J35">
        <f t="shared" si="1"/>
        <v>0.251</v>
      </c>
      <c r="K35">
        <f t="shared" si="1"/>
        <v>0</v>
      </c>
      <c r="L35">
        <f t="shared" si="1"/>
        <v>0</v>
      </c>
      <c r="M35">
        <f t="shared" si="1"/>
        <v>0</v>
      </c>
    </row>
    <row r="36" spans="1:13" x14ac:dyDescent="0.3">
      <c r="A36" t="s">
        <v>6</v>
      </c>
      <c r="B36">
        <f t="shared" si="1"/>
        <v>0</v>
      </c>
      <c r="C36">
        <f t="shared" si="1"/>
        <v>0</v>
      </c>
      <c r="D36">
        <f t="shared" si="1"/>
        <v>0</v>
      </c>
      <c r="E36">
        <f t="shared" si="1"/>
        <v>0</v>
      </c>
      <c r="F36">
        <f t="shared" si="1"/>
        <v>7.0699999999999999E-2</v>
      </c>
      <c r="G36">
        <f t="shared" si="1"/>
        <v>0</v>
      </c>
      <c r="H36">
        <f t="shared" si="1"/>
        <v>0</v>
      </c>
      <c r="I36">
        <f t="shared" si="1"/>
        <v>7.0699999999999999E-2</v>
      </c>
      <c r="J36">
        <f t="shared" si="1"/>
        <v>0</v>
      </c>
      <c r="K36">
        <f t="shared" si="1"/>
        <v>0</v>
      </c>
      <c r="L36">
        <f t="shared" si="1"/>
        <v>0</v>
      </c>
      <c r="M36">
        <f t="shared" si="1"/>
        <v>0</v>
      </c>
    </row>
    <row r="37" spans="1:13" x14ac:dyDescent="0.3">
      <c r="A37" t="s">
        <v>7</v>
      </c>
      <c r="B37">
        <f t="shared" si="1"/>
        <v>0</v>
      </c>
      <c r="C37">
        <f t="shared" si="1"/>
        <v>0</v>
      </c>
      <c r="D37">
        <f t="shared" si="1"/>
        <v>0</v>
      </c>
      <c r="E37">
        <f t="shared" si="1"/>
        <v>0</v>
      </c>
      <c r="F37">
        <f t="shared" si="1"/>
        <v>7.0699999999999999E-2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0</v>
      </c>
      <c r="K37">
        <f t="shared" si="1"/>
        <v>0.18970000000000001</v>
      </c>
      <c r="L37">
        <f t="shared" si="1"/>
        <v>0.18970000000000001</v>
      </c>
      <c r="M37">
        <f t="shared" si="1"/>
        <v>0.18970000000000001</v>
      </c>
    </row>
    <row r="38" spans="1:13" x14ac:dyDescent="0.3">
      <c r="A38" t="s">
        <v>8</v>
      </c>
      <c r="B38">
        <f t="shared" si="1"/>
        <v>8.3699999999999997E-2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0.28460000000000002</v>
      </c>
      <c r="I38">
        <f t="shared" si="1"/>
        <v>0</v>
      </c>
      <c r="J38">
        <f t="shared" si="1"/>
        <v>0</v>
      </c>
      <c r="K38">
        <f t="shared" si="1"/>
        <v>0.251</v>
      </c>
      <c r="L38">
        <f t="shared" si="1"/>
        <v>0.1673</v>
      </c>
      <c r="M38">
        <f t="shared" si="1"/>
        <v>0.28460000000000002</v>
      </c>
    </row>
    <row r="39" spans="1:13" x14ac:dyDescent="0.3">
      <c r="A39" t="s">
        <v>9</v>
      </c>
      <c r="B39">
        <f t="shared" si="1"/>
        <v>0</v>
      </c>
      <c r="C39">
        <f t="shared" si="1"/>
        <v>0</v>
      </c>
      <c r="D39">
        <f t="shared" si="1"/>
        <v>0</v>
      </c>
      <c r="E39">
        <f t="shared" si="1"/>
        <v>7.0699999999999999E-2</v>
      </c>
      <c r="F39">
        <f t="shared" si="1"/>
        <v>0</v>
      </c>
      <c r="G39">
        <f t="shared" si="1"/>
        <v>8.3699999999999997E-2</v>
      </c>
      <c r="H39">
        <f t="shared" si="1"/>
        <v>0</v>
      </c>
      <c r="I39">
        <f t="shared" si="1"/>
        <v>0</v>
      </c>
      <c r="J39">
        <f t="shared" si="1"/>
        <v>0</v>
      </c>
      <c r="K39">
        <f t="shared" si="1"/>
        <v>0</v>
      </c>
      <c r="L39">
        <f t="shared" si="1"/>
        <v>7.0699999999999999E-2</v>
      </c>
      <c r="M39">
        <f t="shared" si="1"/>
        <v>0</v>
      </c>
    </row>
    <row r="40" spans="1:13" x14ac:dyDescent="0.3">
      <c r="A40" t="s">
        <v>10</v>
      </c>
      <c r="B40">
        <f t="shared" si="1"/>
        <v>0</v>
      </c>
      <c r="C40">
        <f t="shared" si="1"/>
        <v>0</v>
      </c>
      <c r="D40">
        <f t="shared" si="1"/>
        <v>0</v>
      </c>
      <c r="E40">
        <f t="shared" si="1"/>
        <v>0</v>
      </c>
      <c r="F40">
        <f t="shared" si="1"/>
        <v>7.0699999999999999E-2</v>
      </c>
      <c r="G40">
        <f t="shared" si="1"/>
        <v>0</v>
      </c>
      <c r="H40">
        <f t="shared" si="1"/>
        <v>0</v>
      </c>
      <c r="I40">
        <f t="shared" si="1"/>
        <v>0</v>
      </c>
      <c r="J40">
        <f t="shared" si="1"/>
        <v>0</v>
      </c>
      <c r="K40">
        <f t="shared" si="1"/>
        <v>0</v>
      </c>
      <c r="L40">
        <f t="shared" si="1"/>
        <v>0</v>
      </c>
      <c r="M40">
        <f t="shared" si="1"/>
        <v>0.18970000000000001</v>
      </c>
    </row>
    <row r="41" spans="1:13" x14ac:dyDescent="0.3">
      <c r="A41" t="s">
        <v>11</v>
      </c>
      <c r="B41">
        <f t="shared" si="1"/>
        <v>0</v>
      </c>
      <c r="C41">
        <f t="shared" si="1"/>
        <v>0</v>
      </c>
      <c r="D41">
        <f t="shared" si="1"/>
        <v>0</v>
      </c>
      <c r="E41">
        <f t="shared" si="1"/>
        <v>0</v>
      </c>
      <c r="F41">
        <f t="shared" si="1"/>
        <v>0</v>
      </c>
      <c r="G41">
        <f t="shared" si="1"/>
        <v>0</v>
      </c>
      <c r="H41">
        <f t="shared" si="1"/>
        <v>7.0699999999999999E-2</v>
      </c>
      <c r="I41">
        <f t="shared" si="1"/>
        <v>0</v>
      </c>
      <c r="J41">
        <f t="shared" si="1"/>
        <v>0</v>
      </c>
      <c r="K41">
        <f t="shared" si="1"/>
        <v>0</v>
      </c>
      <c r="L41">
        <f t="shared" si="1"/>
        <v>0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0.251</v>
      </c>
      <c r="D44">
        <f t="shared" si="3"/>
        <v>0.251</v>
      </c>
      <c r="E44">
        <f t="shared" si="3"/>
        <v>5.4800000000000001E-2</v>
      </c>
      <c r="F44">
        <f t="shared" si="3"/>
        <v>0</v>
      </c>
      <c r="G44">
        <f t="shared" si="3"/>
        <v>0</v>
      </c>
      <c r="H44">
        <f t="shared" si="3"/>
        <v>0</v>
      </c>
      <c r="I44">
        <f t="shared" si="3"/>
        <v>0</v>
      </c>
      <c r="J44">
        <f t="shared" si="3"/>
        <v>0.251</v>
      </c>
      <c r="K44">
        <f t="shared" si="3"/>
        <v>5.4800000000000001E-2</v>
      </c>
      <c r="L44">
        <f t="shared" si="3"/>
        <v>5.4800000000000001E-2</v>
      </c>
      <c r="M44">
        <f t="shared" si="3"/>
        <v>0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0.1414</v>
      </c>
      <c r="C45">
        <f t="shared" si="4"/>
        <v>0</v>
      </c>
      <c r="D45">
        <f t="shared" si="4"/>
        <v>0.3795</v>
      </c>
      <c r="E45">
        <f t="shared" si="4"/>
        <v>0.3795</v>
      </c>
      <c r="F45">
        <f t="shared" si="4"/>
        <v>7.0699999999999999E-2</v>
      </c>
      <c r="G45">
        <f t="shared" si="4"/>
        <v>0.3347</v>
      </c>
      <c r="H45">
        <f t="shared" si="4"/>
        <v>0.3347</v>
      </c>
      <c r="I45">
        <f t="shared" si="4"/>
        <v>7.0699999999999999E-2</v>
      </c>
      <c r="J45">
        <f t="shared" si="4"/>
        <v>0.3347</v>
      </c>
      <c r="K45">
        <f t="shared" si="4"/>
        <v>0.3347</v>
      </c>
      <c r="L45">
        <f t="shared" si="4"/>
        <v>0.3347</v>
      </c>
      <c r="M45">
        <f t="shared" si="4"/>
        <v>0.251</v>
      </c>
    </row>
    <row r="46" spans="1:13" x14ac:dyDescent="0.3">
      <c r="A46" t="s">
        <v>2</v>
      </c>
      <c r="B46">
        <f t="shared" si="4"/>
        <v>0.251</v>
      </c>
      <c r="C46">
        <f t="shared" si="4"/>
        <v>0</v>
      </c>
      <c r="D46">
        <f t="shared" si="4"/>
        <v>0</v>
      </c>
      <c r="E46">
        <f t="shared" si="4"/>
        <v>0</v>
      </c>
      <c r="F46">
        <f t="shared" si="4"/>
        <v>7.0699999999999999E-2</v>
      </c>
      <c r="G46">
        <f t="shared" si="4"/>
        <v>0.251</v>
      </c>
      <c r="H46">
        <f t="shared" si="4"/>
        <v>0</v>
      </c>
      <c r="I46">
        <f t="shared" si="4"/>
        <v>0.1414</v>
      </c>
      <c r="J46">
        <f t="shared" si="4"/>
        <v>0.3795</v>
      </c>
      <c r="K46">
        <f t="shared" si="4"/>
        <v>0.3795</v>
      </c>
      <c r="L46">
        <f t="shared" si="4"/>
        <v>0.251</v>
      </c>
      <c r="M46">
        <f t="shared" si="4"/>
        <v>0.3795</v>
      </c>
    </row>
    <row r="47" spans="1:13" x14ac:dyDescent="0.3">
      <c r="A47" t="s">
        <v>3</v>
      </c>
      <c r="B47">
        <f t="shared" si="4"/>
        <v>0.3795</v>
      </c>
      <c r="C47">
        <f t="shared" si="4"/>
        <v>0.3795</v>
      </c>
      <c r="D47">
        <f t="shared" si="4"/>
        <v>0.3795</v>
      </c>
      <c r="E47">
        <f t="shared" si="4"/>
        <v>0</v>
      </c>
      <c r="F47">
        <f t="shared" si="4"/>
        <v>0.1673</v>
      </c>
      <c r="G47">
        <f t="shared" si="4"/>
        <v>0.3795</v>
      </c>
      <c r="H47">
        <f t="shared" si="4"/>
        <v>0.3795</v>
      </c>
      <c r="I47">
        <f t="shared" si="4"/>
        <v>0.3795</v>
      </c>
      <c r="J47">
        <f t="shared" si="4"/>
        <v>0.3795</v>
      </c>
      <c r="K47">
        <f t="shared" si="4"/>
        <v>0.3795</v>
      </c>
      <c r="L47">
        <f t="shared" si="4"/>
        <v>0.3795</v>
      </c>
      <c r="M47">
        <f t="shared" si="4"/>
        <v>0.28460000000000002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3.1600000000000003E-2</v>
      </c>
      <c r="C48">
        <f t="shared" si="5"/>
        <v>0</v>
      </c>
      <c r="D48">
        <f t="shared" si="5"/>
        <v>7.0699999999999999E-2</v>
      </c>
      <c r="E48">
        <f t="shared" si="5"/>
        <v>0.1414</v>
      </c>
      <c r="F48">
        <f t="shared" si="5"/>
        <v>0</v>
      </c>
      <c r="G48">
        <f t="shared" si="5"/>
        <v>0.1673</v>
      </c>
      <c r="H48">
        <f t="shared" si="5"/>
        <v>0</v>
      </c>
      <c r="I48">
        <f t="shared" si="5"/>
        <v>7.0699999999999999E-2</v>
      </c>
      <c r="J48">
        <f t="shared" si="5"/>
        <v>0.251</v>
      </c>
      <c r="K48">
        <f t="shared" si="5"/>
        <v>0.28460000000000002</v>
      </c>
      <c r="L48">
        <f t="shared" si="5"/>
        <v>0</v>
      </c>
      <c r="M48">
        <f t="shared" si="5"/>
        <v>0.1414</v>
      </c>
    </row>
    <row r="49" spans="1:13" x14ac:dyDescent="0.3">
      <c r="A49" t="s">
        <v>5</v>
      </c>
      <c r="B49">
        <f t="shared" si="4"/>
        <v>8.3699999999999997E-2</v>
      </c>
      <c r="C49">
        <f t="shared" si="4"/>
        <v>0</v>
      </c>
      <c r="D49">
        <f t="shared" si="4"/>
        <v>0</v>
      </c>
      <c r="E49">
        <f t="shared" si="4"/>
        <v>0.1414</v>
      </c>
      <c r="F49">
        <f t="shared" si="4"/>
        <v>3.1600000000000003E-2</v>
      </c>
      <c r="G49">
        <f t="shared" si="4"/>
        <v>0</v>
      </c>
      <c r="H49">
        <f t="shared" si="4"/>
        <v>0</v>
      </c>
      <c r="I49">
        <f t="shared" si="4"/>
        <v>0</v>
      </c>
      <c r="J49">
        <f t="shared" si="4"/>
        <v>0.3347</v>
      </c>
      <c r="K49">
        <f t="shared" si="4"/>
        <v>5.4800000000000001E-2</v>
      </c>
      <c r="L49">
        <f t="shared" si="4"/>
        <v>0</v>
      </c>
      <c r="M49">
        <f t="shared" si="4"/>
        <v>7.0699999999999999E-2</v>
      </c>
    </row>
    <row r="50" spans="1:13" x14ac:dyDescent="0.3">
      <c r="A50" t="s">
        <v>6</v>
      </c>
      <c r="B50">
        <f t="shared" si="4"/>
        <v>3.1600000000000003E-2</v>
      </c>
      <c r="C50">
        <f t="shared" si="4"/>
        <v>7.0699999999999999E-2</v>
      </c>
      <c r="D50">
        <f t="shared" si="4"/>
        <v>0</v>
      </c>
      <c r="E50">
        <f t="shared" si="4"/>
        <v>0</v>
      </c>
      <c r="F50">
        <f t="shared" si="4"/>
        <v>0.1414</v>
      </c>
      <c r="G50">
        <f t="shared" si="4"/>
        <v>0</v>
      </c>
      <c r="H50">
        <f t="shared" si="4"/>
        <v>0</v>
      </c>
      <c r="I50">
        <f t="shared" si="4"/>
        <v>0.1414</v>
      </c>
      <c r="J50">
        <f t="shared" si="4"/>
        <v>5.4800000000000001E-2</v>
      </c>
      <c r="K50">
        <f t="shared" si="4"/>
        <v>0</v>
      </c>
      <c r="L50">
        <f t="shared" si="4"/>
        <v>3.1600000000000003E-2</v>
      </c>
      <c r="M50">
        <f t="shared" si="4"/>
        <v>0</v>
      </c>
    </row>
    <row r="51" spans="1:13" x14ac:dyDescent="0.3">
      <c r="A51" t="s">
        <v>7</v>
      </c>
      <c r="B51">
        <f t="shared" si="4"/>
        <v>7.0699999999999999E-2</v>
      </c>
      <c r="C51">
        <f t="shared" si="4"/>
        <v>7.0699999999999999E-2</v>
      </c>
      <c r="D51">
        <f t="shared" si="4"/>
        <v>0</v>
      </c>
      <c r="E51">
        <f t="shared" si="4"/>
        <v>0</v>
      </c>
      <c r="F51">
        <f t="shared" si="4"/>
        <v>0.1414</v>
      </c>
      <c r="G51">
        <f t="shared" si="4"/>
        <v>5.4800000000000001E-2</v>
      </c>
      <c r="H51">
        <f t="shared" si="4"/>
        <v>0</v>
      </c>
      <c r="I51">
        <f t="shared" si="4"/>
        <v>0</v>
      </c>
      <c r="J51">
        <f t="shared" si="4"/>
        <v>0</v>
      </c>
      <c r="K51">
        <f t="shared" si="4"/>
        <v>0.28460000000000002</v>
      </c>
      <c r="L51">
        <f t="shared" si="4"/>
        <v>0.28460000000000002</v>
      </c>
      <c r="M51">
        <f t="shared" si="4"/>
        <v>0.28460000000000002</v>
      </c>
    </row>
    <row r="52" spans="1:13" x14ac:dyDescent="0.3">
      <c r="A52" t="s">
        <v>8</v>
      </c>
      <c r="B52">
        <f t="shared" si="4"/>
        <v>0.1673</v>
      </c>
      <c r="C52">
        <f t="shared" si="4"/>
        <v>5.4800000000000001E-2</v>
      </c>
      <c r="D52">
        <f t="shared" si="4"/>
        <v>8.3699999999999997E-2</v>
      </c>
      <c r="E52">
        <f t="shared" si="4"/>
        <v>7.0699999999999999E-2</v>
      </c>
      <c r="F52">
        <f t="shared" si="4"/>
        <v>3.1600000000000003E-2</v>
      </c>
      <c r="G52">
        <f t="shared" si="4"/>
        <v>0</v>
      </c>
      <c r="H52">
        <f t="shared" si="4"/>
        <v>0.3795</v>
      </c>
      <c r="I52">
        <f t="shared" si="4"/>
        <v>5.4800000000000001E-2</v>
      </c>
      <c r="J52">
        <f t="shared" si="4"/>
        <v>0</v>
      </c>
      <c r="K52">
        <f t="shared" si="4"/>
        <v>0.3347</v>
      </c>
      <c r="L52">
        <f t="shared" si="4"/>
        <v>0.251</v>
      </c>
      <c r="M52">
        <f t="shared" si="4"/>
        <v>0.3795</v>
      </c>
    </row>
    <row r="53" spans="1:13" x14ac:dyDescent="0.3">
      <c r="A53" t="s">
        <v>9</v>
      </c>
      <c r="B53">
        <f t="shared" si="4"/>
        <v>0</v>
      </c>
      <c r="C53">
        <f t="shared" si="4"/>
        <v>7.0699999999999999E-2</v>
      </c>
      <c r="D53">
        <f t="shared" si="4"/>
        <v>7.0699999999999999E-2</v>
      </c>
      <c r="E53">
        <f t="shared" si="4"/>
        <v>0.1414</v>
      </c>
      <c r="F53">
        <f t="shared" si="4"/>
        <v>0</v>
      </c>
      <c r="G53">
        <f t="shared" si="4"/>
        <v>0.1673</v>
      </c>
      <c r="H53">
        <f t="shared" si="4"/>
        <v>5.4800000000000001E-2</v>
      </c>
      <c r="I53">
        <f t="shared" si="4"/>
        <v>0</v>
      </c>
      <c r="J53">
        <f t="shared" si="4"/>
        <v>0</v>
      </c>
      <c r="K53">
        <f t="shared" si="4"/>
        <v>0</v>
      </c>
      <c r="L53">
        <f t="shared" si="4"/>
        <v>0.1414</v>
      </c>
      <c r="M53">
        <f t="shared" si="4"/>
        <v>0</v>
      </c>
    </row>
    <row r="54" spans="1:13" x14ac:dyDescent="0.3">
      <c r="A54" t="s">
        <v>10</v>
      </c>
      <c r="B54">
        <f t="shared" si="4"/>
        <v>5.4800000000000001E-2</v>
      </c>
      <c r="C54">
        <f t="shared" si="4"/>
        <v>0</v>
      </c>
      <c r="D54">
        <f t="shared" si="4"/>
        <v>0</v>
      </c>
      <c r="E54">
        <f t="shared" si="4"/>
        <v>0</v>
      </c>
      <c r="F54">
        <f t="shared" si="4"/>
        <v>0.1414</v>
      </c>
      <c r="G54">
        <f t="shared" si="4"/>
        <v>7.0699999999999999E-2</v>
      </c>
      <c r="H54">
        <f t="shared" si="4"/>
        <v>7.0699999999999999E-2</v>
      </c>
      <c r="I54">
        <f t="shared" si="4"/>
        <v>0</v>
      </c>
      <c r="J54">
        <f t="shared" si="4"/>
        <v>0</v>
      </c>
      <c r="K54">
        <f t="shared" si="4"/>
        <v>0</v>
      </c>
      <c r="L54">
        <f t="shared" si="4"/>
        <v>0</v>
      </c>
      <c r="M54">
        <f t="shared" si="4"/>
        <v>0.28460000000000002</v>
      </c>
    </row>
    <row r="55" spans="1:13" x14ac:dyDescent="0.3">
      <c r="A55" t="s">
        <v>11</v>
      </c>
      <c r="B55">
        <f t="shared" si="4"/>
        <v>5.4800000000000001E-2</v>
      </c>
      <c r="C55">
        <f t="shared" si="4"/>
        <v>8.3699999999999997E-2</v>
      </c>
      <c r="D55">
        <f t="shared" si="4"/>
        <v>0</v>
      </c>
      <c r="E55">
        <f t="shared" si="4"/>
        <v>5.4800000000000001E-2</v>
      </c>
      <c r="F55">
        <f t="shared" si="4"/>
        <v>0</v>
      </c>
      <c r="G55">
        <f t="shared" si="4"/>
        <v>0</v>
      </c>
      <c r="H55">
        <f t="shared" si="4"/>
        <v>0.1414</v>
      </c>
      <c r="I55">
        <f t="shared" si="4"/>
        <v>0</v>
      </c>
      <c r="J55">
        <f t="shared" si="4"/>
        <v>0</v>
      </c>
      <c r="K55">
        <f t="shared" si="4"/>
        <v>0</v>
      </c>
      <c r="L55">
        <f t="shared" si="4"/>
        <v>0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0.3347</v>
      </c>
      <c r="D58">
        <f t="shared" si="6"/>
        <v>0.3347</v>
      </c>
      <c r="E58">
        <f t="shared" si="6"/>
        <v>0.1095</v>
      </c>
      <c r="F58">
        <f t="shared" si="6"/>
        <v>7.0699999999999999E-2</v>
      </c>
      <c r="G58">
        <f t="shared" si="6"/>
        <v>7.0699999999999999E-2</v>
      </c>
      <c r="H58">
        <f t="shared" si="6"/>
        <v>7.0699999999999999E-2</v>
      </c>
      <c r="I58">
        <f t="shared" si="6"/>
        <v>3.1600000000000003E-2</v>
      </c>
      <c r="J58">
        <f t="shared" si="6"/>
        <v>0.3347</v>
      </c>
      <c r="K58">
        <f t="shared" si="6"/>
        <v>0.1095</v>
      </c>
      <c r="L58">
        <f t="shared" si="6"/>
        <v>0.1095</v>
      </c>
      <c r="M58">
        <f t="shared" si="6"/>
        <v>5.4800000000000001E-2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0.21210000000000001</v>
      </c>
      <c r="C59">
        <f t="shared" si="7"/>
        <v>0</v>
      </c>
      <c r="D59">
        <f t="shared" si="7"/>
        <v>0.3795</v>
      </c>
      <c r="E59">
        <f t="shared" si="7"/>
        <v>0.3795</v>
      </c>
      <c r="F59">
        <f t="shared" si="7"/>
        <v>0.1414</v>
      </c>
      <c r="G59">
        <f t="shared" si="7"/>
        <v>0.3347</v>
      </c>
      <c r="H59">
        <f t="shared" si="7"/>
        <v>0.3347</v>
      </c>
      <c r="I59">
        <f t="shared" si="7"/>
        <v>0.1414</v>
      </c>
      <c r="J59">
        <f t="shared" si="7"/>
        <v>0.3347</v>
      </c>
      <c r="K59">
        <f t="shared" si="7"/>
        <v>0.3347</v>
      </c>
      <c r="L59">
        <f t="shared" si="7"/>
        <v>0.3347</v>
      </c>
      <c r="M59">
        <f t="shared" si="7"/>
        <v>0.3347</v>
      </c>
    </row>
    <row r="60" spans="1:13" x14ac:dyDescent="0.3">
      <c r="A60" t="s">
        <v>2</v>
      </c>
      <c r="B60">
        <f t="shared" si="7"/>
        <v>0.3347</v>
      </c>
      <c r="C60">
        <f t="shared" si="7"/>
        <v>3.1600000000000003E-2</v>
      </c>
      <c r="D60">
        <f t="shared" si="7"/>
        <v>0</v>
      </c>
      <c r="E60">
        <f t="shared" si="7"/>
        <v>5.4800000000000001E-2</v>
      </c>
      <c r="F60">
        <f t="shared" si="7"/>
        <v>0.1414</v>
      </c>
      <c r="G60">
        <f t="shared" si="7"/>
        <v>0.3347</v>
      </c>
      <c r="H60">
        <f t="shared" si="7"/>
        <v>5.4800000000000001E-2</v>
      </c>
      <c r="I60">
        <f t="shared" si="7"/>
        <v>0.21210000000000001</v>
      </c>
      <c r="J60">
        <f t="shared" si="7"/>
        <v>0.3795</v>
      </c>
      <c r="K60">
        <f t="shared" si="7"/>
        <v>0.3795</v>
      </c>
      <c r="L60">
        <f t="shared" si="7"/>
        <v>0.3347</v>
      </c>
      <c r="M60">
        <f t="shared" si="7"/>
        <v>0.3795</v>
      </c>
    </row>
    <row r="61" spans="1:13" x14ac:dyDescent="0.3">
      <c r="A61" t="s">
        <v>3</v>
      </c>
      <c r="B61">
        <f t="shared" si="7"/>
        <v>0.3795</v>
      </c>
      <c r="C61">
        <f t="shared" si="7"/>
        <v>0.3795</v>
      </c>
      <c r="D61">
        <f t="shared" si="7"/>
        <v>0.3795</v>
      </c>
      <c r="E61">
        <f t="shared" si="7"/>
        <v>0</v>
      </c>
      <c r="F61">
        <f t="shared" si="7"/>
        <v>0.251</v>
      </c>
      <c r="G61">
        <f t="shared" si="7"/>
        <v>0.3795</v>
      </c>
      <c r="H61">
        <f t="shared" si="7"/>
        <v>0.3795</v>
      </c>
      <c r="I61">
        <f t="shared" si="7"/>
        <v>0.3795</v>
      </c>
      <c r="J61">
        <f t="shared" si="7"/>
        <v>0.3795</v>
      </c>
      <c r="K61">
        <f t="shared" si="7"/>
        <v>0.3795</v>
      </c>
      <c r="L61">
        <f t="shared" si="7"/>
        <v>0.3795</v>
      </c>
      <c r="M61">
        <f t="shared" si="7"/>
        <v>0.3795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6.3200000000000006E-2</v>
      </c>
      <c r="C62">
        <f t="shared" si="8"/>
        <v>5.4800000000000001E-2</v>
      </c>
      <c r="D62">
        <f t="shared" si="8"/>
        <v>0.1414</v>
      </c>
      <c r="E62">
        <f t="shared" si="8"/>
        <v>0.21210000000000001</v>
      </c>
      <c r="F62">
        <f t="shared" si="8"/>
        <v>0</v>
      </c>
      <c r="G62">
        <f t="shared" si="8"/>
        <v>0.251</v>
      </c>
      <c r="H62">
        <f t="shared" si="8"/>
        <v>7.0699999999999999E-2</v>
      </c>
      <c r="I62">
        <f t="shared" si="8"/>
        <v>0.1414</v>
      </c>
      <c r="J62">
        <f t="shared" si="8"/>
        <v>0.3347</v>
      </c>
      <c r="K62">
        <f t="shared" si="8"/>
        <v>0.3795</v>
      </c>
      <c r="L62">
        <f t="shared" si="8"/>
        <v>7.0699999999999999E-2</v>
      </c>
      <c r="M62">
        <f t="shared" si="8"/>
        <v>0.21210000000000001</v>
      </c>
    </row>
    <row r="63" spans="1:13" x14ac:dyDescent="0.3">
      <c r="A63" t="s">
        <v>5</v>
      </c>
      <c r="B63">
        <f t="shared" si="7"/>
        <v>0.1673</v>
      </c>
      <c r="C63">
        <f t="shared" si="7"/>
        <v>7.0699999999999999E-2</v>
      </c>
      <c r="D63">
        <f t="shared" si="7"/>
        <v>8.3699999999999997E-2</v>
      </c>
      <c r="E63">
        <f t="shared" si="7"/>
        <v>0.21210000000000001</v>
      </c>
      <c r="F63">
        <f t="shared" si="7"/>
        <v>6.3200000000000006E-2</v>
      </c>
      <c r="G63">
        <f t="shared" si="7"/>
        <v>0</v>
      </c>
      <c r="H63">
        <f t="shared" si="7"/>
        <v>5.4800000000000001E-2</v>
      </c>
      <c r="I63">
        <f t="shared" si="7"/>
        <v>8.3699999999999997E-2</v>
      </c>
      <c r="J63">
        <f t="shared" si="7"/>
        <v>0.3347</v>
      </c>
      <c r="K63">
        <f t="shared" si="7"/>
        <v>0.1095</v>
      </c>
      <c r="L63">
        <f t="shared" si="7"/>
        <v>5.4800000000000001E-2</v>
      </c>
      <c r="M63">
        <f t="shared" si="7"/>
        <v>0.1414</v>
      </c>
    </row>
    <row r="64" spans="1:13" x14ac:dyDescent="0.3">
      <c r="A64" t="s">
        <v>6</v>
      </c>
      <c r="B64">
        <f t="shared" si="7"/>
        <v>6.3200000000000006E-2</v>
      </c>
      <c r="C64">
        <f t="shared" si="7"/>
        <v>0.1414</v>
      </c>
      <c r="D64">
        <f t="shared" si="7"/>
        <v>7.0699999999999999E-2</v>
      </c>
      <c r="E64">
        <f t="shared" si="7"/>
        <v>8.3699999999999997E-2</v>
      </c>
      <c r="F64">
        <f t="shared" si="7"/>
        <v>0.21210000000000001</v>
      </c>
      <c r="G64">
        <f t="shared" si="7"/>
        <v>5.4800000000000001E-2</v>
      </c>
      <c r="H64">
        <f t="shared" si="7"/>
        <v>0</v>
      </c>
      <c r="I64">
        <f t="shared" si="7"/>
        <v>0.21210000000000001</v>
      </c>
      <c r="J64">
        <f t="shared" si="7"/>
        <v>0.1095</v>
      </c>
      <c r="K64">
        <f t="shared" si="7"/>
        <v>7.0699999999999999E-2</v>
      </c>
      <c r="L64">
        <f t="shared" si="7"/>
        <v>6.3200000000000006E-2</v>
      </c>
      <c r="M64">
        <f t="shared" si="7"/>
        <v>7.0699999999999999E-2</v>
      </c>
    </row>
    <row r="65" spans="1:13" x14ac:dyDescent="0.3">
      <c r="A65" t="s">
        <v>7</v>
      </c>
      <c r="B65">
        <f t="shared" si="7"/>
        <v>0.1414</v>
      </c>
      <c r="C65">
        <f t="shared" si="7"/>
        <v>0.1414</v>
      </c>
      <c r="D65">
        <f t="shared" si="7"/>
        <v>5.4800000000000001E-2</v>
      </c>
      <c r="E65">
        <f t="shared" si="7"/>
        <v>7.0699999999999999E-2</v>
      </c>
      <c r="F65">
        <f t="shared" si="7"/>
        <v>0.21210000000000001</v>
      </c>
      <c r="G65">
        <f t="shared" si="7"/>
        <v>0.1095</v>
      </c>
      <c r="H65">
        <f t="shared" si="7"/>
        <v>3.1600000000000003E-2</v>
      </c>
      <c r="I65">
        <f t="shared" si="7"/>
        <v>0</v>
      </c>
      <c r="J65">
        <f t="shared" si="7"/>
        <v>7.0699999999999999E-2</v>
      </c>
      <c r="K65">
        <f t="shared" si="7"/>
        <v>0.3795</v>
      </c>
      <c r="L65">
        <f t="shared" si="7"/>
        <v>0.3795</v>
      </c>
      <c r="M65">
        <f t="shared" si="7"/>
        <v>0.3795</v>
      </c>
    </row>
    <row r="66" spans="1:13" x14ac:dyDescent="0.3">
      <c r="A66" t="s">
        <v>8</v>
      </c>
      <c r="B66">
        <f t="shared" si="7"/>
        <v>0.251</v>
      </c>
      <c r="C66">
        <f t="shared" si="7"/>
        <v>0.1095</v>
      </c>
      <c r="D66">
        <f t="shared" si="7"/>
        <v>0.1673</v>
      </c>
      <c r="E66">
        <f t="shared" si="7"/>
        <v>0.1414</v>
      </c>
      <c r="F66">
        <f t="shared" si="7"/>
        <v>6.3200000000000006E-2</v>
      </c>
      <c r="G66">
        <f t="shared" si="7"/>
        <v>7.0699999999999999E-2</v>
      </c>
      <c r="H66">
        <f t="shared" si="7"/>
        <v>0.3795</v>
      </c>
      <c r="I66">
        <f t="shared" si="7"/>
        <v>0.1095</v>
      </c>
      <c r="J66">
        <f t="shared" si="7"/>
        <v>0</v>
      </c>
      <c r="K66">
        <f t="shared" si="7"/>
        <v>0.3347</v>
      </c>
      <c r="L66">
        <f t="shared" si="7"/>
        <v>0.3347</v>
      </c>
      <c r="M66">
        <f t="shared" si="7"/>
        <v>0.3795</v>
      </c>
    </row>
    <row r="67" spans="1:13" x14ac:dyDescent="0.3">
      <c r="A67" t="s">
        <v>9</v>
      </c>
      <c r="B67">
        <f t="shared" si="7"/>
        <v>5.4800000000000001E-2</v>
      </c>
      <c r="C67">
        <f t="shared" si="7"/>
        <v>0.1414</v>
      </c>
      <c r="D67">
        <f t="shared" si="7"/>
        <v>0.1414</v>
      </c>
      <c r="E67">
        <f t="shared" si="7"/>
        <v>0.21210000000000001</v>
      </c>
      <c r="F67">
        <f t="shared" si="7"/>
        <v>7.0699999999999999E-2</v>
      </c>
      <c r="G67">
        <f t="shared" si="7"/>
        <v>0.251</v>
      </c>
      <c r="H67">
        <f t="shared" si="7"/>
        <v>0.1095</v>
      </c>
      <c r="I67">
        <f t="shared" si="7"/>
        <v>7.0699999999999999E-2</v>
      </c>
      <c r="J67">
        <f t="shared" si="7"/>
        <v>5.4800000000000001E-2</v>
      </c>
      <c r="K67">
        <f t="shared" si="7"/>
        <v>0</v>
      </c>
      <c r="L67">
        <f t="shared" si="7"/>
        <v>0.21210000000000001</v>
      </c>
      <c r="M67">
        <f t="shared" si="7"/>
        <v>5.4800000000000001E-2</v>
      </c>
    </row>
    <row r="68" spans="1:13" x14ac:dyDescent="0.3">
      <c r="A68" t="s">
        <v>10</v>
      </c>
      <c r="B68">
        <f t="shared" si="7"/>
        <v>0.1095</v>
      </c>
      <c r="C68">
        <f t="shared" si="7"/>
        <v>5.4800000000000001E-2</v>
      </c>
      <c r="D68">
        <f t="shared" si="7"/>
        <v>5.4800000000000001E-2</v>
      </c>
      <c r="E68">
        <f t="shared" si="7"/>
        <v>5.4800000000000001E-2</v>
      </c>
      <c r="F68">
        <f t="shared" si="7"/>
        <v>0.21210000000000001</v>
      </c>
      <c r="G68">
        <f t="shared" si="7"/>
        <v>0.1414</v>
      </c>
      <c r="H68">
        <f t="shared" si="7"/>
        <v>0.1414</v>
      </c>
      <c r="I68">
        <f t="shared" si="7"/>
        <v>7.0699999999999999E-2</v>
      </c>
      <c r="J68">
        <f t="shared" si="7"/>
        <v>5.4800000000000001E-2</v>
      </c>
      <c r="K68">
        <f t="shared" si="7"/>
        <v>8.3699999999999997E-2</v>
      </c>
      <c r="L68">
        <f t="shared" si="7"/>
        <v>0</v>
      </c>
      <c r="M68">
        <f t="shared" si="7"/>
        <v>0.3795</v>
      </c>
    </row>
    <row r="69" spans="1:13" x14ac:dyDescent="0.3">
      <c r="A69" t="s">
        <v>11</v>
      </c>
      <c r="B69">
        <f t="shared" si="7"/>
        <v>0.1095</v>
      </c>
      <c r="C69">
        <f t="shared" si="7"/>
        <v>0.1673</v>
      </c>
      <c r="D69">
        <f t="shared" si="7"/>
        <v>3.1600000000000003E-2</v>
      </c>
      <c r="E69">
        <f t="shared" si="7"/>
        <v>0.1095</v>
      </c>
      <c r="F69">
        <f t="shared" si="7"/>
        <v>7.0699999999999999E-2</v>
      </c>
      <c r="G69">
        <f t="shared" si="7"/>
        <v>7.0699999999999999E-2</v>
      </c>
      <c r="H69">
        <f t="shared" si="7"/>
        <v>0.21210000000000001</v>
      </c>
      <c r="I69">
        <f t="shared" si="7"/>
        <v>3.1600000000000003E-2</v>
      </c>
      <c r="J69">
        <f t="shared" si="7"/>
        <v>8.3699999999999997E-2</v>
      </c>
      <c r="K69">
        <f t="shared" si="7"/>
        <v>5.4800000000000001E-2</v>
      </c>
      <c r="L69">
        <f t="shared" si="7"/>
        <v>5.4800000000000001E-2</v>
      </c>
      <c r="M69">
        <f t="shared" si="7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A1:M69"/>
  <sheetViews>
    <sheetView workbookViewId="0">
      <selection activeCell="A15" sqref="A15:M69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12</v>
      </c>
      <c r="D2" t="s">
        <v>21</v>
      </c>
      <c r="E2" t="s">
        <v>62</v>
      </c>
      <c r="F2" t="s">
        <v>20</v>
      </c>
      <c r="G2" t="s">
        <v>24</v>
      </c>
      <c r="H2" t="s">
        <v>16</v>
      </c>
      <c r="I2" t="s">
        <v>22</v>
      </c>
      <c r="J2" t="s">
        <v>12</v>
      </c>
      <c r="K2" t="s">
        <v>23</v>
      </c>
      <c r="L2" t="s">
        <v>23</v>
      </c>
      <c r="M2" t="s">
        <v>71</v>
      </c>
    </row>
    <row r="3" spans="1:13" x14ac:dyDescent="0.3">
      <c r="A3" s="1" t="s">
        <v>1</v>
      </c>
      <c r="B3" t="s">
        <v>22</v>
      </c>
      <c r="C3">
        <v>0</v>
      </c>
      <c r="D3" t="s">
        <v>25</v>
      </c>
      <c r="E3" t="s">
        <v>25</v>
      </c>
      <c r="F3" t="s">
        <v>21</v>
      </c>
      <c r="G3" t="s">
        <v>18</v>
      </c>
      <c r="H3" t="s">
        <v>25</v>
      </c>
      <c r="I3" t="s">
        <v>23</v>
      </c>
      <c r="J3" t="s">
        <v>12</v>
      </c>
      <c r="K3" t="s">
        <v>18</v>
      </c>
      <c r="L3" t="s">
        <v>25</v>
      </c>
      <c r="M3" t="s">
        <v>18</v>
      </c>
    </row>
    <row r="4" spans="1:13" x14ac:dyDescent="0.3">
      <c r="A4" s="1" t="s">
        <v>2</v>
      </c>
      <c r="B4" t="s">
        <v>22</v>
      </c>
      <c r="C4" t="s">
        <v>16</v>
      </c>
      <c r="D4">
        <v>0</v>
      </c>
      <c r="E4" t="s">
        <v>19</v>
      </c>
      <c r="F4" t="s">
        <v>15</v>
      </c>
      <c r="G4" t="s">
        <v>23</v>
      </c>
      <c r="H4" t="s">
        <v>15</v>
      </c>
      <c r="I4" t="s">
        <v>16</v>
      </c>
      <c r="J4" t="s">
        <v>13</v>
      </c>
      <c r="K4" t="s">
        <v>25</v>
      </c>
      <c r="L4" t="s">
        <v>13</v>
      </c>
      <c r="M4" t="s">
        <v>13</v>
      </c>
    </row>
    <row r="5" spans="1:13" x14ac:dyDescent="0.3">
      <c r="A5" s="1" t="s">
        <v>3</v>
      </c>
      <c r="B5" t="s">
        <v>23</v>
      </c>
      <c r="C5" t="s">
        <v>62</v>
      </c>
      <c r="D5" t="s">
        <v>23</v>
      </c>
      <c r="E5">
        <v>0</v>
      </c>
      <c r="F5" t="s">
        <v>21</v>
      </c>
      <c r="G5" t="s">
        <v>20</v>
      </c>
      <c r="H5" t="s">
        <v>13</v>
      </c>
      <c r="I5" t="s">
        <v>16</v>
      </c>
      <c r="J5" t="s">
        <v>13</v>
      </c>
      <c r="K5" t="s">
        <v>16</v>
      </c>
      <c r="L5" t="s">
        <v>13</v>
      </c>
      <c r="M5" t="s">
        <v>13</v>
      </c>
    </row>
    <row r="6" spans="1:13" x14ac:dyDescent="0.3">
      <c r="A6" s="1" t="s">
        <v>4</v>
      </c>
      <c r="B6" t="s">
        <v>21</v>
      </c>
      <c r="C6" t="s">
        <v>24</v>
      </c>
      <c r="D6" t="s">
        <v>24</v>
      </c>
      <c r="E6" t="s">
        <v>24</v>
      </c>
      <c r="F6">
        <v>0</v>
      </c>
      <c r="G6" t="s">
        <v>25</v>
      </c>
      <c r="H6" t="s">
        <v>15</v>
      </c>
      <c r="I6" t="s">
        <v>16</v>
      </c>
      <c r="J6" t="s">
        <v>25</v>
      </c>
      <c r="K6" t="s">
        <v>13</v>
      </c>
      <c r="L6" t="s">
        <v>24</v>
      </c>
      <c r="M6" t="s">
        <v>16</v>
      </c>
    </row>
    <row r="7" spans="1:13" x14ac:dyDescent="0.3">
      <c r="A7" s="1" t="s">
        <v>5</v>
      </c>
      <c r="B7" t="s">
        <v>16</v>
      </c>
      <c r="C7" t="s">
        <v>16</v>
      </c>
      <c r="D7" t="s">
        <v>16</v>
      </c>
      <c r="E7" t="s">
        <v>15</v>
      </c>
      <c r="F7" t="s">
        <v>15</v>
      </c>
      <c r="G7">
        <v>0</v>
      </c>
      <c r="H7" t="s">
        <v>24</v>
      </c>
      <c r="I7" t="s">
        <v>16</v>
      </c>
      <c r="J7" t="s">
        <v>25</v>
      </c>
      <c r="K7" t="s">
        <v>16</v>
      </c>
      <c r="L7" s="6" t="s">
        <v>16</v>
      </c>
      <c r="M7" t="s">
        <v>16</v>
      </c>
    </row>
    <row r="8" spans="1:13" x14ac:dyDescent="0.3">
      <c r="A8" s="1" t="s">
        <v>6</v>
      </c>
      <c r="B8" t="s">
        <v>24</v>
      </c>
      <c r="C8" t="s">
        <v>24</v>
      </c>
      <c r="D8" t="s">
        <v>71</v>
      </c>
      <c r="E8" t="s">
        <v>16</v>
      </c>
      <c r="F8" t="s">
        <v>20</v>
      </c>
      <c r="G8" t="s">
        <v>15</v>
      </c>
      <c r="H8">
        <v>0</v>
      </c>
      <c r="I8" t="s">
        <v>16</v>
      </c>
      <c r="J8" t="s">
        <v>16</v>
      </c>
      <c r="K8" t="s">
        <v>22</v>
      </c>
      <c r="L8" s="6" t="s">
        <v>16</v>
      </c>
      <c r="M8" t="s">
        <v>20</v>
      </c>
    </row>
    <row r="9" spans="1:13" x14ac:dyDescent="0.3">
      <c r="A9" s="1" t="s">
        <v>7</v>
      </c>
      <c r="B9" t="s">
        <v>15</v>
      </c>
      <c r="C9" t="s">
        <v>16</v>
      </c>
      <c r="D9" t="s">
        <v>16</v>
      </c>
      <c r="E9" t="s">
        <v>24</v>
      </c>
      <c r="F9" t="s">
        <v>16</v>
      </c>
      <c r="G9" t="s">
        <v>71</v>
      </c>
      <c r="H9" t="s">
        <v>24</v>
      </c>
      <c r="I9">
        <v>0</v>
      </c>
      <c r="J9" t="s">
        <v>13</v>
      </c>
      <c r="K9" t="s">
        <v>18</v>
      </c>
      <c r="L9" s="6" t="s">
        <v>18</v>
      </c>
      <c r="M9" t="s">
        <v>13</v>
      </c>
    </row>
    <row r="10" spans="1:13" x14ac:dyDescent="0.3">
      <c r="A10" s="1" t="s">
        <v>8</v>
      </c>
      <c r="B10" t="s">
        <v>12</v>
      </c>
      <c r="C10" t="s">
        <v>15</v>
      </c>
      <c r="D10" t="s">
        <v>15</v>
      </c>
      <c r="E10" t="s">
        <v>24</v>
      </c>
      <c r="F10" t="s">
        <v>71</v>
      </c>
      <c r="G10" t="s">
        <v>15</v>
      </c>
      <c r="H10" t="s">
        <v>12</v>
      </c>
      <c r="I10" t="s">
        <v>21</v>
      </c>
      <c r="J10">
        <v>0</v>
      </c>
      <c r="K10" t="s">
        <v>18</v>
      </c>
      <c r="L10" s="6" t="s">
        <v>13</v>
      </c>
      <c r="M10" t="s">
        <v>13</v>
      </c>
    </row>
    <row r="11" spans="1:13" x14ac:dyDescent="0.3">
      <c r="A11" s="1" t="s">
        <v>9</v>
      </c>
      <c r="B11" t="s">
        <v>24</v>
      </c>
      <c r="C11" t="s">
        <v>17</v>
      </c>
      <c r="D11" t="s">
        <v>15</v>
      </c>
      <c r="E11" t="s">
        <v>22</v>
      </c>
      <c r="F11" t="s">
        <v>20</v>
      </c>
      <c r="G11" t="s">
        <v>16</v>
      </c>
      <c r="H11" t="s">
        <v>16</v>
      </c>
      <c r="I11" t="s">
        <v>22</v>
      </c>
      <c r="J11" t="s">
        <v>20</v>
      </c>
      <c r="K11">
        <v>0</v>
      </c>
      <c r="L11" s="6" t="s">
        <v>22</v>
      </c>
      <c r="M11" t="s">
        <v>16</v>
      </c>
    </row>
    <row r="12" spans="1:13" x14ac:dyDescent="0.3">
      <c r="A12" s="1" t="s">
        <v>10</v>
      </c>
      <c r="B12" t="s">
        <v>16</v>
      </c>
      <c r="C12" t="s">
        <v>16</v>
      </c>
      <c r="D12" t="s">
        <v>22</v>
      </c>
      <c r="E12" t="s">
        <v>22</v>
      </c>
      <c r="F12" t="s">
        <v>20</v>
      </c>
      <c r="G12" t="s">
        <v>16</v>
      </c>
      <c r="H12" t="s">
        <v>24</v>
      </c>
      <c r="I12" t="s">
        <v>15</v>
      </c>
      <c r="J12" t="s">
        <v>23</v>
      </c>
      <c r="K12" t="s">
        <v>15</v>
      </c>
      <c r="L12">
        <v>0</v>
      </c>
      <c r="M12" t="s">
        <v>18</v>
      </c>
    </row>
    <row r="13" spans="1:13" x14ac:dyDescent="0.3">
      <c r="A13" s="1" t="s">
        <v>11</v>
      </c>
      <c r="B13" t="s">
        <v>24</v>
      </c>
      <c r="C13" t="s">
        <v>16</v>
      </c>
      <c r="D13" t="s">
        <v>16</v>
      </c>
      <c r="E13" t="s">
        <v>22</v>
      </c>
      <c r="F13" t="s">
        <v>21</v>
      </c>
      <c r="G13" t="s">
        <v>17</v>
      </c>
      <c r="H13" t="s">
        <v>24</v>
      </c>
      <c r="I13" t="s">
        <v>71</v>
      </c>
      <c r="J13" t="s">
        <v>15</v>
      </c>
      <c r="K13" t="s">
        <v>20</v>
      </c>
      <c r="L13" t="s">
        <v>24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(0,1673; 0,251; 0,3347)</v>
      </c>
      <c r="D16" t="str">
        <f>VLOOKUP(D2,'Thang đánh giá'!$C$2:$D$27,2,FALSE)</f>
        <v>(0,0837; 0,1673; 0,251)</v>
      </c>
      <c r="E16" t="str">
        <f>VLOOKUP(E2,'Thang đánh giá'!$C$2:$D$27,2,FALSE)</f>
        <v>(0; 0,0837; 0,1673)</v>
      </c>
      <c r="F16" t="str">
        <f>VLOOKUP(F2,'Thang đánh giá'!$C$2:$D$27,2,FALSE)</f>
        <v>(0; 0,0548; 0,1095)</v>
      </c>
      <c r="G16" t="str">
        <f>VLOOKUP(G2,'Thang đánh giá'!$C$2:$D$27,2,FALSE)</f>
        <v>(0; 0; 0,0548)</v>
      </c>
      <c r="H16" t="str">
        <f>VLOOKUP(H2,'Thang đánh giá'!$C$2:$D$27,2,FALSE)</f>
        <v>(0; 0; 0,0707)</v>
      </c>
      <c r="I16" t="str">
        <f>VLOOKUP(I2,'Thang đánh giá'!$C$2:$D$27,2,FALSE)</f>
        <v>(0,0707; 0,1414; 0,2121)</v>
      </c>
      <c r="J16" t="str">
        <f>VLOOKUP(J2,'Thang đánh giá'!$C$2:$D$27,2,FALSE)</f>
        <v>(0,1673; 0,251; 0,3347)</v>
      </c>
      <c r="K16" t="str">
        <f>VLOOKUP(K2,'Thang đánh giá'!$C$2:$D$27,2,FALSE)</f>
        <v>(0; 0; 0,0316)</v>
      </c>
      <c r="L16" t="str">
        <f>VLOOKUP(L2,'Thang đánh giá'!$C$2:$D$27,2,FALSE)</f>
        <v>(0; 0; 0,0316)</v>
      </c>
      <c r="M16" t="str">
        <f>VLOOKUP(M2,'Thang đánh giá'!$C$2:$D$27,2,FALSE)</f>
        <v>(0; 0; 0,0837)</v>
      </c>
    </row>
    <row r="17" spans="1:13" x14ac:dyDescent="0.3">
      <c r="A17" t="s">
        <v>1</v>
      </c>
      <c r="B17" t="str">
        <f>VLOOKUP(B3,'Thang đánh giá'!$C$2:$D$27,2,FALSE)</f>
        <v>(0,0707; 0,1414; 0,2121)</v>
      </c>
      <c r="C17" t="str">
        <f>VLOOKUP(C3,'Thang đánh giá'!$C$2:$D$27,2,FALSE)</f>
        <v>(0; 0; 0)</v>
      </c>
      <c r="D17" t="str">
        <f>VLOOKUP(D3,'Thang đánh giá'!$C$2:$D$27,2,FALSE)</f>
        <v>(0,251; 0,3347; 0,3347)</v>
      </c>
      <c r="E17" t="str">
        <f>VLOOKUP(E3,'Thang đánh giá'!$C$2:$D$27,2,FALSE)</f>
        <v>(0,251; 0,3347; 0,3347)</v>
      </c>
      <c r="F17" t="str">
        <f>VLOOKUP(F3,'Thang đánh giá'!$C$2:$D$27,2,FALSE)</f>
        <v>(0,0837; 0,1673; 0,251)</v>
      </c>
      <c r="G17" t="str">
        <f>VLOOKUP(G3,'Thang đánh giá'!$C$2:$D$27,2,FALSE)</f>
        <v>(0,2846; 0,3795; 0,3795)</v>
      </c>
      <c r="H17" t="str">
        <f>VLOOKUP(H3,'Thang đánh giá'!$C$2:$D$27,2,FALSE)</f>
        <v>(0,251; 0,3347; 0,3347)</v>
      </c>
      <c r="I17" t="str">
        <f>VLOOKUP(I3,'Thang đánh giá'!$C$2:$D$27,2,FALSE)</f>
        <v>(0; 0; 0,0316)</v>
      </c>
      <c r="J17" t="str">
        <f>VLOOKUP(J3,'Thang đánh giá'!$C$2:$D$27,2,FALSE)</f>
        <v>(0,1673; 0,251; 0,3347)</v>
      </c>
      <c r="K17" t="str">
        <f>VLOOKUP(K3,'Thang đánh giá'!$C$2:$D$27,2,FALSE)</f>
        <v>(0,2846; 0,3795; 0,3795)</v>
      </c>
      <c r="L17" t="str">
        <f>VLOOKUP(L3,'Thang đánh giá'!$C$2:$D$27,2,FALSE)</f>
        <v>(0,251; 0,3347; 0,3347)</v>
      </c>
      <c r="M17" t="str">
        <f>VLOOKUP(M3,'Thang đánh giá'!$C$2:$D$27,2,FALSE)</f>
        <v>(0,2846; 0,3795; 0,3795)</v>
      </c>
    </row>
    <row r="18" spans="1:13" x14ac:dyDescent="0.3">
      <c r="A18" t="s">
        <v>2</v>
      </c>
      <c r="B18" t="str">
        <f>VLOOKUP(B4,'Thang đánh giá'!$C$2:$D$27,2,FALSE)</f>
        <v>(0,0707; 0,1414; 0,2121)</v>
      </c>
      <c r="C18" t="str">
        <f>VLOOKUP(C4,'Thang đánh giá'!$C$2:$D$27,2,FALSE)</f>
        <v>(0; 0; 0,0707)</v>
      </c>
      <c r="D18" t="str">
        <f>VLOOKUP(D4,'Thang đánh giá'!$C$2:$D$27,2,FALSE)</f>
        <v>(0; 0; 0)</v>
      </c>
      <c r="E18" t="str">
        <f>VLOOKUP(E4,'Thang đánh giá'!$C$2:$D$27,2,FALSE)</f>
        <v>(0,1414; 0,2121; 0,2828)</v>
      </c>
      <c r="F18" t="str">
        <f>VLOOKUP(F4,'Thang đánh giá'!$C$2:$D$27,2,FALSE)</f>
        <v>(0; 0,0707; 0,1414)</v>
      </c>
      <c r="G18" t="str">
        <f>VLOOKUP(G4,'Thang đánh giá'!$C$2:$D$27,2,FALSE)</f>
        <v>(0; 0; 0,0316)</v>
      </c>
      <c r="H18" t="str">
        <f>VLOOKUP(H4,'Thang đánh giá'!$C$2:$D$27,2,FALSE)</f>
        <v>(0; 0,0707; 0,1414)</v>
      </c>
      <c r="I18" t="str">
        <f>VLOOKUP(I4,'Thang đánh giá'!$C$2:$D$27,2,FALSE)</f>
        <v>(0; 0; 0,0707)</v>
      </c>
      <c r="J18" t="str">
        <f>VLOOKUP(J4,'Thang đánh giá'!$C$2:$D$27,2,FALSE)</f>
        <v>(0,1897; 0,2846; 0,3795)</v>
      </c>
      <c r="K18" t="str">
        <f>VLOOKUP(K4,'Thang đánh giá'!$C$2:$D$27,2,FALSE)</f>
        <v>(0,251; 0,3347; 0,3347)</v>
      </c>
      <c r="L18" t="str">
        <f>VLOOKUP(L4,'Thang đánh giá'!$C$2:$D$27,2,FALSE)</f>
        <v>(0,1897; 0,2846; 0,3795)</v>
      </c>
      <c r="M18" t="str">
        <f>VLOOKUP(M4,'Thang đánh giá'!$C$2:$D$27,2,FALSE)</f>
        <v>(0,1897; 0,2846; 0,3795)</v>
      </c>
    </row>
    <row r="19" spans="1:13" x14ac:dyDescent="0.3">
      <c r="A19" t="s">
        <v>3</v>
      </c>
      <c r="B19" t="str">
        <f>VLOOKUP(B5,'Thang đánh giá'!$C$2:$D$27,2,FALSE)</f>
        <v>(0; 0; 0,0316)</v>
      </c>
      <c r="C19" t="str">
        <f>VLOOKUP(C5,'Thang đánh giá'!$C$2:$D$27,2,FALSE)</f>
        <v>(0; 0,0837; 0,1673)</v>
      </c>
      <c r="D19" t="str">
        <f>VLOOKUP(D5,'Thang đánh giá'!$C$2:$D$27,2,FALSE)</f>
        <v>(0; 0; 0,0316)</v>
      </c>
      <c r="E19" t="str">
        <f>VLOOKUP(E5,'Thang đánh giá'!$C$2:$D$27,2,FALSE)</f>
        <v>(0; 0; 0)</v>
      </c>
      <c r="F19" t="str">
        <f>VLOOKUP(F5,'Thang đánh giá'!$C$2:$D$27,2,FALSE)</f>
        <v>(0,0837; 0,1673; 0,251)</v>
      </c>
      <c r="G19" t="str">
        <f>VLOOKUP(G5,'Thang đánh giá'!$C$2:$D$27,2,FALSE)</f>
        <v>(0; 0,0548; 0,1095)</v>
      </c>
      <c r="H19" t="str">
        <f>VLOOKUP(H5,'Thang đánh giá'!$C$2:$D$27,2,FALSE)</f>
        <v>(0,1897; 0,2846; 0,3795)</v>
      </c>
      <c r="I19" t="str">
        <f>VLOOKUP(I5,'Thang đánh giá'!$C$2:$D$27,2,FALSE)</f>
        <v>(0; 0; 0,0707)</v>
      </c>
      <c r="J19" t="str">
        <f>VLOOKUP(J5,'Thang đánh giá'!$C$2:$D$27,2,FALSE)</f>
        <v>(0,1897; 0,2846; 0,3795)</v>
      </c>
      <c r="K19" t="str">
        <f>VLOOKUP(K5,'Thang đánh giá'!$C$2:$D$27,2,FALSE)</f>
        <v>(0; 0; 0,0707)</v>
      </c>
      <c r="L19" t="str">
        <f>VLOOKUP(L5,'Thang đánh giá'!$C$2:$D$27,2,FALSE)</f>
        <v>(0,1897; 0,2846; 0,3795)</v>
      </c>
      <c r="M19" t="str">
        <f>VLOOKUP(M5,'Thang đánh giá'!$C$2:$D$27,2,FALSE)</f>
        <v>(0,1897; 0,2846; 0,3795)</v>
      </c>
    </row>
    <row r="20" spans="1:13" x14ac:dyDescent="0.3">
      <c r="A20" t="s">
        <v>4</v>
      </c>
      <c r="B20" t="str">
        <f>VLOOKUP(B6,'Thang đánh giá'!$C$2:$D$27,2,FALSE)</f>
        <v>(0,0837; 0,1673; 0,251)</v>
      </c>
      <c r="C20" t="str">
        <f>VLOOKUP(C6,'Thang đánh giá'!$C$2:$D$27,2,FALSE)</f>
        <v>(0; 0; 0,0548)</v>
      </c>
      <c r="D20" t="str">
        <f>VLOOKUP(D6,'Thang đánh giá'!$C$2:$D$27,2,FALSE)</f>
        <v>(0; 0; 0,0548)</v>
      </c>
      <c r="E20" t="str">
        <f>VLOOKUP(E6,'Thang đánh giá'!$C$2:$D$27,2,FALSE)</f>
        <v>(0; 0; 0,0548)</v>
      </c>
      <c r="F20" t="str">
        <f>VLOOKUP(F6,'Thang đánh giá'!$C$2:$D$27,2,FALSE)</f>
        <v>(0; 0; 0)</v>
      </c>
      <c r="G20" t="str">
        <f>VLOOKUP(G6,'Thang đánh giá'!$C$2:$D$27,2,FALSE)</f>
        <v>(0,251; 0,3347; 0,3347)</v>
      </c>
      <c r="H20" t="str">
        <f>VLOOKUP(H6,'Thang đánh giá'!$C$2:$D$27,2,FALSE)</f>
        <v>(0; 0,0707; 0,1414)</v>
      </c>
      <c r="I20" t="str">
        <f>VLOOKUP(I6,'Thang đánh giá'!$C$2:$D$27,2,FALSE)</f>
        <v>(0; 0; 0,0707)</v>
      </c>
      <c r="J20" t="str">
        <f>VLOOKUP(J6,'Thang đánh giá'!$C$2:$D$27,2,FALSE)</f>
        <v>(0,251; 0,3347; 0,3347)</v>
      </c>
      <c r="K20" t="str">
        <f>VLOOKUP(K6,'Thang đánh giá'!$C$2:$D$27,2,FALSE)</f>
        <v>(0,1897; 0,2846; 0,3795)</v>
      </c>
      <c r="L20" t="str">
        <f>VLOOKUP(L6,'Thang đánh giá'!$C$2:$D$27,2,FALSE)</f>
        <v>(0; 0; 0,0548)</v>
      </c>
      <c r="M20" t="str">
        <f>VLOOKUP(M6,'Thang đánh giá'!$C$2:$D$27,2,FALSE)</f>
        <v>(0; 0; 0,0707)</v>
      </c>
    </row>
    <row r="21" spans="1:13" x14ac:dyDescent="0.3">
      <c r="A21" t="s">
        <v>5</v>
      </c>
      <c r="B21" t="str">
        <f>VLOOKUP(B7,'Thang đánh giá'!$C$2:$D$27,2,FALSE)</f>
        <v>(0; 0; 0,0707)</v>
      </c>
      <c r="C21" t="str">
        <f>VLOOKUP(C7,'Thang đánh giá'!$C$2:$D$27,2,FALSE)</f>
        <v>(0; 0; 0,0707)</v>
      </c>
      <c r="D21" t="str">
        <f>VLOOKUP(D7,'Thang đánh giá'!$C$2:$D$27,2,FALSE)</f>
        <v>(0; 0; 0,0707)</v>
      </c>
      <c r="E21" t="str">
        <f>VLOOKUP(E7,'Thang đánh giá'!$C$2:$D$27,2,FALSE)</f>
        <v>(0; 0,0707; 0,1414)</v>
      </c>
      <c r="F21" t="str">
        <f>VLOOKUP(F7,'Thang đánh giá'!$C$2:$D$27,2,FALSE)</f>
        <v>(0; 0,0707; 0,1414)</v>
      </c>
      <c r="G21" t="str">
        <f>VLOOKUP(G7,'Thang đánh giá'!$C$2:$D$27,2,FALSE)</f>
        <v>(0; 0; 0)</v>
      </c>
      <c r="H21" t="str">
        <f>VLOOKUP(H7,'Thang đánh giá'!$C$2:$D$27,2,FALSE)</f>
        <v>(0; 0; 0,0548)</v>
      </c>
      <c r="I21" t="str">
        <f>VLOOKUP(I7,'Thang đánh giá'!$C$2:$D$27,2,FALSE)</f>
        <v>(0; 0; 0,0707)</v>
      </c>
      <c r="J21" t="str">
        <f>VLOOKUP(J7,'Thang đánh giá'!$C$2:$D$27,2,FALSE)</f>
        <v>(0,251; 0,3347; 0,3347)</v>
      </c>
      <c r="K21" t="str">
        <f>VLOOKUP(K7,'Thang đánh giá'!$C$2:$D$27,2,FALSE)</f>
        <v>(0; 0; 0,0707)</v>
      </c>
      <c r="L21" t="str">
        <f>VLOOKUP(L7,'Thang đánh giá'!$C$2:$D$27,2,FALSE)</f>
        <v>(0; 0; 0,0707)</v>
      </c>
      <c r="M21" t="str">
        <f>VLOOKUP(M7,'Thang đánh giá'!$C$2:$D$27,2,FALSE)</f>
        <v>(0; 0; 0,0707)</v>
      </c>
    </row>
    <row r="22" spans="1:13" x14ac:dyDescent="0.3">
      <c r="A22" t="s">
        <v>6</v>
      </c>
      <c r="B22" t="str">
        <f>VLOOKUP(B8,'Thang đánh giá'!$C$2:$D$27,2,FALSE)</f>
        <v>(0; 0; 0,0548)</v>
      </c>
      <c r="C22" t="str">
        <f>VLOOKUP(C8,'Thang đánh giá'!$C$2:$D$27,2,FALSE)</f>
        <v>(0; 0; 0,0548)</v>
      </c>
      <c r="D22" t="str">
        <f>VLOOKUP(D8,'Thang đánh giá'!$C$2:$D$27,2,FALSE)</f>
        <v>(0; 0; 0,0837)</v>
      </c>
      <c r="E22" t="str">
        <f>VLOOKUP(E8,'Thang đánh giá'!$C$2:$D$27,2,FALSE)</f>
        <v>(0; 0; 0,0707)</v>
      </c>
      <c r="F22" t="str">
        <f>VLOOKUP(F8,'Thang đánh giá'!$C$2:$D$27,2,FALSE)</f>
        <v>(0; 0,0548; 0,1095)</v>
      </c>
      <c r="G22" t="str">
        <f>VLOOKUP(G8,'Thang đánh giá'!$C$2:$D$27,2,FALSE)</f>
        <v>(0; 0,0707; 0,1414)</v>
      </c>
      <c r="H22" t="str">
        <f>VLOOKUP(H8,'Thang đánh giá'!$C$2:$D$27,2,FALSE)</f>
        <v>(0; 0; 0)</v>
      </c>
      <c r="I22" t="str">
        <f>VLOOKUP(I8,'Thang đánh giá'!$C$2:$D$27,2,FALSE)</f>
        <v>(0; 0; 0,0707)</v>
      </c>
      <c r="J22" t="str">
        <f>VLOOKUP(J8,'Thang đánh giá'!$C$2:$D$27,2,FALSE)</f>
        <v>(0; 0; 0,0707)</v>
      </c>
      <c r="K22" t="str">
        <f>VLOOKUP(K8,'Thang đánh giá'!$C$2:$D$27,2,FALSE)</f>
        <v>(0,0707; 0,1414; 0,2121)</v>
      </c>
      <c r="L22" t="str">
        <f>VLOOKUP(L8,'Thang đánh giá'!$C$2:$D$27,2,FALSE)</f>
        <v>(0; 0; 0,0707)</v>
      </c>
      <c r="M22" t="str">
        <f>VLOOKUP(M8,'Thang đánh giá'!$C$2:$D$27,2,FALSE)</f>
        <v>(0; 0,0548; 0,1095)</v>
      </c>
    </row>
    <row r="23" spans="1:13" x14ac:dyDescent="0.3">
      <c r="A23" t="s">
        <v>7</v>
      </c>
      <c r="B23" t="str">
        <f>VLOOKUP(B9,'Thang đánh giá'!$C$2:$D$27,2,FALSE)</f>
        <v>(0; 0,0707; 0,1414)</v>
      </c>
      <c r="C23" t="str">
        <f>VLOOKUP(C9,'Thang đánh giá'!$C$2:$D$27,2,FALSE)</f>
        <v>(0; 0; 0,0707)</v>
      </c>
      <c r="D23" t="str">
        <f>VLOOKUP(D9,'Thang đánh giá'!$C$2:$D$27,2,FALSE)</f>
        <v>(0; 0; 0,0707)</v>
      </c>
      <c r="E23" t="str">
        <f>VLOOKUP(E9,'Thang đánh giá'!$C$2:$D$27,2,FALSE)</f>
        <v>(0; 0; 0,0548)</v>
      </c>
      <c r="F23" t="str">
        <f>VLOOKUP(F9,'Thang đánh giá'!$C$2:$D$27,2,FALSE)</f>
        <v>(0; 0; 0,0707)</v>
      </c>
      <c r="G23" t="str">
        <f>VLOOKUP(G9,'Thang đánh giá'!$C$2:$D$27,2,FALSE)</f>
        <v>(0; 0; 0,0837)</v>
      </c>
      <c r="H23" t="str">
        <f>VLOOKUP(H9,'Thang đánh giá'!$C$2:$D$27,2,FALSE)</f>
        <v>(0; 0; 0,0548)</v>
      </c>
      <c r="I23" t="str">
        <f>VLOOKUP(I9,'Thang đánh giá'!$C$2:$D$27,2,FALSE)</f>
        <v>(0; 0; 0)</v>
      </c>
      <c r="J23" t="str">
        <f>VLOOKUP(J9,'Thang đánh giá'!$C$2:$D$27,2,FALSE)</f>
        <v>(0,1897; 0,2846; 0,3795)</v>
      </c>
      <c r="K23" t="str">
        <f>VLOOKUP(K9,'Thang đánh giá'!$C$2:$D$27,2,FALSE)</f>
        <v>(0,2846; 0,3795; 0,3795)</v>
      </c>
      <c r="L23" t="str">
        <f>VLOOKUP(L9,'Thang đánh giá'!$C$2:$D$27,2,FALSE)</f>
        <v>(0,2846; 0,3795; 0,3795)</v>
      </c>
      <c r="M23" t="str">
        <f>VLOOKUP(M9,'Thang đánh giá'!$C$2:$D$27,2,FALSE)</f>
        <v>(0,1897; 0,2846; 0,3795)</v>
      </c>
    </row>
    <row r="24" spans="1:13" x14ac:dyDescent="0.3">
      <c r="A24" t="s">
        <v>8</v>
      </c>
      <c r="B24" t="str">
        <f>VLOOKUP(B10,'Thang đánh giá'!$C$2:$D$27,2,FALSE)</f>
        <v>(0,1673; 0,251; 0,3347)</v>
      </c>
      <c r="C24" t="str">
        <f>VLOOKUP(C10,'Thang đánh giá'!$C$2:$D$27,2,FALSE)</f>
        <v>(0; 0,0707; 0,1414)</v>
      </c>
      <c r="D24" t="str">
        <f>VLOOKUP(D10,'Thang đánh giá'!$C$2:$D$27,2,FALSE)</f>
        <v>(0; 0,0707; 0,1414)</v>
      </c>
      <c r="E24" t="str">
        <f>VLOOKUP(E10,'Thang đánh giá'!$C$2:$D$27,2,FALSE)</f>
        <v>(0; 0; 0,0548)</v>
      </c>
      <c r="F24" t="str">
        <f>VLOOKUP(F10,'Thang đánh giá'!$C$2:$D$27,2,FALSE)</f>
        <v>(0; 0; 0,0837)</v>
      </c>
      <c r="G24" t="str">
        <f>VLOOKUP(G10,'Thang đánh giá'!$C$2:$D$27,2,FALSE)</f>
        <v>(0; 0,0707; 0,1414)</v>
      </c>
      <c r="H24" t="str">
        <f>VLOOKUP(H10,'Thang đánh giá'!$C$2:$D$27,2,FALSE)</f>
        <v>(0,1673; 0,251; 0,3347)</v>
      </c>
      <c r="I24" t="str">
        <f>VLOOKUP(I10,'Thang đánh giá'!$C$2:$D$27,2,FALSE)</f>
        <v>(0,0837; 0,1673; 0,251)</v>
      </c>
      <c r="J24" t="str">
        <f>VLOOKUP(J10,'Thang đánh giá'!$C$2:$D$27,2,FALSE)</f>
        <v>(0; 0; 0)</v>
      </c>
      <c r="K24" t="str">
        <f>VLOOKUP(K10,'Thang đánh giá'!$C$2:$D$27,2,FALSE)</f>
        <v>(0,2846; 0,3795; 0,3795)</v>
      </c>
      <c r="L24" t="str">
        <f>VLOOKUP(L10,'Thang đánh giá'!$C$2:$D$27,2,FALSE)</f>
        <v>(0,1897; 0,2846; 0,3795)</v>
      </c>
      <c r="M24" t="str">
        <f>VLOOKUP(M10,'Thang đánh giá'!$C$2:$D$27,2,FALSE)</f>
        <v>(0,1897; 0,2846; 0,3795)</v>
      </c>
    </row>
    <row r="25" spans="1:13" x14ac:dyDescent="0.3">
      <c r="A25" t="s">
        <v>9</v>
      </c>
      <c r="B25" t="str">
        <f>VLOOKUP(B11,'Thang đánh giá'!$C$2:$D$27,2,FALSE)</f>
        <v>(0; 0; 0,0548)</v>
      </c>
      <c r="C25" t="str">
        <f>VLOOKUP(C11,'Thang đánh giá'!$C$2:$D$27,2,FALSE)</f>
        <v>(0; 0,0316; 0,0632)</v>
      </c>
      <c r="D25" t="str">
        <f>VLOOKUP(D11,'Thang đánh giá'!$C$2:$D$27,2,FALSE)</f>
        <v>(0; 0,0707; 0,1414)</v>
      </c>
      <c r="E25" t="str">
        <f>VLOOKUP(E11,'Thang đánh giá'!$C$2:$D$27,2,FALSE)</f>
        <v>(0,0707; 0,1414; 0,2121)</v>
      </c>
      <c r="F25" t="str">
        <f>VLOOKUP(F11,'Thang đánh giá'!$C$2:$D$27,2,FALSE)</f>
        <v>(0; 0,0548; 0,1095)</v>
      </c>
      <c r="G25" t="str">
        <f>VLOOKUP(G11,'Thang đánh giá'!$C$2:$D$27,2,FALSE)</f>
        <v>(0; 0; 0,0707)</v>
      </c>
      <c r="H25" t="str">
        <f>VLOOKUP(H11,'Thang đánh giá'!$C$2:$D$27,2,FALSE)</f>
        <v>(0; 0; 0,0707)</v>
      </c>
      <c r="I25" t="str">
        <f>VLOOKUP(I11,'Thang đánh giá'!$C$2:$D$27,2,FALSE)</f>
        <v>(0,0707; 0,1414; 0,2121)</v>
      </c>
      <c r="J25" t="str">
        <f>VLOOKUP(J11,'Thang đánh giá'!$C$2:$D$27,2,FALSE)</f>
        <v>(0; 0,0548; 0,1095)</v>
      </c>
      <c r="K25" t="str">
        <f>VLOOKUP(K11,'Thang đánh giá'!$C$2:$D$27,2,FALSE)</f>
        <v>(0; 0; 0)</v>
      </c>
      <c r="L25" t="str">
        <f>VLOOKUP(L11,'Thang đánh giá'!$C$2:$D$27,2,FALSE)</f>
        <v>(0,0707; 0,1414; 0,2121)</v>
      </c>
      <c r="M25" t="str">
        <f>VLOOKUP(M11,'Thang đánh giá'!$C$2:$D$27,2,FALSE)</f>
        <v>(0; 0; 0,0707)</v>
      </c>
    </row>
    <row r="26" spans="1:13" x14ac:dyDescent="0.3">
      <c r="A26" t="s">
        <v>10</v>
      </c>
      <c r="B26" t="str">
        <f>VLOOKUP(B12,'Thang đánh giá'!$C$2:$D$27,2,FALSE)</f>
        <v>(0; 0; 0,0707)</v>
      </c>
      <c r="C26" t="str">
        <f>VLOOKUP(C12,'Thang đánh giá'!$C$2:$D$27,2,FALSE)</f>
        <v>(0; 0; 0,0707)</v>
      </c>
      <c r="D26" t="str">
        <f>VLOOKUP(D12,'Thang đánh giá'!$C$2:$D$27,2,FALSE)</f>
        <v>(0,0707; 0,1414; 0,2121)</v>
      </c>
      <c r="E26" t="str">
        <f>VLOOKUP(E12,'Thang đánh giá'!$C$2:$D$27,2,FALSE)</f>
        <v>(0,0707; 0,1414; 0,2121)</v>
      </c>
      <c r="F26" t="str">
        <f>VLOOKUP(F12,'Thang đánh giá'!$C$2:$D$27,2,FALSE)</f>
        <v>(0; 0,0548; 0,1095)</v>
      </c>
      <c r="G26" t="str">
        <f>VLOOKUP(G12,'Thang đánh giá'!$C$2:$D$27,2,FALSE)</f>
        <v>(0; 0; 0,0707)</v>
      </c>
      <c r="H26" t="str">
        <f>VLOOKUP(H12,'Thang đánh giá'!$C$2:$D$27,2,FALSE)</f>
        <v>(0; 0; 0,0548)</v>
      </c>
      <c r="I26" t="str">
        <f>VLOOKUP(I12,'Thang đánh giá'!$C$2:$D$27,2,FALSE)</f>
        <v>(0; 0,0707; 0,1414)</v>
      </c>
      <c r="J26" t="str">
        <f>VLOOKUP(J12,'Thang đánh giá'!$C$2:$D$27,2,FALSE)</f>
        <v>(0; 0; 0,0316)</v>
      </c>
      <c r="K26" t="str">
        <f>VLOOKUP(K12,'Thang đánh giá'!$C$2:$D$27,2,FALSE)</f>
        <v>(0; 0,0707; 0,1414)</v>
      </c>
      <c r="L26" t="str">
        <f>VLOOKUP(L12,'Thang đánh giá'!$C$2:$D$27,2,FALSE)</f>
        <v>(0; 0; 0)</v>
      </c>
      <c r="M26" t="str">
        <f>VLOOKUP(M12,'Thang đánh giá'!$C$2:$D$27,2,FALSE)</f>
        <v>(0,2846; 0,3795; 0,3795)</v>
      </c>
    </row>
    <row r="27" spans="1:13" x14ac:dyDescent="0.3">
      <c r="A27" t="s">
        <v>11</v>
      </c>
      <c r="B27" t="str">
        <f>VLOOKUP(B13,'Thang đánh giá'!$C$2:$D$27,2,FALSE)</f>
        <v>(0; 0; 0,0548)</v>
      </c>
      <c r="C27" t="str">
        <f>VLOOKUP(C13,'Thang đánh giá'!$C$2:$D$27,2,FALSE)</f>
        <v>(0; 0; 0,0707)</v>
      </c>
      <c r="D27" t="str">
        <f>VLOOKUP(D13,'Thang đánh giá'!$C$2:$D$27,2,FALSE)</f>
        <v>(0; 0; 0,0707)</v>
      </c>
      <c r="E27" t="str">
        <f>VLOOKUP(E13,'Thang đánh giá'!$C$2:$D$27,2,FALSE)</f>
        <v>(0,0707; 0,1414; 0,2121)</v>
      </c>
      <c r="F27" t="str">
        <f>VLOOKUP(F13,'Thang đánh giá'!$C$2:$D$27,2,FALSE)</f>
        <v>(0,0837; 0,1673; 0,251)</v>
      </c>
      <c r="G27" t="str">
        <f>VLOOKUP(G13,'Thang đánh giá'!$C$2:$D$27,2,FALSE)</f>
        <v>(0; 0,0316; 0,0632)</v>
      </c>
      <c r="H27" t="str">
        <f>VLOOKUP(H13,'Thang đánh giá'!$C$2:$D$27,2,FALSE)</f>
        <v>(0; 0; 0,0548)</v>
      </c>
      <c r="I27" t="str">
        <f>VLOOKUP(I13,'Thang đánh giá'!$C$2:$D$27,2,FALSE)</f>
        <v>(0; 0; 0,0837)</v>
      </c>
      <c r="J27" t="str">
        <f>VLOOKUP(J13,'Thang đánh giá'!$C$2:$D$27,2,FALSE)</f>
        <v>(0; 0,0707; 0,1414)</v>
      </c>
      <c r="K27" t="str">
        <f>VLOOKUP(K13,'Thang đánh giá'!$C$2:$D$27,2,FALSE)</f>
        <v>(0; 0,0548; 0,1095)</v>
      </c>
      <c r="L27" t="str">
        <f>VLOOKUP(L13,'Thang đánh giá'!$C$2:$D$27,2,FALSE)</f>
        <v>(0; 0; 0,0548)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0.1673</v>
      </c>
      <c r="D30">
        <f t="shared" si="0"/>
        <v>8.3699999999999997E-2</v>
      </c>
      <c r="E30">
        <f t="shared" si="0"/>
        <v>0</v>
      </c>
      <c r="F30">
        <f t="shared" si="0"/>
        <v>0</v>
      </c>
      <c r="G30">
        <f t="shared" si="0"/>
        <v>0</v>
      </c>
      <c r="H30">
        <f t="shared" si="0"/>
        <v>0</v>
      </c>
      <c r="I30">
        <f t="shared" si="0"/>
        <v>7.0699999999999999E-2</v>
      </c>
      <c r="J30">
        <f t="shared" si="0"/>
        <v>0.1673</v>
      </c>
      <c r="K30">
        <f t="shared" si="0"/>
        <v>0</v>
      </c>
      <c r="L30">
        <f t="shared" si="0"/>
        <v>0</v>
      </c>
      <c r="M30">
        <f t="shared" si="0"/>
        <v>0</v>
      </c>
    </row>
    <row r="31" spans="1:13" x14ac:dyDescent="0.3">
      <c r="A31" t="s">
        <v>1</v>
      </c>
      <c r="B31">
        <f t="shared" ref="B31:M41" si="1">_xlfn.NUMBERVALUE(MID(B17,2,FIND(";",B17,1)-2))</f>
        <v>7.0699999999999999E-2</v>
      </c>
      <c r="C31">
        <f t="shared" si="1"/>
        <v>0</v>
      </c>
      <c r="D31">
        <f t="shared" si="1"/>
        <v>0.251</v>
      </c>
      <c r="E31">
        <f t="shared" si="1"/>
        <v>0.251</v>
      </c>
      <c r="F31">
        <f t="shared" si="1"/>
        <v>8.3699999999999997E-2</v>
      </c>
      <c r="G31">
        <f t="shared" si="1"/>
        <v>0.28460000000000002</v>
      </c>
      <c r="H31">
        <f t="shared" si="1"/>
        <v>0.251</v>
      </c>
      <c r="I31">
        <f t="shared" si="1"/>
        <v>0</v>
      </c>
      <c r="J31">
        <f t="shared" si="1"/>
        <v>0.1673</v>
      </c>
      <c r="K31">
        <f t="shared" si="1"/>
        <v>0.28460000000000002</v>
      </c>
      <c r="L31">
        <f t="shared" si="1"/>
        <v>0.251</v>
      </c>
      <c r="M31">
        <f t="shared" si="1"/>
        <v>0.28460000000000002</v>
      </c>
    </row>
    <row r="32" spans="1:13" x14ac:dyDescent="0.3">
      <c r="A32" t="s">
        <v>2</v>
      </c>
      <c r="B32">
        <f t="shared" si="1"/>
        <v>7.0699999999999999E-2</v>
      </c>
      <c r="C32">
        <f t="shared" si="1"/>
        <v>0</v>
      </c>
      <c r="D32">
        <f t="shared" si="1"/>
        <v>0</v>
      </c>
      <c r="E32">
        <f t="shared" si="1"/>
        <v>0.1414</v>
      </c>
      <c r="F32">
        <f t="shared" si="1"/>
        <v>0</v>
      </c>
      <c r="G32">
        <f t="shared" si="1"/>
        <v>0</v>
      </c>
      <c r="H32">
        <f t="shared" si="1"/>
        <v>0</v>
      </c>
      <c r="I32">
        <f t="shared" si="1"/>
        <v>0</v>
      </c>
      <c r="J32">
        <f t="shared" si="1"/>
        <v>0.18970000000000001</v>
      </c>
      <c r="K32">
        <f t="shared" si="1"/>
        <v>0.251</v>
      </c>
      <c r="L32">
        <f t="shared" si="1"/>
        <v>0.18970000000000001</v>
      </c>
      <c r="M32">
        <f t="shared" si="1"/>
        <v>0.18970000000000001</v>
      </c>
    </row>
    <row r="33" spans="1:13" x14ac:dyDescent="0.3">
      <c r="A33" t="s">
        <v>3</v>
      </c>
      <c r="B33">
        <f t="shared" si="1"/>
        <v>0</v>
      </c>
      <c r="C33">
        <f t="shared" si="1"/>
        <v>0</v>
      </c>
      <c r="D33">
        <f t="shared" si="1"/>
        <v>0</v>
      </c>
      <c r="E33">
        <f t="shared" si="1"/>
        <v>0</v>
      </c>
      <c r="F33">
        <f t="shared" si="1"/>
        <v>8.3699999999999997E-2</v>
      </c>
      <c r="G33">
        <f t="shared" si="1"/>
        <v>0</v>
      </c>
      <c r="H33">
        <f t="shared" si="1"/>
        <v>0.18970000000000001</v>
      </c>
      <c r="I33">
        <f t="shared" si="1"/>
        <v>0</v>
      </c>
      <c r="J33">
        <f t="shared" si="1"/>
        <v>0.18970000000000001</v>
      </c>
      <c r="K33">
        <f t="shared" si="1"/>
        <v>0</v>
      </c>
      <c r="L33">
        <f t="shared" si="1"/>
        <v>0.18970000000000001</v>
      </c>
      <c r="M33">
        <f t="shared" si="1"/>
        <v>0.18970000000000001</v>
      </c>
    </row>
    <row r="34" spans="1:13" x14ac:dyDescent="0.3">
      <c r="A34" t="s">
        <v>4</v>
      </c>
      <c r="B34">
        <f t="shared" ref="B34:M34" si="2">_xlfn.NUMBERVALUE(MID(B20,2,FIND(";",B20,1)-2))</f>
        <v>8.3699999999999997E-2</v>
      </c>
      <c r="C34">
        <f t="shared" si="2"/>
        <v>0</v>
      </c>
      <c r="D34">
        <f t="shared" si="2"/>
        <v>0</v>
      </c>
      <c r="E34">
        <f t="shared" si="2"/>
        <v>0</v>
      </c>
      <c r="F34">
        <f t="shared" si="2"/>
        <v>0</v>
      </c>
      <c r="G34">
        <f t="shared" si="2"/>
        <v>0.251</v>
      </c>
      <c r="H34">
        <f t="shared" si="2"/>
        <v>0</v>
      </c>
      <c r="I34">
        <f t="shared" si="2"/>
        <v>0</v>
      </c>
      <c r="J34">
        <f t="shared" si="2"/>
        <v>0.251</v>
      </c>
      <c r="K34">
        <f t="shared" si="2"/>
        <v>0.18970000000000001</v>
      </c>
      <c r="L34">
        <f t="shared" si="2"/>
        <v>0</v>
      </c>
      <c r="M34">
        <f t="shared" si="2"/>
        <v>0</v>
      </c>
    </row>
    <row r="35" spans="1:13" x14ac:dyDescent="0.3">
      <c r="A35" t="s">
        <v>5</v>
      </c>
      <c r="B35">
        <f t="shared" si="1"/>
        <v>0</v>
      </c>
      <c r="C35">
        <f t="shared" si="1"/>
        <v>0</v>
      </c>
      <c r="D35">
        <f t="shared" si="1"/>
        <v>0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0</v>
      </c>
      <c r="J35">
        <f t="shared" si="1"/>
        <v>0.251</v>
      </c>
      <c r="K35">
        <f t="shared" si="1"/>
        <v>0</v>
      </c>
      <c r="L35">
        <f t="shared" si="1"/>
        <v>0</v>
      </c>
      <c r="M35">
        <f t="shared" si="1"/>
        <v>0</v>
      </c>
    </row>
    <row r="36" spans="1:13" x14ac:dyDescent="0.3">
      <c r="A36" t="s">
        <v>6</v>
      </c>
      <c r="B36">
        <f t="shared" si="1"/>
        <v>0</v>
      </c>
      <c r="C36">
        <f t="shared" si="1"/>
        <v>0</v>
      </c>
      <c r="D36">
        <f t="shared" si="1"/>
        <v>0</v>
      </c>
      <c r="E36">
        <f t="shared" si="1"/>
        <v>0</v>
      </c>
      <c r="F36">
        <f t="shared" si="1"/>
        <v>0</v>
      </c>
      <c r="G36">
        <f t="shared" si="1"/>
        <v>0</v>
      </c>
      <c r="H36">
        <f t="shared" si="1"/>
        <v>0</v>
      </c>
      <c r="I36">
        <f t="shared" si="1"/>
        <v>0</v>
      </c>
      <c r="J36">
        <f t="shared" si="1"/>
        <v>0</v>
      </c>
      <c r="K36">
        <f t="shared" si="1"/>
        <v>7.0699999999999999E-2</v>
      </c>
      <c r="L36">
        <f t="shared" si="1"/>
        <v>0</v>
      </c>
      <c r="M36">
        <f t="shared" si="1"/>
        <v>0</v>
      </c>
    </row>
    <row r="37" spans="1:13" x14ac:dyDescent="0.3">
      <c r="A37" t="s">
        <v>7</v>
      </c>
      <c r="B37">
        <f t="shared" si="1"/>
        <v>0</v>
      </c>
      <c r="C37">
        <f t="shared" si="1"/>
        <v>0</v>
      </c>
      <c r="D37">
        <f t="shared" si="1"/>
        <v>0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0.18970000000000001</v>
      </c>
      <c r="K37">
        <f t="shared" si="1"/>
        <v>0.28460000000000002</v>
      </c>
      <c r="L37">
        <f t="shared" si="1"/>
        <v>0.28460000000000002</v>
      </c>
      <c r="M37">
        <f t="shared" si="1"/>
        <v>0.18970000000000001</v>
      </c>
    </row>
    <row r="38" spans="1:13" x14ac:dyDescent="0.3">
      <c r="A38" t="s">
        <v>8</v>
      </c>
      <c r="B38">
        <f t="shared" si="1"/>
        <v>0.1673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0.1673</v>
      </c>
      <c r="I38">
        <f t="shared" si="1"/>
        <v>8.3699999999999997E-2</v>
      </c>
      <c r="J38">
        <f t="shared" si="1"/>
        <v>0</v>
      </c>
      <c r="K38">
        <f t="shared" si="1"/>
        <v>0.28460000000000002</v>
      </c>
      <c r="L38">
        <f t="shared" si="1"/>
        <v>0.18970000000000001</v>
      </c>
      <c r="M38">
        <f t="shared" si="1"/>
        <v>0.18970000000000001</v>
      </c>
    </row>
    <row r="39" spans="1:13" x14ac:dyDescent="0.3">
      <c r="A39" t="s">
        <v>9</v>
      </c>
      <c r="B39">
        <f t="shared" si="1"/>
        <v>0</v>
      </c>
      <c r="C39">
        <f t="shared" si="1"/>
        <v>0</v>
      </c>
      <c r="D39">
        <f t="shared" si="1"/>
        <v>0</v>
      </c>
      <c r="E39">
        <f t="shared" si="1"/>
        <v>7.0699999999999999E-2</v>
      </c>
      <c r="F39">
        <f t="shared" si="1"/>
        <v>0</v>
      </c>
      <c r="G39">
        <f t="shared" si="1"/>
        <v>0</v>
      </c>
      <c r="H39">
        <f t="shared" si="1"/>
        <v>0</v>
      </c>
      <c r="I39">
        <f t="shared" si="1"/>
        <v>7.0699999999999999E-2</v>
      </c>
      <c r="J39">
        <f t="shared" si="1"/>
        <v>0</v>
      </c>
      <c r="K39">
        <f t="shared" si="1"/>
        <v>0</v>
      </c>
      <c r="L39">
        <f t="shared" si="1"/>
        <v>7.0699999999999999E-2</v>
      </c>
      <c r="M39">
        <f t="shared" si="1"/>
        <v>0</v>
      </c>
    </row>
    <row r="40" spans="1:13" x14ac:dyDescent="0.3">
      <c r="A40" t="s">
        <v>10</v>
      </c>
      <c r="B40">
        <f t="shared" si="1"/>
        <v>0</v>
      </c>
      <c r="C40">
        <f t="shared" si="1"/>
        <v>0</v>
      </c>
      <c r="D40">
        <f t="shared" si="1"/>
        <v>7.0699999999999999E-2</v>
      </c>
      <c r="E40">
        <f t="shared" si="1"/>
        <v>7.0699999999999999E-2</v>
      </c>
      <c r="F40">
        <f t="shared" si="1"/>
        <v>0</v>
      </c>
      <c r="G40">
        <f t="shared" si="1"/>
        <v>0</v>
      </c>
      <c r="H40">
        <f t="shared" si="1"/>
        <v>0</v>
      </c>
      <c r="I40">
        <f t="shared" si="1"/>
        <v>0</v>
      </c>
      <c r="J40">
        <f t="shared" si="1"/>
        <v>0</v>
      </c>
      <c r="K40">
        <f t="shared" si="1"/>
        <v>0</v>
      </c>
      <c r="L40">
        <f t="shared" si="1"/>
        <v>0</v>
      </c>
      <c r="M40">
        <f t="shared" si="1"/>
        <v>0.28460000000000002</v>
      </c>
    </row>
    <row r="41" spans="1:13" x14ac:dyDescent="0.3">
      <c r="A41" t="s">
        <v>11</v>
      </c>
      <c r="B41">
        <f t="shared" si="1"/>
        <v>0</v>
      </c>
      <c r="C41">
        <f t="shared" si="1"/>
        <v>0</v>
      </c>
      <c r="D41">
        <f t="shared" si="1"/>
        <v>0</v>
      </c>
      <c r="E41">
        <f t="shared" si="1"/>
        <v>7.0699999999999999E-2</v>
      </c>
      <c r="F41">
        <f t="shared" si="1"/>
        <v>8.3699999999999997E-2</v>
      </c>
      <c r="G41">
        <f t="shared" si="1"/>
        <v>0</v>
      </c>
      <c r="H41">
        <f t="shared" si="1"/>
        <v>0</v>
      </c>
      <c r="I41">
        <f t="shared" si="1"/>
        <v>0</v>
      </c>
      <c r="J41">
        <f t="shared" si="1"/>
        <v>0</v>
      </c>
      <c r="K41">
        <f t="shared" si="1"/>
        <v>0</v>
      </c>
      <c r="L41">
        <f t="shared" si="1"/>
        <v>0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0.251</v>
      </c>
      <c r="D44">
        <f t="shared" si="3"/>
        <v>0.1673</v>
      </c>
      <c r="E44">
        <f t="shared" si="3"/>
        <v>8.3699999999999997E-2</v>
      </c>
      <c r="F44">
        <f t="shared" si="3"/>
        <v>5.4800000000000001E-2</v>
      </c>
      <c r="G44">
        <f t="shared" si="3"/>
        <v>0</v>
      </c>
      <c r="H44">
        <f t="shared" si="3"/>
        <v>0</v>
      </c>
      <c r="I44">
        <f t="shared" si="3"/>
        <v>0.1414</v>
      </c>
      <c r="J44">
        <f t="shared" si="3"/>
        <v>0.251</v>
      </c>
      <c r="K44">
        <f t="shared" si="3"/>
        <v>0</v>
      </c>
      <c r="L44">
        <f t="shared" si="3"/>
        <v>0</v>
      </c>
      <c r="M44">
        <f t="shared" si="3"/>
        <v>0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0.1414</v>
      </c>
      <c r="C45">
        <f t="shared" si="4"/>
        <v>0</v>
      </c>
      <c r="D45">
        <f t="shared" si="4"/>
        <v>0.3347</v>
      </c>
      <c r="E45">
        <f t="shared" si="4"/>
        <v>0.3347</v>
      </c>
      <c r="F45">
        <f t="shared" si="4"/>
        <v>0.1673</v>
      </c>
      <c r="G45">
        <f t="shared" si="4"/>
        <v>0.3795</v>
      </c>
      <c r="H45">
        <f t="shared" si="4"/>
        <v>0.3347</v>
      </c>
      <c r="I45">
        <f t="shared" si="4"/>
        <v>0</v>
      </c>
      <c r="J45">
        <f t="shared" si="4"/>
        <v>0.251</v>
      </c>
      <c r="K45">
        <f t="shared" si="4"/>
        <v>0.3795</v>
      </c>
      <c r="L45">
        <f t="shared" si="4"/>
        <v>0.3347</v>
      </c>
      <c r="M45">
        <f t="shared" si="4"/>
        <v>0.3795</v>
      </c>
    </row>
    <row r="46" spans="1:13" x14ac:dyDescent="0.3">
      <c r="A46" t="s">
        <v>2</v>
      </c>
      <c r="B46">
        <f t="shared" si="4"/>
        <v>0.1414</v>
      </c>
      <c r="C46">
        <f t="shared" si="4"/>
        <v>0</v>
      </c>
      <c r="D46">
        <f t="shared" si="4"/>
        <v>0</v>
      </c>
      <c r="E46">
        <f t="shared" si="4"/>
        <v>0.21210000000000001</v>
      </c>
      <c r="F46">
        <f t="shared" si="4"/>
        <v>7.0699999999999999E-2</v>
      </c>
      <c r="G46">
        <f t="shared" si="4"/>
        <v>0</v>
      </c>
      <c r="H46">
        <f t="shared" si="4"/>
        <v>7.0699999999999999E-2</v>
      </c>
      <c r="I46">
        <f t="shared" si="4"/>
        <v>0</v>
      </c>
      <c r="J46">
        <f t="shared" si="4"/>
        <v>0.28460000000000002</v>
      </c>
      <c r="K46">
        <f t="shared" si="4"/>
        <v>0.3347</v>
      </c>
      <c r="L46">
        <f t="shared" si="4"/>
        <v>0.28460000000000002</v>
      </c>
      <c r="M46">
        <f t="shared" si="4"/>
        <v>0.28460000000000002</v>
      </c>
    </row>
    <row r="47" spans="1:13" x14ac:dyDescent="0.3">
      <c r="A47" t="s">
        <v>3</v>
      </c>
      <c r="B47">
        <f t="shared" si="4"/>
        <v>0</v>
      </c>
      <c r="C47">
        <f t="shared" si="4"/>
        <v>8.3699999999999997E-2</v>
      </c>
      <c r="D47">
        <f t="shared" si="4"/>
        <v>0</v>
      </c>
      <c r="E47">
        <f t="shared" si="4"/>
        <v>0</v>
      </c>
      <c r="F47">
        <f t="shared" si="4"/>
        <v>0.1673</v>
      </c>
      <c r="G47">
        <f t="shared" si="4"/>
        <v>5.4800000000000001E-2</v>
      </c>
      <c r="H47">
        <f t="shared" si="4"/>
        <v>0.28460000000000002</v>
      </c>
      <c r="I47">
        <f t="shared" si="4"/>
        <v>0</v>
      </c>
      <c r="J47">
        <f t="shared" si="4"/>
        <v>0.28460000000000002</v>
      </c>
      <c r="K47">
        <f t="shared" si="4"/>
        <v>0</v>
      </c>
      <c r="L47">
        <f t="shared" si="4"/>
        <v>0.28460000000000002</v>
      </c>
      <c r="M47">
        <f t="shared" si="4"/>
        <v>0.28460000000000002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0.1673</v>
      </c>
      <c r="C48">
        <f t="shared" si="5"/>
        <v>0</v>
      </c>
      <c r="D48">
        <f t="shared" si="5"/>
        <v>0</v>
      </c>
      <c r="E48">
        <f t="shared" si="5"/>
        <v>0</v>
      </c>
      <c r="F48">
        <f t="shared" si="5"/>
        <v>0</v>
      </c>
      <c r="G48">
        <f t="shared" si="5"/>
        <v>0.3347</v>
      </c>
      <c r="H48">
        <f t="shared" si="5"/>
        <v>7.0699999999999999E-2</v>
      </c>
      <c r="I48">
        <f t="shared" si="5"/>
        <v>0</v>
      </c>
      <c r="J48">
        <f t="shared" si="5"/>
        <v>0.3347</v>
      </c>
      <c r="K48">
        <f t="shared" si="5"/>
        <v>0.28460000000000002</v>
      </c>
      <c r="L48">
        <f t="shared" si="5"/>
        <v>0</v>
      </c>
      <c r="M48">
        <f t="shared" si="5"/>
        <v>0</v>
      </c>
    </row>
    <row r="49" spans="1:13" x14ac:dyDescent="0.3">
      <c r="A49" t="s">
        <v>5</v>
      </c>
      <c r="B49">
        <f t="shared" si="4"/>
        <v>0</v>
      </c>
      <c r="C49">
        <f t="shared" si="4"/>
        <v>0</v>
      </c>
      <c r="D49">
        <f t="shared" si="4"/>
        <v>0</v>
      </c>
      <c r="E49">
        <f t="shared" si="4"/>
        <v>7.0699999999999999E-2</v>
      </c>
      <c r="F49">
        <f t="shared" si="4"/>
        <v>7.0699999999999999E-2</v>
      </c>
      <c r="G49">
        <f t="shared" si="4"/>
        <v>0</v>
      </c>
      <c r="H49">
        <f t="shared" si="4"/>
        <v>0</v>
      </c>
      <c r="I49">
        <f t="shared" si="4"/>
        <v>0</v>
      </c>
      <c r="J49">
        <f t="shared" si="4"/>
        <v>0.3347</v>
      </c>
      <c r="K49">
        <f t="shared" si="4"/>
        <v>0</v>
      </c>
      <c r="L49">
        <f t="shared" si="4"/>
        <v>0</v>
      </c>
      <c r="M49">
        <f t="shared" si="4"/>
        <v>0</v>
      </c>
    </row>
    <row r="50" spans="1:13" x14ac:dyDescent="0.3">
      <c r="A50" t="s">
        <v>6</v>
      </c>
      <c r="B50">
        <f t="shared" si="4"/>
        <v>0</v>
      </c>
      <c r="C50">
        <f t="shared" si="4"/>
        <v>0</v>
      </c>
      <c r="D50">
        <f t="shared" si="4"/>
        <v>0</v>
      </c>
      <c r="E50">
        <f t="shared" si="4"/>
        <v>0</v>
      </c>
      <c r="F50">
        <f t="shared" si="4"/>
        <v>5.4800000000000001E-2</v>
      </c>
      <c r="G50">
        <f t="shared" si="4"/>
        <v>7.0699999999999999E-2</v>
      </c>
      <c r="H50">
        <f t="shared" si="4"/>
        <v>0</v>
      </c>
      <c r="I50">
        <f t="shared" si="4"/>
        <v>0</v>
      </c>
      <c r="J50">
        <f t="shared" si="4"/>
        <v>0</v>
      </c>
      <c r="K50">
        <f t="shared" si="4"/>
        <v>0.1414</v>
      </c>
      <c r="L50">
        <f t="shared" si="4"/>
        <v>0</v>
      </c>
      <c r="M50">
        <f t="shared" si="4"/>
        <v>5.4800000000000001E-2</v>
      </c>
    </row>
    <row r="51" spans="1:13" x14ac:dyDescent="0.3">
      <c r="A51" t="s">
        <v>7</v>
      </c>
      <c r="B51">
        <f t="shared" si="4"/>
        <v>7.0699999999999999E-2</v>
      </c>
      <c r="C51">
        <f t="shared" si="4"/>
        <v>0</v>
      </c>
      <c r="D51">
        <f t="shared" si="4"/>
        <v>0</v>
      </c>
      <c r="E51">
        <f t="shared" si="4"/>
        <v>0</v>
      </c>
      <c r="F51">
        <f t="shared" si="4"/>
        <v>0</v>
      </c>
      <c r="G51">
        <f t="shared" si="4"/>
        <v>0</v>
      </c>
      <c r="H51">
        <f t="shared" si="4"/>
        <v>0</v>
      </c>
      <c r="I51">
        <f t="shared" si="4"/>
        <v>0</v>
      </c>
      <c r="J51">
        <f t="shared" si="4"/>
        <v>0.28460000000000002</v>
      </c>
      <c r="K51">
        <f t="shared" si="4"/>
        <v>0.3795</v>
      </c>
      <c r="L51">
        <f t="shared" si="4"/>
        <v>0.3795</v>
      </c>
      <c r="M51">
        <f t="shared" si="4"/>
        <v>0.28460000000000002</v>
      </c>
    </row>
    <row r="52" spans="1:13" x14ac:dyDescent="0.3">
      <c r="A52" t="s">
        <v>8</v>
      </c>
      <c r="B52">
        <f t="shared" si="4"/>
        <v>0.251</v>
      </c>
      <c r="C52">
        <f t="shared" si="4"/>
        <v>7.0699999999999999E-2</v>
      </c>
      <c r="D52">
        <f t="shared" si="4"/>
        <v>7.0699999999999999E-2</v>
      </c>
      <c r="E52">
        <f t="shared" si="4"/>
        <v>0</v>
      </c>
      <c r="F52">
        <f t="shared" si="4"/>
        <v>0</v>
      </c>
      <c r="G52">
        <f t="shared" si="4"/>
        <v>7.0699999999999999E-2</v>
      </c>
      <c r="H52">
        <f t="shared" si="4"/>
        <v>0.251</v>
      </c>
      <c r="I52">
        <f t="shared" si="4"/>
        <v>0.1673</v>
      </c>
      <c r="J52">
        <f t="shared" si="4"/>
        <v>0</v>
      </c>
      <c r="K52">
        <f t="shared" si="4"/>
        <v>0.3795</v>
      </c>
      <c r="L52">
        <f t="shared" si="4"/>
        <v>0.28460000000000002</v>
      </c>
      <c r="M52">
        <f t="shared" si="4"/>
        <v>0.28460000000000002</v>
      </c>
    </row>
    <row r="53" spans="1:13" x14ac:dyDescent="0.3">
      <c r="A53" t="s">
        <v>9</v>
      </c>
      <c r="B53">
        <f t="shared" si="4"/>
        <v>0</v>
      </c>
      <c r="C53">
        <f t="shared" si="4"/>
        <v>3.1600000000000003E-2</v>
      </c>
      <c r="D53">
        <f t="shared" si="4"/>
        <v>7.0699999999999999E-2</v>
      </c>
      <c r="E53">
        <f t="shared" si="4"/>
        <v>0.1414</v>
      </c>
      <c r="F53">
        <f t="shared" si="4"/>
        <v>5.4800000000000001E-2</v>
      </c>
      <c r="G53">
        <f t="shared" si="4"/>
        <v>0</v>
      </c>
      <c r="H53">
        <f t="shared" si="4"/>
        <v>0</v>
      </c>
      <c r="I53">
        <f t="shared" si="4"/>
        <v>0.1414</v>
      </c>
      <c r="J53">
        <f t="shared" si="4"/>
        <v>5.4800000000000001E-2</v>
      </c>
      <c r="K53">
        <f t="shared" si="4"/>
        <v>0</v>
      </c>
      <c r="L53">
        <f t="shared" si="4"/>
        <v>0.1414</v>
      </c>
      <c r="M53">
        <f t="shared" si="4"/>
        <v>0</v>
      </c>
    </row>
    <row r="54" spans="1:13" x14ac:dyDescent="0.3">
      <c r="A54" t="s">
        <v>10</v>
      </c>
      <c r="B54">
        <f t="shared" si="4"/>
        <v>0</v>
      </c>
      <c r="C54">
        <f t="shared" si="4"/>
        <v>0</v>
      </c>
      <c r="D54">
        <f t="shared" si="4"/>
        <v>0.1414</v>
      </c>
      <c r="E54">
        <f t="shared" si="4"/>
        <v>0.1414</v>
      </c>
      <c r="F54">
        <f t="shared" si="4"/>
        <v>5.4800000000000001E-2</v>
      </c>
      <c r="G54">
        <f t="shared" si="4"/>
        <v>0</v>
      </c>
      <c r="H54">
        <f t="shared" si="4"/>
        <v>0</v>
      </c>
      <c r="I54">
        <f t="shared" si="4"/>
        <v>7.0699999999999999E-2</v>
      </c>
      <c r="J54">
        <f t="shared" si="4"/>
        <v>0</v>
      </c>
      <c r="K54">
        <f t="shared" si="4"/>
        <v>7.0699999999999999E-2</v>
      </c>
      <c r="L54">
        <f t="shared" si="4"/>
        <v>0</v>
      </c>
      <c r="M54">
        <f t="shared" si="4"/>
        <v>0.3795</v>
      </c>
    </row>
    <row r="55" spans="1:13" x14ac:dyDescent="0.3">
      <c r="A55" t="s">
        <v>11</v>
      </c>
      <c r="B55">
        <f t="shared" si="4"/>
        <v>0</v>
      </c>
      <c r="C55">
        <f t="shared" si="4"/>
        <v>0</v>
      </c>
      <c r="D55">
        <f t="shared" si="4"/>
        <v>0</v>
      </c>
      <c r="E55">
        <f t="shared" si="4"/>
        <v>0.1414</v>
      </c>
      <c r="F55">
        <f t="shared" si="4"/>
        <v>0.1673</v>
      </c>
      <c r="G55">
        <f t="shared" si="4"/>
        <v>3.1600000000000003E-2</v>
      </c>
      <c r="H55">
        <f t="shared" si="4"/>
        <v>0</v>
      </c>
      <c r="I55">
        <f t="shared" si="4"/>
        <v>0</v>
      </c>
      <c r="J55">
        <f t="shared" si="4"/>
        <v>7.0699999999999999E-2</v>
      </c>
      <c r="K55">
        <f t="shared" si="4"/>
        <v>5.4800000000000001E-2</v>
      </c>
      <c r="L55">
        <f t="shared" si="4"/>
        <v>0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0.3347</v>
      </c>
      <c r="D58">
        <f t="shared" si="6"/>
        <v>0.251</v>
      </c>
      <c r="E58">
        <f t="shared" si="6"/>
        <v>0.1673</v>
      </c>
      <c r="F58">
        <f t="shared" si="6"/>
        <v>0.1095</v>
      </c>
      <c r="G58">
        <f t="shared" si="6"/>
        <v>5.4800000000000001E-2</v>
      </c>
      <c r="H58">
        <f t="shared" si="6"/>
        <v>7.0699999999999999E-2</v>
      </c>
      <c r="I58">
        <f t="shared" si="6"/>
        <v>0.21210000000000001</v>
      </c>
      <c r="J58">
        <f t="shared" si="6"/>
        <v>0.3347</v>
      </c>
      <c r="K58">
        <f t="shared" si="6"/>
        <v>3.1600000000000003E-2</v>
      </c>
      <c r="L58">
        <f t="shared" si="6"/>
        <v>3.1600000000000003E-2</v>
      </c>
      <c r="M58">
        <f t="shared" si="6"/>
        <v>8.3699999999999997E-2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0.21210000000000001</v>
      </c>
      <c r="C59">
        <f t="shared" si="7"/>
        <v>0</v>
      </c>
      <c r="D59">
        <f t="shared" si="7"/>
        <v>0.3347</v>
      </c>
      <c r="E59">
        <f t="shared" si="7"/>
        <v>0.3347</v>
      </c>
      <c r="F59">
        <f t="shared" si="7"/>
        <v>0.251</v>
      </c>
      <c r="G59">
        <f t="shared" si="7"/>
        <v>0.3795</v>
      </c>
      <c r="H59">
        <f t="shared" si="7"/>
        <v>0.3347</v>
      </c>
      <c r="I59">
        <f t="shared" si="7"/>
        <v>3.1600000000000003E-2</v>
      </c>
      <c r="J59">
        <f t="shared" si="7"/>
        <v>0.3347</v>
      </c>
      <c r="K59">
        <f t="shared" si="7"/>
        <v>0.3795</v>
      </c>
      <c r="L59">
        <f t="shared" si="7"/>
        <v>0.3347</v>
      </c>
      <c r="M59">
        <f t="shared" si="7"/>
        <v>0.3795</v>
      </c>
    </row>
    <row r="60" spans="1:13" x14ac:dyDescent="0.3">
      <c r="A60" t="s">
        <v>2</v>
      </c>
      <c r="B60">
        <f t="shared" si="7"/>
        <v>0.21210000000000001</v>
      </c>
      <c r="C60">
        <f t="shared" si="7"/>
        <v>7.0699999999999999E-2</v>
      </c>
      <c r="D60">
        <f t="shared" si="7"/>
        <v>0</v>
      </c>
      <c r="E60">
        <f t="shared" si="7"/>
        <v>0.2828</v>
      </c>
      <c r="F60">
        <f t="shared" si="7"/>
        <v>0.1414</v>
      </c>
      <c r="G60">
        <f t="shared" si="7"/>
        <v>3.1600000000000003E-2</v>
      </c>
      <c r="H60">
        <f t="shared" si="7"/>
        <v>0.1414</v>
      </c>
      <c r="I60">
        <f t="shared" si="7"/>
        <v>7.0699999999999999E-2</v>
      </c>
      <c r="J60">
        <f t="shared" si="7"/>
        <v>0.3795</v>
      </c>
      <c r="K60">
        <f t="shared" si="7"/>
        <v>0.3347</v>
      </c>
      <c r="L60">
        <f t="shared" si="7"/>
        <v>0.3795</v>
      </c>
      <c r="M60">
        <f t="shared" si="7"/>
        <v>0.3795</v>
      </c>
    </row>
    <row r="61" spans="1:13" x14ac:dyDescent="0.3">
      <c r="A61" t="s">
        <v>3</v>
      </c>
      <c r="B61">
        <f t="shared" si="7"/>
        <v>3.1600000000000003E-2</v>
      </c>
      <c r="C61">
        <f t="shared" si="7"/>
        <v>0.1673</v>
      </c>
      <c r="D61">
        <f t="shared" si="7"/>
        <v>3.1600000000000003E-2</v>
      </c>
      <c r="E61">
        <f t="shared" si="7"/>
        <v>0</v>
      </c>
      <c r="F61">
        <f t="shared" si="7"/>
        <v>0.251</v>
      </c>
      <c r="G61">
        <f t="shared" si="7"/>
        <v>0.1095</v>
      </c>
      <c r="H61">
        <f t="shared" si="7"/>
        <v>0.3795</v>
      </c>
      <c r="I61">
        <f t="shared" si="7"/>
        <v>7.0699999999999999E-2</v>
      </c>
      <c r="J61">
        <f t="shared" si="7"/>
        <v>0.3795</v>
      </c>
      <c r="K61">
        <f t="shared" si="7"/>
        <v>7.0699999999999999E-2</v>
      </c>
      <c r="L61">
        <f t="shared" si="7"/>
        <v>0.3795</v>
      </c>
      <c r="M61">
        <f t="shared" si="7"/>
        <v>0.3795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0.251</v>
      </c>
      <c r="C62">
        <f t="shared" si="8"/>
        <v>5.4800000000000001E-2</v>
      </c>
      <c r="D62">
        <f t="shared" si="8"/>
        <v>5.4800000000000001E-2</v>
      </c>
      <c r="E62">
        <f t="shared" si="8"/>
        <v>5.4800000000000001E-2</v>
      </c>
      <c r="F62">
        <f t="shared" si="8"/>
        <v>0</v>
      </c>
      <c r="G62">
        <f t="shared" si="8"/>
        <v>0.3347</v>
      </c>
      <c r="H62">
        <f t="shared" si="8"/>
        <v>0.1414</v>
      </c>
      <c r="I62">
        <f t="shared" si="8"/>
        <v>7.0699999999999999E-2</v>
      </c>
      <c r="J62">
        <f t="shared" si="8"/>
        <v>0.3347</v>
      </c>
      <c r="K62">
        <f t="shared" si="8"/>
        <v>0.3795</v>
      </c>
      <c r="L62">
        <f t="shared" si="8"/>
        <v>5.4800000000000001E-2</v>
      </c>
      <c r="M62">
        <f t="shared" si="8"/>
        <v>7.0699999999999999E-2</v>
      </c>
    </row>
    <row r="63" spans="1:13" x14ac:dyDescent="0.3">
      <c r="A63" t="s">
        <v>5</v>
      </c>
      <c r="B63">
        <f t="shared" si="7"/>
        <v>7.0699999999999999E-2</v>
      </c>
      <c r="C63">
        <f t="shared" si="7"/>
        <v>7.0699999999999999E-2</v>
      </c>
      <c r="D63">
        <f t="shared" si="7"/>
        <v>7.0699999999999999E-2</v>
      </c>
      <c r="E63">
        <f t="shared" si="7"/>
        <v>0.1414</v>
      </c>
      <c r="F63">
        <f t="shared" si="7"/>
        <v>0.1414</v>
      </c>
      <c r="G63">
        <f t="shared" si="7"/>
        <v>0</v>
      </c>
      <c r="H63">
        <f t="shared" si="7"/>
        <v>5.4800000000000001E-2</v>
      </c>
      <c r="I63">
        <f t="shared" si="7"/>
        <v>7.0699999999999999E-2</v>
      </c>
      <c r="J63">
        <f t="shared" si="7"/>
        <v>0.3347</v>
      </c>
      <c r="K63">
        <f t="shared" si="7"/>
        <v>7.0699999999999999E-2</v>
      </c>
      <c r="L63">
        <f t="shared" si="7"/>
        <v>7.0699999999999999E-2</v>
      </c>
      <c r="M63">
        <f t="shared" si="7"/>
        <v>7.0699999999999999E-2</v>
      </c>
    </row>
    <row r="64" spans="1:13" x14ac:dyDescent="0.3">
      <c r="A64" t="s">
        <v>6</v>
      </c>
      <c r="B64">
        <f t="shared" si="7"/>
        <v>5.4800000000000001E-2</v>
      </c>
      <c r="C64">
        <f t="shared" si="7"/>
        <v>5.4800000000000001E-2</v>
      </c>
      <c r="D64">
        <f t="shared" si="7"/>
        <v>8.3699999999999997E-2</v>
      </c>
      <c r="E64">
        <f t="shared" si="7"/>
        <v>7.0699999999999999E-2</v>
      </c>
      <c r="F64">
        <f t="shared" si="7"/>
        <v>0.1095</v>
      </c>
      <c r="G64">
        <f t="shared" si="7"/>
        <v>0.1414</v>
      </c>
      <c r="H64">
        <f t="shared" si="7"/>
        <v>0</v>
      </c>
      <c r="I64">
        <f t="shared" si="7"/>
        <v>7.0699999999999999E-2</v>
      </c>
      <c r="J64">
        <f t="shared" si="7"/>
        <v>7.0699999999999999E-2</v>
      </c>
      <c r="K64">
        <f t="shared" si="7"/>
        <v>0.21210000000000001</v>
      </c>
      <c r="L64">
        <f t="shared" si="7"/>
        <v>7.0699999999999999E-2</v>
      </c>
      <c r="M64">
        <f t="shared" si="7"/>
        <v>0.1095</v>
      </c>
    </row>
    <row r="65" spans="1:13" x14ac:dyDescent="0.3">
      <c r="A65" t="s">
        <v>7</v>
      </c>
      <c r="B65">
        <f t="shared" si="7"/>
        <v>0.1414</v>
      </c>
      <c r="C65">
        <f t="shared" si="7"/>
        <v>7.0699999999999999E-2</v>
      </c>
      <c r="D65">
        <f t="shared" si="7"/>
        <v>7.0699999999999999E-2</v>
      </c>
      <c r="E65">
        <f t="shared" si="7"/>
        <v>5.4800000000000001E-2</v>
      </c>
      <c r="F65">
        <f t="shared" si="7"/>
        <v>7.0699999999999999E-2</v>
      </c>
      <c r="G65">
        <f t="shared" si="7"/>
        <v>8.3699999999999997E-2</v>
      </c>
      <c r="H65">
        <f t="shared" si="7"/>
        <v>5.4800000000000001E-2</v>
      </c>
      <c r="I65">
        <f t="shared" si="7"/>
        <v>0</v>
      </c>
      <c r="J65">
        <f t="shared" si="7"/>
        <v>0.3795</v>
      </c>
      <c r="K65">
        <f t="shared" si="7"/>
        <v>0.3795</v>
      </c>
      <c r="L65">
        <f t="shared" si="7"/>
        <v>0.3795</v>
      </c>
      <c r="M65">
        <f t="shared" si="7"/>
        <v>0.3795</v>
      </c>
    </row>
    <row r="66" spans="1:13" x14ac:dyDescent="0.3">
      <c r="A66" t="s">
        <v>8</v>
      </c>
      <c r="B66">
        <f t="shared" si="7"/>
        <v>0.3347</v>
      </c>
      <c r="C66">
        <f t="shared" si="7"/>
        <v>0.1414</v>
      </c>
      <c r="D66">
        <f t="shared" si="7"/>
        <v>0.1414</v>
      </c>
      <c r="E66">
        <f t="shared" si="7"/>
        <v>5.4800000000000001E-2</v>
      </c>
      <c r="F66">
        <f t="shared" si="7"/>
        <v>8.3699999999999997E-2</v>
      </c>
      <c r="G66">
        <f t="shared" si="7"/>
        <v>0.1414</v>
      </c>
      <c r="H66">
        <f t="shared" si="7"/>
        <v>0.3347</v>
      </c>
      <c r="I66">
        <f t="shared" si="7"/>
        <v>0.251</v>
      </c>
      <c r="J66">
        <f t="shared" si="7"/>
        <v>0</v>
      </c>
      <c r="K66">
        <f t="shared" si="7"/>
        <v>0.3795</v>
      </c>
      <c r="L66">
        <f t="shared" si="7"/>
        <v>0.3795</v>
      </c>
      <c r="M66">
        <f t="shared" si="7"/>
        <v>0.3795</v>
      </c>
    </row>
    <row r="67" spans="1:13" x14ac:dyDescent="0.3">
      <c r="A67" t="s">
        <v>9</v>
      </c>
      <c r="B67">
        <f t="shared" si="7"/>
        <v>5.4800000000000001E-2</v>
      </c>
      <c r="C67">
        <f t="shared" si="7"/>
        <v>6.3200000000000006E-2</v>
      </c>
      <c r="D67">
        <f t="shared" si="7"/>
        <v>0.1414</v>
      </c>
      <c r="E67">
        <f t="shared" si="7"/>
        <v>0.21210000000000001</v>
      </c>
      <c r="F67">
        <f t="shared" si="7"/>
        <v>0.1095</v>
      </c>
      <c r="G67">
        <f t="shared" si="7"/>
        <v>7.0699999999999999E-2</v>
      </c>
      <c r="H67">
        <f t="shared" si="7"/>
        <v>7.0699999999999999E-2</v>
      </c>
      <c r="I67">
        <f t="shared" si="7"/>
        <v>0.21210000000000001</v>
      </c>
      <c r="J67">
        <f t="shared" si="7"/>
        <v>0.1095</v>
      </c>
      <c r="K67">
        <f t="shared" si="7"/>
        <v>0</v>
      </c>
      <c r="L67">
        <f t="shared" si="7"/>
        <v>0.21210000000000001</v>
      </c>
      <c r="M67">
        <f t="shared" si="7"/>
        <v>7.0699999999999999E-2</v>
      </c>
    </row>
    <row r="68" spans="1:13" x14ac:dyDescent="0.3">
      <c r="A68" t="s">
        <v>10</v>
      </c>
      <c r="B68">
        <f t="shared" si="7"/>
        <v>7.0699999999999999E-2</v>
      </c>
      <c r="C68">
        <f t="shared" si="7"/>
        <v>7.0699999999999999E-2</v>
      </c>
      <c r="D68">
        <f t="shared" si="7"/>
        <v>0.21210000000000001</v>
      </c>
      <c r="E68">
        <f t="shared" si="7"/>
        <v>0.21210000000000001</v>
      </c>
      <c r="F68">
        <f t="shared" si="7"/>
        <v>0.1095</v>
      </c>
      <c r="G68">
        <f t="shared" si="7"/>
        <v>7.0699999999999999E-2</v>
      </c>
      <c r="H68">
        <f t="shared" si="7"/>
        <v>5.4800000000000001E-2</v>
      </c>
      <c r="I68">
        <f t="shared" si="7"/>
        <v>0.1414</v>
      </c>
      <c r="J68">
        <f t="shared" si="7"/>
        <v>3.1600000000000003E-2</v>
      </c>
      <c r="K68">
        <f t="shared" si="7"/>
        <v>0.1414</v>
      </c>
      <c r="L68">
        <f t="shared" si="7"/>
        <v>0</v>
      </c>
      <c r="M68">
        <f t="shared" si="7"/>
        <v>0.3795</v>
      </c>
    </row>
    <row r="69" spans="1:13" x14ac:dyDescent="0.3">
      <c r="A69" t="s">
        <v>11</v>
      </c>
      <c r="B69">
        <f t="shared" si="7"/>
        <v>5.4800000000000001E-2</v>
      </c>
      <c r="C69">
        <f t="shared" si="7"/>
        <v>7.0699999999999999E-2</v>
      </c>
      <c r="D69">
        <f t="shared" si="7"/>
        <v>7.0699999999999999E-2</v>
      </c>
      <c r="E69">
        <f t="shared" si="7"/>
        <v>0.21210000000000001</v>
      </c>
      <c r="F69">
        <f t="shared" si="7"/>
        <v>0.251</v>
      </c>
      <c r="G69">
        <f t="shared" si="7"/>
        <v>6.3200000000000006E-2</v>
      </c>
      <c r="H69">
        <f t="shared" si="7"/>
        <v>5.4800000000000001E-2</v>
      </c>
      <c r="I69">
        <f t="shared" si="7"/>
        <v>8.3699999999999997E-2</v>
      </c>
      <c r="J69">
        <f t="shared" si="7"/>
        <v>0.1414</v>
      </c>
      <c r="K69">
        <f t="shared" si="7"/>
        <v>0.1095</v>
      </c>
      <c r="L69">
        <f t="shared" si="7"/>
        <v>5.4800000000000001E-2</v>
      </c>
      <c r="M69">
        <f t="shared" si="7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M69"/>
  <sheetViews>
    <sheetView workbookViewId="0">
      <selection activeCell="C6" sqref="A1:M13"/>
    </sheetView>
  </sheetViews>
  <sheetFormatPr defaultRowHeight="14.4" x14ac:dyDescent="0.3"/>
  <sheetData>
    <row r="1" spans="1:13" x14ac:dyDescent="0.3"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</row>
    <row r="2" spans="1:13" x14ac:dyDescent="0.3">
      <c r="A2" s="7" t="s">
        <v>0</v>
      </c>
      <c r="B2">
        <v>0</v>
      </c>
      <c r="C2" t="s">
        <v>13</v>
      </c>
      <c r="D2" t="s">
        <v>13</v>
      </c>
      <c r="E2" t="s">
        <v>17</v>
      </c>
      <c r="F2" t="s">
        <v>15</v>
      </c>
      <c r="G2" t="s">
        <v>22</v>
      </c>
      <c r="H2" t="s">
        <v>24</v>
      </c>
      <c r="I2" t="s">
        <v>20</v>
      </c>
      <c r="J2" t="s">
        <v>12</v>
      </c>
      <c r="K2" t="s">
        <v>16</v>
      </c>
      <c r="L2" t="s">
        <v>15</v>
      </c>
      <c r="M2" t="s">
        <v>15</v>
      </c>
    </row>
    <row r="3" spans="1:13" x14ac:dyDescent="0.3">
      <c r="A3" s="7" t="s">
        <v>1</v>
      </c>
      <c r="B3" t="s">
        <v>22</v>
      </c>
      <c r="C3">
        <v>0</v>
      </c>
      <c r="D3" t="s">
        <v>25</v>
      </c>
      <c r="E3" t="s">
        <v>18</v>
      </c>
      <c r="F3" t="s">
        <v>15</v>
      </c>
      <c r="G3" t="s">
        <v>18</v>
      </c>
      <c r="H3" t="s">
        <v>18</v>
      </c>
      <c r="I3" t="s">
        <v>22</v>
      </c>
      <c r="J3" t="s">
        <v>18</v>
      </c>
      <c r="K3" t="s">
        <v>25</v>
      </c>
      <c r="L3" t="s">
        <v>18</v>
      </c>
      <c r="M3" t="s">
        <v>16</v>
      </c>
    </row>
    <row r="4" spans="1:13" x14ac:dyDescent="0.3">
      <c r="A4" s="7" t="s">
        <v>2</v>
      </c>
      <c r="B4" t="s">
        <v>12</v>
      </c>
      <c r="C4" t="s">
        <v>24</v>
      </c>
      <c r="D4">
        <v>0</v>
      </c>
      <c r="E4" t="s">
        <v>12</v>
      </c>
      <c r="F4" t="s">
        <v>20</v>
      </c>
      <c r="G4" t="s">
        <v>12</v>
      </c>
      <c r="H4" t="s">
        <v>22</v>
      </c>
      <c r="I4" t="s">
        <v>16</v>
      </c>
      <c r="J4" t="s">
        <v>13</v>
      </c>
      <c r="K4" t="s">
        <v>18</v>
      </c>
      <c r="L4" t="s">
        <v>13</v>
      </c>
      <c r="M4" t="s">
        <v>13</v>
      </c>
    </row>
    <row r="5" spans="1:13" x14ac:dyDescent="0.3">
      <c r="A5" s="7" t="s">
        <v>3</v>
      </c>
      <c r="B5" t="s">
        <v>20</v>
      </c>
      <c r="C5" t="s">
        <v>21</v>
      </c>
      <c r="D5" t="s">
        <v>21</v>
      </c>
      <c r="E5">
        <v>0</v>
      </c>
      <c r="F5" t="s">
        <v>27</v>
      </c>
      <c r="G5" t="s">
        <v>18</v>
      </c>
      <c r="H5" t="s">
        <v>12</v>
      </c>
      <c r="I5" t="s">
        <v>20</v>
      </c>
      <c r="J5" t="s">
        <v>18</v>
      </c>
      <c r="K5" t="s">
        <v>20</v>
      </c>
      <c r="L5" t="s">
        <v>13</v>
      </c>
      <c r="M5" t="s">
        <v>23</v>
      </c>
    </row>
    <row r="6" spans="1:13" x14ac:dyDescent="0.3">
      <c r="A6" s="7" t="s">
        <v>4</v>
      </c>
      <c r="B6" t="s">
        <v>17</v>
      </c>
      <c r="C6" t="s">
        <v>24</v>
      </c>
      <c r="D6" t="s">
        <v>16</v>
      </c>
      <c r="E6" t="s">
        <v>23</v>
      </c>
      <c r="F6">
        <v>0</v>
      </c>
      <c r="G6" t="s">
        <v>13</v>
      </c>
      <c r="H6" t="s">
        <v>12</v>
      </c>
      <c r="I6" t="s">
        <v>16</v>
      </c>
      <c r="J6" t="s">
        <v>25</v>
      </c>
      <c r="K6" t="s">
        <v>13</v>
      </c>
      <c r="L6" t="s">
        <v>22</v>
      </c>
      <c r="M6" t="s">
        <v>23</v>
      </c>
    </row>
    <row r="7" spans="1:13" x14ac:dyDescent="0.3">
      <c r="A7" s="7" t="s">
        <v>5</v>
      </c>
      <c r="B7" t="s">
        <v>16</v>
      </c>
      <c r="C7" t="s">
        <v>20</v>
      </c>
      <c r="D7" t="s">
        <v>15</v>
      </c>
      <c r="E7" t="s">
        <v>16</v>
      </c>
      <c r="F7" t="s">
        <v>16</v>
      </c>
      <c r="G7">
        <v>0</v>
      </c>
      <c r="H7" t="s">
        <v>16</v>
      </c>
      <c r="I7" t="s">
        <v>17</v>
      </c>
      <c r="J7" t="s">
        <v>18</v>
      </c>
      <c r="K7" t="s">
        <v>20</v>
      </c>
      <c r="L7" t="s">
        <v>24</v>
      </c>
      <c r="M7" t="s">
        <v>24</v>
      </c>
    </row>
    <row r="8" spans="1:13" x14ac:dyDescent="0.3">
      <c r="A8" s="7" t="s">
        <v>6</v>
      </c>
      <c r="B8" t="s">
        <v>24</v>
      </c>
      <c r="C8" t="s">
        <v>26</v>
      </c>
      <c r="D8" t="s">
        <v>24</v>
      </c>
      <c r="E8" t="s">
        <v>15</v>
      </c>
      <c r="F8" t="s">
        <v>26</v>
      </c>
      <c r="G8" t="s">
        <v>23</v>
      </c>
      <c r="H8">
        <v>0</v>
      </c>
      <c r="I8" t="s">
        <v>22</v>
      </c>
      <c r="J8" t="s">
        <v>15</v>
      </c>
      <c r="K8" t="s">
        <v>23</v>
      </c>
      <c r="L8" t="s">
        <v>15</v>
      </c>
      <c r="M8" t="s">
        <v>26</v>
      </c>
    </row>
    <row r="9" spans="1:13" x14ac:dyDescent="0.3">
      <c r="A9" s="7" t="s">
        <v>7</v>
      </c>
      <c r="B9" t="s">
        <v>24</v>
      </c>
      <c r="C9" t="s">
        <v>23</v>
      </c>
      <c r="D9" t="s">
        <v>20</v>
      </c>
      <c r="E9" t="s">
        <v>16</v>
      </c>
      <c r="F9" t="s">
        <v>23</v>
      </c>
      <c r="G9" t="s">
        <v>24</v>
      </c>
      <c r="H9" t="s">
        <v>16</v>
      </c>
      <c r="I9">
        <v>0</v>
      </c>
      <c r="J9" t="s">
        <v>16</v>
      </c>
      <c r="K9" t="s">
        <v>18</v>
      </c>
      <c r="L9" t="s">
        <v>18</v>
      </c>
      <c r="M9" t="s">
        <v>25</v>
      </c>
    </row>
    <row r="10" spans="1:13" x14ac:dyDescent="0.3">
      <c r="A10" s="7" t="s">
        <v>8</v>
      </c>
      <c r="B10" t="s">
        <v>21</v>
      </c>
      <c r="C10" t="s">
        <v>24</v>
      </c>
      <c r="D10" t="s">
        <v>16</v>
      </c>
      <c r="E10" t="s">
        <v>23</v>
      </c>
      <c r="F10" t="s">
        <v>16</v>
      </c>
      <c r="G10" t="s">
        <v>16</v>
      </c>
      <c r="H10" t="s">
        <v>18</v>
      </c>
      <c r="I10" t="s">
        <v>17</v>
      </c>
      <c r="J10">
        <v>0</v>
      </c>
      <c r="K10" t="s">
        <v>16</v>
      </c>
      <c r="L10" t="s">
        <v>18</v>
      </c>
      <c r="M10" t="s">
        <v>12</v>
      </c>
    </row>
    <row r="11" spans="1:13" x14ac:dyDescent="0.3">
      <c r="A11" s="7" t="s">
        <v>9</v>
      </c>
      <c r="B11" t="s">
        <v>17</v>
      </c>
      <c r="C11" t="s">
        <v>24</v>
      </c>
      <c r="D11" t="s">
        <v>22</v>
      </c>
      <c r="E11" t="s">
        <v>20</v>
      </c>
      <c r="F11" t="s">
        <v>16</v>
      </c>
      <c r="G11" t="s">
        <v>16</v>
      </c>
      <c r="H11" t="s">
        <v>16</v>
      </c>
      <c r="I11" t="s">
        <v>20</v>
      </c>
      <c r="J11" t="s">
        <v>24</v>
      </c>
      <c r="K11">
        <v>0</v>
      </c>
      <c r="L11" t="s">
        <v>15</v>
      </c>
      <c r="M11" t="s">
        <v>15</v>
      </c>
    </row>
    <row r="12" spans="1:13" x14ac:dyDescent="0.3">
      <c r="A12" s="7" t="s">
        <v>10</v>
      </c>
      <c r="B12" t="s">
        <v>23</v>
      </c>
      <c r="C12" t="s">
        <v>23</v>
      </c>
      <c r="D12" t="s">
        <v>16</v>
      </c>
      <c r="E12" t="s">
        <v>24</v>
      </c>
      <c r="F12" t="s">
        <v>16</v>
      </c>
      <c r="G12" t="s">
        <v>17</v>
      </c>
      <c r="H12" t="s">
        <v>15</v>
      </c>
      <c r="I12" t="s">
        <v>23</v>
      </c>
      <c r="J12" t="s">
        <v>15</v>
      </c>
      <c r="K12" t="s">
        <v>15</v>
      </c>
      <c r="L12">
        <v>0</v>
      </c>
      <c r="M12" t="s">
        <v>16</v>
      </c>
    </row>
    <row r="13" spans="1:13" x14ac:dyDescent="0.3">
      <c r="A13" s="7" t="s">
        <v>11</v>
      </c>
      <c r="B13" t="s">
        <v>15</v>
      </c>
      <c r="C13" t="s">
        <v>22</v>
      </c>
      <c r="D13" t="s">
        <v>24</v>
      </c>
      <c r="E13" t="s">
        <v>16</v>
      </c>
      <c r="F13" t="s">
        <v>15</v>
      </c>
      <c r="G13" t="s">
        <v>23</v>
      </c>
      <c r="H13" t="s">
        <v>17</v>
      </c>
      <c r="I13" t="s">
        <v>14</v>
      </c>
      <c r="J13" t="s">
        <v>26</v>
      </c>
      <c r="K13" t="s">
        <v>15</v>
      </c>
      <c r="L13" t="s">
        <v>20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(0,1897; 0,2846; 0,3795)</v>
      </c>
      <c r="D16" t="str">
        <f>VLOOKUP(D2,'Thang đánh giá'!$C$2:$D$27,2,FALSE)</f>
        <v>(0,1897; 0,2846; 0,3795)</v>
      </c>
      <c r="E16" t="str">
        <f>VLOOKUP(E2,'Thang đánh giá'!$C$2:$D$27,2,FALSE)</f>
        <v>(0; 0,0316; 0,0632)</v>
      </c>
      <c r="F16" t="str">
        <f>VLOOKUP(F2,'Thang đánh giá'!$C$2:$D$27,2,FALSE)</f>
        <v>(0; 0,0707; 0,1414)</v>
      </c>
      <c r="G16" t="str">
        <f>VLOOKUP(G2,'Thang đánh giá'!$C$2:$D$27,2,FALSE)</f>
        <v>(0,0707; 0,1414; 0,2121)</v>
      </c>
      <c r="H16" t="str">
        <f>VLOOKUP(H2,'Thang đánh giá'!$C$2:$D$27,2,FALSE)</f>
        <v>(0; 0; 0,0548)</v>
      </c>
      <c r="I16" t="str">
        <f>VLOOKUP(I2,'Thang đánh giá'!$C$2:$D$27,2,FALSE)</f>
        <v>(0; 0,0548; 0,1095)</v>
      </c>
      <c r="J16" t="str">
        <f>VLOOKUP(J2,'Thang đánh giá'!$C$2:$D$27,2,FALSE)</f>
        <v>(0,1673; 0,251; 0,3347)</v>
      </c>
      <c r="K16" t="str">
        <f>VLOOKUP(K2,'Thang đánh giá'!$C$2:$D$27,2,FALSE)</f>
        <v>(0; 0; 0,0707)</v>
      </c>
      <c r="L16" t="str">
        <f>VLOOKUP(L2,'Thang đánh giá'!$C$2:$D$27,2,FALSE)</f>
        <v>(0; 0,0707; 0,1414)</v>
      </c>
      <c r="M16" t="str">
        <f>VLOOKUP(M2,'Thang đánh giá'!$C$2:$D$27,2,FALSE)</f>
        <v>(0; 0,0707; 0,1414)</v>
      </c>
    </row>
    <row r="17" spans="1:13" x14ac:dyDescent="0.3">
      <c r="A17" t="s">
        <v>1</v>
      </c>
      <c r="B17" t="str">
        <f>VLOOKUP(B3,'Thang đánh giá'!$C$2:$D$27,2,FALSE)</f>
        <v>(0,0707; 0,1414; 0,2121)</v>
      </c>
      <c r="C17" t="str">
        <f>VLOOKUP(C3,'Thang đánh giá'!$C$2:$D$27,2,FALSE)</f>
        <v>(0; 0; 0)</v>
      </c>
      <c r="D17" t="str">
        <f>VLOOKUP(D3,'Thang đánh giá'!$C$2:$D$27,2,FALSE)</f>
        <v>(0,251; 0,3347; 0,3347)</v>
      </c>
      <c r="E17" t="str">
        <f>VLOOKUP(E3,'Thang đánh giá'!$C$2:$D$27,2,FALSE)</f>
        <v>(0,2846; 0,3795; 0,3795)</v>
      </c>
      <c r="F17" t="str">
        <f>VLOOKUP(F3,'Thang đánh giá'!$C$2:$D$27,2,FALSE)</f>
        <v>(0; 0,0707; 0,1414)</v>
      </c>
      <c r="G17" t="str">
        <f>VLOOKUP(G3,'Thang đánh giá'!$C$2:$D$27,2,FALSE)</f>
        <v>(0,2846; 0,3795; 0,3795)</v>
      </c>
      <c r="H17" t="str">
        <f>VLOOKUP(H3,'Thang đánh giá'!$C$2:$D$27,2,FALSE)</f>
        <v>(0,2846; 0,3795; 0,3795)</v>
      </c>
      <c r="I17" t="str">
        <f>VLOOKUP(I3,'Thang đánh giá'!$C$2:$D$27,2,FALSE)</f>
        <v>(0,0707; 0,1414; 0,2121)</v>
      </c>
      <c r="J17" t="str">
        <f>VLOOKUP(J3,'Thang đánh giá'!$C$2:$D$27,2,FALSE)</f>
        <v>(0,2846; 0,3795; 0,3795)</v>
      </c>
      <c r="K17" t="str">
        <f>VLOOKUP(K3,'Thang đánh giá'!$C$2:$D$27,2,FALSE)</f>
        <v>(0,251; 0,3347; 0,3347)</v>
      </c>
      <c r="L17" t="str">
        <f>VLOOKUP(L3,'Thang đánh giá'!$C$2:$D$27,2,FALSE)</f>
        <v>(0,2846; 0,3795; 0,3795)</v>
      </c>
      <c r="M17" t="str">
        <f>VLOOKUP(M3,'Thang đánh giá'!$C$2:$D$27,2,FALSE)</f>
        <v>(0; 0; 0,0707)</v>
      </c>
    </row>
    <row r="18" spans="1:13" x14ac:dyDescent="0.3">
      <c r="A18" t="s">
        <v>2</v>
      </c>
      <c r="B18" t="str">
        <f>VLOOKUP(B4,'Thang đánh giá'!$C$2:$D$27,2,FALSE)</f>
        <v>(0,1673; 0,251; 0,3347)</v>
      </c>
      <c r="C18" t="str">
        <f>VLOOKUP(C4,'Thang đánh giá'!$C$2:$D$27,2,FALSE)</f>
        <v>(0; 0; 0,0548)</v>
      </c>
      <c r="D18" t="str">
        <f>VLOOKUP(D4,'Thang đánh giá'!$C$2:$D$27,2,FALSE)</f>
        <v>(0; 0; 0)</v>
      </c>
      <c r="E18" t="str">
        <f>VLOOKUP(E4,'Thang đánh giá'!$C$2:$D$27,2,FALSE)</f>
        <v>(0,1673; 0,251; 0,3347)</v>
      </c>
      <c r="F18" t="str">
        <f>VLOOKUP(F4,'Thang đánh giá'!$C$2:$D$27,2,FALSE)</f>
        <v>(0; 0,0548; 0,1095)</v>
      </c>
      <c r="G18" t="str">
        <f>VLOOKUP(G4,'Thang đánh giá'!$C$2:$D$27,2,FALSE)</f>
        <v>(0,1673; 0,251; 0,3347)</v>
      </c>
      <c r="H18" t="str">
        <f>VLOOKUP(H4,'Thang đánh giá'!$C$2:$D$27,2,FALSE)</f>
        <v>(0,0707; 0,1414; 0,2121)</v>
      </c>
      <c r="I18" t="str">
        <f>VLOOKUP(I4,'Thang đánh giá'!$C$2:$D$27,2,FALSE)</f>
        <v>(0; 0; 0,0707)</v>
      </c>
      <c r="J18" t="str">
        <f>VLOOKUP(J4,'Thang đánh giá'!$C$2:$D$27,2,FALSE)</f>
        <v>(0,1897; 0,2846; 0,3795)</v>
      </c>
      <c r="K18" t="str">
        <f>VLOOKUP(K4,'Thang đánh giá'!$C$2:$D$27,2,FALSE)</f>
        <v>(0,2846; 0,3795; 0,3795)</v>
      </c>
      <c r="L18" t="str">
        <f>VLOOKUP(L4,'Thang đánh giá'!$C$2:$D$27,2,FALSE)</f>
        <v>(0,1897; 0,2846; 0,3795)</v>
      </c>
      <c r="M18" t="str">
        <f>VLOOKUP(M4,'Thang đánh giá'!$C$2:$D$27,2,FALSE)</f>
        <v>(0,1897; 0,2846; 0,3795)</v>
      </c>
    </row>
    <row r="19" spans="1:13" x14ac:dyDescent="0.3">
      <c r="A19" t="s">
        <v>3</v>
      </c>
      <c r="B19" t="str">
        <f>VLOOKUP(B5,'Thang đánh giá'!$C$2:$D$27,2,FALSE)</f>
        <v>(0; 0,0548; 0,1095)</v>
      </c>
      <c r="C19" t="str">
        <f>VLOOKUP(C5,'Thang đánh giá'!$C$2:$D$27,2,FALSE)</f>
        <v>(0,0837; 0,1673; 0,251)</v>
      </c>
      <c r="D19" t="str">
        <f>VLOOKUP(D5,'Thang đánh giá'!$C$2:$D$27,2,FALSE)</f>
        <v>(0,0837; 0,1673; 0,251)</v>
      </c>
      <c r="E19" t="str">
        <f>VLOOKUP(E5,'Thang đánh giá'!$C$2:$D$27,2,FALSE)</f>
        <v>(0; 0; 0)</v>
      </c>
      <c r="F19" t="str">
        <f>VLOOKUP(F5,'Thang đánh giá'!$C$2:$D$27,2,FALSE)</f>
        <v>(0,0949; 0,1897; 0,2846)</v>
      </c>
      <c r="G19" t="str">
        <f>VLOOKUP(G5,'Thang đánh giá'!$C$2:$D$27,2,FALSE)</f>
        <v>(0,2846; 0,3795; 0,3795)</v>
      </c>
      <c r="H19" t="str">
        <f>VLOOKUP(H5,'Thang đánh giá'!$C$2:$D$27,2,FALSE)</f>
        <v>(0,1673; 0,251; 0,3347)</v>
      </c>
      <c r="I19" t="str">
        <f>VLOOKUP(I5,'Thang đánh giá'!$C$2:$D$27,2,FALSE)</f>
        <v>(0; 0,0548; 0,1095)</v>
      </c>
      <c r="J19" t="str">
        <f>VLOOKUP(J5,'Thang đánh giá'!$C$2:$D$27,2,FALSE)</f>
        <v>(0,2846; 0,3795; 0,3795)</v>
      </c>
      <c r="K19" t="str">
        <f>VLOOKUP(K5,'Thang đánh giá'!$C$2:$D$27,2,FALSE)</f>
        <v>(0; 0,0548; 0,1095)</v>
      </c>
      <c r="L19" t="str">
        <f>VLOOKUP(L5,'Thang đánh giá'!$C$2:$D$27,2,FALSE)</f>
        <v>(0,1897; 0,2846; 0,3795)</v>
      </c>
      <c r="M19" t="str">
        <f>VLOOKUP(M5,'Thang đánh giá'!$C$2:$D$27,2,FALSE)</f>
        <v>(0; 0; 0,0316)</v>
      </c>
    </row>
    <row r="20" spans="1:13" x14ac:dyDescent="0.3">
      <c r="A20" t="s">
        <v>4</v>
      </c>
      <c r="B20" t="str">
        <f>VLOOKUP(B6,'Thang đánh giá'!$C$2:$D$27,2,FALSE)</f>
        <v>(0; 0,0316; 0,0632)</v>
      </c>
      <c r="C20" t="str">
        <f>VLOOKUP(C6,'Thang đánh giá'!$C$2:$D$27,2,FALSE)</f>
        <v>(0; 0; 0,0548)</v>
      </c>
      <c r="D20" t="str">
        <f>VLOOKUP(D6,'Thang đánh giá'!$C$2:$D$27,2,FALSE)</f>
        <v>(0; 0; 0,0707)</v>
      </c>
      <c r="E20" t="str">
        <f>VLOOKUP(E6,'Thang đánh giá'!$C$2:$D$27,2,FALSE)</f>
        <v>(0; 0; 0,0316)</v>
      </c>
      <c r="F20" t="str">
        <f>VLOOKUP(F6,'Thang đánh giá'!$C$2:$D$27,2,FALSE)</f>
        <v>(0; 0; 0)</v>
      </c>
      <c r="G20" t="str">
        <f>VLOOKUP(G6,'Thang đánh giá'!$C$2:$D$27,2,FALSE)</f>
        <v>(0,1897; 0,2846; 0,3795)</v>
      </c>
      <c r="H20" t="str">
        <f>VLOOKUP(H6,'Thang đánh giá'!$C$2:$D$27,2,FALSE)</f>
        <v>(0,1673; 0,251; 0,3347)</v>
      </c>
      <c r="I20" t="str">
        <f>VLOOKUP(I6,'Thang đánh giá'!$C$2:$D$27,2,FALSE)</f>
        <v>(0; 0; 0,0707)</v>
      </c>
      <c r="J20" t="str">
        <f>VLOOKUP(J6,'Thang đánh giá'!$C$2:$D$27,2,FALSE)</f>
        <v>(0,251; 0,3347; 0,3347)</v>
      </c>
      <c r="K20" t="str">
        <f>VLOOKUP(K6,'Thang đánh giá'!$C$2:$D$27,2,FALSE)</f>
        <v>(0,1897; 0,2846; 0,3795)</v>
      </c>
      <c r="L20" t="str">
        <f>VLOOKUP(L6,'Thang đánh giá'!$C$2:$D$27,2,FALSE)</f>
        <v>(0,0707; 0,1414; 0,2121)</v>
      </c>
      <c r="M20" t="str">
        <f>VLOOKUP(M6,'Thang đánh giá'!$C$2:$D$27,2,FALSE)</f>
        <v>(0; 0; 0,0316)</v>
      </c>
    </row>
    <row r="21" spans="1:13" x14ac:dyDescent="0.3">
      <c r="A21" t="s">
        <v>5</v>
      </c>
      <c r="B21" t="str">
        <f>VLOOKUP(B7,'Thang đánh giá'!$C$2:$D$27,2,FALSE)</f>
        <v>(0; 0; 0,0707)</v>
      </c>
      <c r="C21" t="str">
        <f>VLOOKUP(C7,'Thang đánh giá'!$C$2:$D$27,2,FALSE)</f>
        <v>(0; 0,0548; 0,1095)</v>
      </c>
      <c r="D21" t="str">
        <f>VLOOKUP(D7,'Thang đánh giá'!$C$2:$D$27,2,FALSE)</f>
        <v>(0; 0,0707; 0,1414)</v>
      </c>
      <c r="E21" t="str">
        <f>VLOOKUP(E7,'Thang đánh giá'!$C$2:$D$27,2,FALSE)</f>
        <v>(0; 0; 0,0707)</v>
      </c>
      <c r="F21" t="str">
        <f>VLOOKUP(F7,'Thang đánh giá'!$C$2:$D$27,2,FALSE)</f>
        <v>(0; 0; 0,0707)</v>
      </c>
      <c r="G21" t="str">
        <f>VLOOKUP(G7,'Thang đánh giá'!$C$2:$D$27,2,FALSE)</f>
        <v>(0; 0; 0)</v>
      </c>
      <c r="H21" t="str">
        <f>VLOOKUP(H7,'Thang đánh giá'!$C$2:$D$27,2,FALSE)</f>
        <v>(0; 0; 0,0707)</v>
      </c>
      <c r="I21" t="str">
        <f>VLOOKUP(I7,'Thang đánh giá'!$C$2:$D$27,2,FALSE)</f>
        <v>(0; 0,0316; 0,0632)</v>
      </c>
      <c r="J21" t="str">
        <f>VLOOKUP(J7,'Thang đánh giá'!$C$2:$D$27,2,FALSE)</f>
        <v>(0,2846; 0,3795; 0,3795)</v>
      </c>
      <c r="K21" t="str">
        <f>VLOOKUP(K7,'Thang đánh giá'!$C$2:$D$27,2,FALSE)</f>
        <v>(0; 0,0548; 0,1095)</v>
      </c>
      <c r="L21" t="str">
        <f>VLOOKUP(L7,'Thang đánh giá'!$C$2:$D$27,2,FALSE)</f>
        <v>(0; 0; 0,0548)</v>
      </c>
      <c r="M21" t="str">
        <f>VLOOKUP(M7,'Thang đánh giá'!$C$2:$D$27,2,FALSE)</f>
        <v>(0; 0; 0,0548)</v>
      </c>
    </row>
    <row r="22" spans="1:13" x14ac:dyDescent="0.3">
      <c r="A22" t="s">
        <v>6</v>
      </c>
      <c r="B22" t="str">
        <f>VLOOKUP(B8,'Thang đánh giá'!$C$2:$D$27,2,FALSE)</f>
        <v>(0; 0; 0,0548)</v>
      </c>
      <c r="C22" t="str">
        <f>VLOOKUP(C8,'Thang đánh giá'!$C$2:$D$27,2,FALSE)</f>
        <v>(0,0548; 0,1095; 0,1643)</v>
      </c>
      <c r="D22" t="str">
        <f>VLOOKUP(D8,'Thang đánh giá'!$C$2:$D$27,2,FALSE)</f>
        <v>(0; 0; 0,0548)</v>
      </c>
      <c r="E22" t="str">
        <f>VLOOKUP(E8,'Thang đánh giá'!$C$2:$D$27,2,FALSE)</f>
        <v>(0; 0,0707; 0,1414)</v>
      </c>
      <c r="F22" t="str">
        <f>VLOOKUP(F8,'Thang đánh giá'!$C$2:$D$27,2,FALSE)</f>
        <v>(0,0548; 0,1095; 0,1643)</v>
      </c>
      <c r="G22" t="str">
        <f>VLOOKUP(G8,'Thang đánh giá'!$C$2:$D$27,2,FALSE)</f>
        <v>(0; 0; 0,0316)</v>
      </c>
      <c r="H22" t="str">
        <f>VLOOKUP(H8,'Thang đánh giá'!$C$2:$D$27,2,FALSE)</f>
        <v>(0; 0; 0)</v>
      </c>
      <c r="I22" t="str">
        <f>VLOOKUP(I8,'Thang đánh giá'!$C$2:$D$27,2,FALSE)</f>
        <v>(0,0707; 0,1414; 0,2121)</v>
      </c>
      <c r="J22" t="str">
        <f>VLOOKUP(J8,'Thang đánh giá'!$C$2:$D$27,2,FALSE)</f>
        <v>(0; 0,0707; 0,1414)</v>
      </c>
      <c r="K22" t="str">
        <f>VLOOKUP(K8,'Thang đánh giá'!$C$2:$D$27,2,FALSE)</f>
        <v>(0; 0; 0,0316)</v>
      </c>
      <c r="L22" t="str">
        <f>VLOOKUP(L8,'Thang đánh giá'!$C$2:$D$27,2,FALSE)</f>
        <v>(0; 0,0707; 0,1414)</v>
      </c>
      <c r="M22" t="str">
        <f>VLOOKUP(M8,'Thang đánh giá'!$C$2:$D$27,2,FALSE)</f>
        <v>(0,0548; 0,1095; 0,1643)</v>
      </c>
    </row>
    <row r="23" spans="1:13" x14ac:dyDescent="0.3">
      <c r="A23" t="s">
        <v>7</v>
      </c>
      <c r="B23" t="str">
        <f>VLOOKUP(B9,'Thang đánh giá'!$C$2:$D$27,2,FALSE)</f>
        <v>(0; 0; 0,0548)</v>
      </c>
      <c r="C23" t="str">
        <f>VLOOKUP(C9,'Thang đánh giá'!$C$2:$D$27,2,FALSE)</f>
        <v>(0; 0; 0,0316)</v>
      </c>
      <c r="D23" t="str">
        <f>VLOOKUP(D9,'Thang đánh giá'!$C$2:$D$27,2,FALSE)</f>
        <v>(0; 0,0548; 0,1095)</v>
      </c>
      <c r="E23" t="str">
        <f>VLOOKUP(E9,'Thang đánh giá'!$C$2:$D$27,2,FALSE)</f>
        <v>(0; 0; 0,0707)</v>
      </c>
      <c r="F23" t="str">
        <f>VLOOKUP(F9,'Thang đánh giá'!$C$2:$D$27,2,FALSE)</f>
        <v>(0; 0; 0,0316)</v>
      </c>
      <c r="G23" t="str">
        <f>VLOOKUP(G9,'Thang đánh giá'!$C$2:$D$27,2,FALSE)</f>
        <v>(0; 0; 0,0548)</v>
      </c>
      <c r="H23" t="str">
        <f>VLOOKUP(H9,'Thang đánh giá'!$C$2:$D$27,2,FALSE)</f>
        <v>(0; 0; 0,0707)</v>
      </c>
      <c r="I23" t="str">
        <f>VLOOKUP(I9,'Thang đánh giá'!$C$2:$D$27,2,FALSE)</f>
        <v>(0; 0; 0)</v>
      </c>
      <c r="J23" t="str">
        <f>VLOOKUP(J9,'Thang đánh giá'!$C$2:$D$27,2,FALSE)</f>
        <v>(0; 0; 0,0707)</v>
      </c>
      <c r="K23" t="str">
        <f>VLOOKUP(K9,'Thang đánh giá'!$C$2:$D$27,2,FALSE)</f>
        <v>(0,2846; 0,3795; 0,3795)</v>
      </c>
      <c r="L23" t="str">
        <f>VLOOKUP(L9,'Thang đánh giá'!$C$2:$D$27,2,FALSE)</f>
        <v>(0,2846; 0,3795; 0,3795)</v>
      </c>
      <c r="M23" t="str">
        <f>VLOOKUP(M9,'Thang đánh giá'!$C$2:$D$27,2,FALSE)</f>
        <v>(0,251; 0,3347; 0,3347)</v>
      </c>
    </row>
    <row r="24" spans="1:13" x14ac:dyDescent="0.3">
      <c r="A24" t="s">
        <v>8</v>
      </c>
      <c r="B24" t="str">
        <f>VLOOKUP(B10,'Thang đánh giá'!$C$2:$D$27,2,FALSE)</f>
        <v>(0,0837; 0,1673; 0,251)</v>
      </c>
      <c r="C24" t="str">
        <f>VLOOKUP(C10,'Thang đánh giá'!$C$2:$D$27,2,FALSE)</f>
        <v>(0; 0; 0,0548)</v>
      </c>
      <c r="D24" t="str">
        <f>VLOOKUP(D10,'Thang đánh giá'!$C$2:$D$27,2,FALSE)</f>
        <v>(0; 0; 0,0707)</v>
      </c>
      <c r="E24" t="str">
        <f>VLOOKUP(E10,'Thang đánh giá'!$C$2:$D$27,2,FALSE)</f>
        <v>(0; 0; 0,0316)</v>
      </c>
      <c r="F24" t="str">
        <f>VLOOKUP(F10,'Thang đánh giá'!$C$2:$D$27,2,FALSE)</f>
        <v>(0; 0; 0,0707)</v>
      </c>
      <c r="G24" t="str">
        <f>VLOOKUP(G10,'Thang đánh giá'!$C$2:$D$27,2,FALSE)</f>
        <v>(0; 0; 0,0707)</v>
      </c>
      <c r="H24" t="str">
        <f>VLOOKUP(H10,'Thang đánh giá'!$C$2:$D$27,2,FALSE)</f>
        <v>(0,2846; 0,3795; 0,3795)</v>
      </c>
      <c r="I24" t="str">
        <f>VLOOKUP(I10,'Thang đánh giá'!$C$2:$D$27,2,FALSE)</f>
        <v>(0; 0,0316; 0,0632)</v>
      </c>
      <c r="J24" t="str">
        <f>VLOOKUP(J10,'Thang đánh giá'!$C$2:$D$27,2,FALSE)</f>
        <v>(0; 0; 0)</v>
      </c>
      <c r="K24" t="str">
        <f>VLOOKUP(K10,'Thang đánh giá'!$C$2:$D$27,2,FALSE)</f>
        <v>(0; 0; 0,0707)</v>
      </c>
      <c r="L24" t="str">
        <f>VLOOKUP(L10,'Thang đánh giá'!$C$2:$D$27,2,FALSE)</f>
        <v>(0,2846; 0,3795; 0,3795)</v>
      </c>
      <c r="M24" t="str">
        <f>VLOOKUP(M10,'Thang đánh giá'!$C$2:$D$27,2,FALSE)</f>
        <v>(0,1673; 0,251; 0,3347)</v>
      </c>
    </row>
    <row r="25" spans="1:13" x14ac:dyDescent="0.3">
      <c r="A25" t="s">
        <v>9</v>
      </c>
      <c r="B25" t="str">
        <f>VLOOKUP(B11,'Thang đánh giá'!$C$2:$D$27,2,FALSE)</f>
        <v>(0; 0,0316; 0,0632)</v>
      </c>
      <c r="C25" t="str">
        <f>VLOOKUP(C11,'Thang đánh giá'!$C$2:$D$27,2,FALSE)</f>
        <v>(0; 0; 0,0548)</v>
      </c>
      <c r="D25" t="str">
        <f>VLOOKUP(D11,'Thang đánh giá'!$C$2:$D$27,2,FALSE)</f>
        <v>(0,0707; 0,1414; 0,2121)</v>
      </c>
      <c r="E25" t="str">
        <f>VLOOKUP(E11,'Thang đánh giá'!$C$2:$D$27,2,FALSE)</f>
        <v>(0; 0,0548; 0,1095)</v>
      </c>
      <c r="F25" t="str">
        <f>VLOOKUP(F11,'Thang đánh giá'!$C$2:$D$27,2,FALSE)</f>
        <v>(0; 0; 0,0707)</v>
      </c>
      <c r="G25" t="str">
        <f>VLOOKUP(G11,'Thang đánh giá'!$C$2:$D$27,2,FALSE)</f>
        <v>(0; 0; 0,0707)</v>
      </c>
      <c r="H25" t="str">
        <f>VLOOKUP(H11,'Thang đánh giá'!$C$2:$D$27,2,FALSE)</f>
        <v>(0; 0; 0,0707)</v>
      </c>
      <c r="I25" t="str">
        <f>VLOOKUP(I11,'Thang đánh giá'!$C$2:$D$27,2,FALSE)</f>
        <v>(0; 0,0548; 0,1095)</v>
      </c>
      <c r="J25" t="str">
        <f>VLOOKUP(J11,'Thang đánh giá'!$C$2:$D$27,2,FALSE)</f>
        <v>(0; 0; 0,0548)</v>
      </c>
      <c r="K25" t="str">
        <f>VLOOKUP(K11,'Thang đánh giá'!$C$2:$D$27,2,FALSE)</f>
        <v>(0; 0; 0)</v>
      </c>
      <c r="L25" t="str">
        <f>VLOOKUP(L11,'Thang đánh giá'!$C$2:$D$27,2,FALSE)</f>
        <v>(0; 0,0707; 0,1414)</v>
      </c>
      <c r="M25" t="str">
        <f>VLOOKUP(M11,'Thang đánh giá'!$C$2:$D$27,2,FALSE)</f>
        <v>(0; 0,0707; 0,1414)</v>
      </c>
    </row>
    <row r="26" spans="1:13" x14ac:dyDescent="0.3">
      <c r="A26" t="s">
        <v>10</v>
      </c>
      <c r="B26" t="str">
        <f>VLOOKUP(B12,'Thang đánh giá'!$C$2:$D$27,2,FALSE)</f>
        <v>(0; 0; 0,0316)</v>
      </c>
      <c r="C26" t="str">
        <f>VLOOKUP(C12,'Thang đánh giá'!$C$2:$D$27,2,FALSE)</f>
        <v>(0; 0; 0,0316)</v>
      </c>
      <c r="D26" t="str">
        <f>VLOOKUP(D12,'Thang đánh giá'!$C$2:$D$27,2,FALSE)</f>
        <v>(0; 0; 0,0707)</v>
      </c>
      <c r="E26" t="str">
        <f>VLOOKUP(E12,'Thang đánh giá'!$C$2:$D$27,2,FALSE)</f>
        <v>(0; 0; 0,0548)</v>
      </c>
      <c r="F26" t="str">
        <f>VLOOKUP(F12,'Thang đánh giá'!$C$2:$D$27,2,FALSE)</f>
        <v>(0; 0; 0,0707)</v>
      </c>
      <c r="G26" t="str">
        <f>VLOOKUP(G12,'Thang đánh giá'!$C$2:$D$27,2,FALSE)</f>
        <v>(0; 0,0316; 0,0632)</v>
      </c>
      <c r="H26" t="str">
        <f>VLOOKUP(H12,'Thang đánh giá'!$C$2:$D$27,2,FALSE)</f>
        <v>(0; 0,0707; 0,1414)</v>
      </c>
      <c r="I26" t="str">
        <f>VLOOKUP(I12,'Thang đánh giá'!$C$2:$D$27,2,FALSE)</f>
        <v>(0; 0; 0,0316)</v>
      </c>
      <c r="J26" t="str">
        <f>VLOOKUP(J12,'Thang đánh giá'!$C$2:$D$27,2,FALSE)</f>
        <v>(0; 0,0707; 0,1414)</v>
      </c>
      <c r="K26" t="str">
        <f>VLOOKUP(K12,'Thang đánh giá'!$C$2:$D$27,2,FALSE)</f>
        <v>(0; 0,0707; 0,1414)</v>
      </c>
      <c r="L26" t="str">
        <f>VLOOKUP(L12,'Thang đánh giá'!$C$2:$D$27,2,FALSE)</f>
        <v>(0; 0; 0)</v>
      </c>
      <c r="M26" t="str">
        <f>VLOOKUP(M12,'Thang đánh giá'!$C$2:$D$27,2,FALSE)</f>
        <v>(0; 0; 0,0707)</v>
      </c>
    </row>
    <row r="27" spans="1:13" x14ac:dyDescent="0.3">
      <c r="A27" t="s">
        <v>11</v>
      </c>
      <c r="B27" t="str">
        <f>VLOOKUP(B13,'Thang đánh giá'!$C$2:$D$27,2,FALSE)</f>
        <v>(0; 0,0707; 0,1414)</v>
      </c>
      <c r="C27" t="str">
        <f>VLOOKUP(C13,'Thang đánh giá'!$C$2:$D$27,2,FALSE)</f>
        <v>(0,0707; 0,1414; 0,2121)</v>
      </c>
      <c r="D27" t="str">
        <f>VLOOKUP(D13,'Thang đánh giá'!$C$2:$D$27,2,FALSE)</f>
        <v>(0; 0; 0,0548)</v>
      </c>
      <c r="E27" t="str">
        <f>VLOOKUP(E13,'Thang đánh giá'!$C$2:$D$27,2,FALSE)</f>
        <v>(0; 0; 0,0707)</v>
      </c>
      <c r="F27" t="str">
        <f>VLOOKUP(F13,'Thang đánh giá'!$C$2:$D$27,2,FALSE)</f>
        <v>(0; 0,0707; 0,1414)</v>
      </c>
      <c r="G27" t="str">
        <f>VLOOKUP(G13,'Thang đánh giá'!$C$2:$D$27,2,FALSE)</f>
        <v>(0; 0; 0,0316)</v>
      </c>
      <c r="H27" t="str">
        <f>VLOOKUP(H13,'Thang đánh giá'!$C$2:$D$27,2,FALSE)</f>
        <v>(0; 0,0316; 0,0632)</v>
      </c>
      <c r="I27" t="str">
        <f>VLOOKUP(I13,'Thang đánh giá'!$C$2:$D$27,2,FALSE)</f>
        <v>(0,0316; 0,0632; 0,0949)</v>
      </c>
      <c r="J27" t="str">
        <f>VLOOKUP(J13,'Thang đánh giá'!$C$2:$D$27,2,FALSE)</f>
        <v>(0,0548; 0,1095; 0,1643)</v>
      </c>
      <c r="K27" t="str">
        <f>VLOOKUP(K13,'Thang đánh giá'!$C$2:$D$27,2,FALSE)</f>
        <v>(0; 0,0707; 0,1414)</v>
      </c>
      <c r="L27" t="str">
        <f>VLOOKUP(L13,'Thang đánh giá'!$C$2:$D$27,2,FALSE)</f>
        <v>(0; 0,0548; 0,1095)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0.18970000000000001</v>
      </c>
      <c r="D30">
        <f t="shared" si="0"/>
        <v>0.18970000000000001</v>
      </c>
      <c r="E30">
        <f t="shared" si="0"/>
        <v>0</v>
      </c>
      <c r="F30">
        <f t="shared" si="0"/>
        <v>0</v>
      </c>
      <c r="G30">
        <f t="shared" si="0"/>
        <v>7.0699999999999999E-2</v>
      </c>
      <c r="H30">
        <f t="shared" si="0"/>
        <v>0</v>
      </c>
      <c r="I30">
        <f t="shared" si="0"/>
        <v>0</v>
      </c>
      <c r="J30">
        <f t="shared" si="0"/>
        <v>0.1673</v>
      </c>
      <c r="K30">
        <f t="shared" si="0"/>
        <v>0</v>
      </c>
      <c r="L30">
        <f t="shared" si="0"/>
        <v>0</v>
      </c>
      <c r="M30">
        <f t="shared" si="0"/>
        <v>0</v>
      </c>
    </row>
    <row r="31" spans="1:13" x14ac:dyDescent="0.3">
      <c r="A31" t="s">
        <v>1</v>
      </c>
      <c r="B31">
        <f t="shared" ref="B31:M41" si="1">_xlfn.NUMBERVALUE(MID(B17,2,FIND(";",B17,1)-2))</f>
        <v>7.0699999999999999E-2</v>
      </c>
      <c r="C31">
        <f t="shared" si="1"/>
        <v>0</v>
      </c>
      <c r="D31">
        <f t="shared" si="1"/>
        <v>0.251</v>
      </c>
      <c r="E31">
        <f t="shared" si="1"/>
        <v>0.28460000000000002</v>
      </c>
      <c r="F31">
        <f t="shared" si="1"/>
        <v>0</v>
      </c>
      <c r="G31">
        <f t="shared" si="1"/>
        <v>0.28460000000000002</v>
      </c>
      <c r="H31">
        <f t="shared" si="1"/>
        <v>0.28460000000000002</v>
      </c>
      <c r="I31">
        <f t="shared" si="1"/>
        <v>7.0699999999999999E-2</v>
      </c>
      <c r="J31">
        <f t="shared" si="1"/>
        <v>0.28460000000000002</v>
      </c>
      <c r="K31">
        <f t="shared" si="1"/>
        <v>0.251</v>
      </c>
      <c r="L31">
        <f t="shared" si="1"/>
        <v>0.28460000000000002</v>
      </c>
      <c r="M31">
        <f t="shared" si="1"/>
        <v>0</v>
      </c>
    </row>
    <row r="32" spans="1:13" x14ac:dyDescent="0.3">
      <c r="A32" t="s">
        <v>2</v>
      </c>
      <c r="B32">
        <f t="shared" si="1"/>
        <v>0.1673</v>
      </c>
      <c r="C32">
        <f t="shared" si="1"/>
        <v>0</v>
      </c>
      <c r="D32">
        <f t="shared" si="1"/>
        <v>0</v>
      </c>
      <c r="E32">
        <f t="shared" si="1"/>
        <v>0.1673</v>
      </c>
      <c r="F32">
        <f t="shared" si="1"/>
        <v>0</v>
      </c>
      <c r="G32">
        <f t="shared" si="1"/>
        <v>0.1673</v>
      </c>
      <c r="H32">
        <f t="shared" si="1"/>
        <v>7.0699999999999999E-2</v>
      </c>
      <c r="I32">
        <f t="shared" si="1"/>
        <v>0</v>
      </c>
      <c r="J32">
        <f t="shared" si="1"/>
        <v>0.18970000000000001</v>
      </c>
      <c r="K32">
        <f t="shared" si="1"/>
        <v>0.28460000000000002</v>
      </c>
      <c r="L32">
        <f t="shared" si="1"/>
        <v>0.18970000000000001</v>
      </c>
      <c r="M32">
        <f t="shared" si="1"/>
        <v>0.18970000000000001</v>
      </c>
    </row>
    <row r="33" spans="1:13" x14ac:dyDescent="0.3">
      <c r="A33" t="s">
        <v>3</v>
      </c>
      <c r="B33">
        <f t="shared" si="1"/>
        <v>0</v>
      </c>
      <c r="C33">
        <f t="shared" si="1"/>
        <v>8.3699999999999997E-2</v>
      </c>
      <c r="D33">
        <f t="shared" si="1"/>
        <v>8.3699999999999997E-2</v>
      </c>
      <c r="E33">
        <f t="shared" si="1"/>
        <v>0</v>
      </c>
      <c r="F33">
        <f t="shared" si="1"/>
        <v>9.4899999999999998E-2</v>
      </c>
      <c r="G33">
        <f t="shared" si="1"/>
        <v>0.28460000000000002</v>
      </c>
      <c r="H33">
        <f t="shared" si="1"/>
        <v>0.1673</v>
      </c>
      <c r="I33">
        <f t="shared" si="1"/>
        <v>0</v>
      </c>
      <c r="J33">
        <f t="shared" si="1"/>
        <v>0.28460000000000002</v>
      </c>
      <c r="K33">
        <f t="shared" si="1"/>
        <v>0</v>
      </c>
      <c r="L33">
        <f t="shared" si="1"/>
        <v>0.18970000000000001</v>
      </c>
      <c r="M33">
        <f t="shared" si="1"/>
        <v>0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0</v>
      </c>
      <c r="D34">
        <f t="shared" si="2"/>
        <v>0</v>
      </c>
      <c r="E34">
        <f t="shared" si="2"/>
        <v>0</v>
      </c>
      <c r="F34">
        <f t="shared" si="2"/>
        <v>0</v>
      </c>
      <c r="G34">
        <f t="shared" si="2"/>
        <v>0.18970000000000001</v>
      </c>
      <c r="H34">
        <f t="shared" si="2"/>
        <v>0.1673</v>
      </c>
      <c r="I34">
        <f t="shared" si="2"/>
        <v>0</v>
      </c>
      <c r="J34">
        <f t="shared" si="2"/>
        <v>0.251</v>
      </c>
      <c r="K34">
        <f t="shared" si="2"/>
        <v>0.18970000000000001</v>
      </c>
      <c r="L34">
        <f t="shared" si="2"/>
        <v>7.0699999999999999E-2</v>
      </c>
      <c r="M34">
        <f t="shared" si="2"/>
        <v>0</v>
      </c>
    </row>
    <row r="35" spans="1:13" x14ac:dyDescent="0.3">
      <c r="A35" t="s">
        <v>5</v>
      </c>
      <c r="B35">
        <f t="shared" si="1"/>
        <v>0</v>
      </c>
      <c r="C35">
        <f t="shared" si="1"/>
        <v>0</v>
      </c>
      <c r="D35">
        <f t="shared" si="1"/>
        <v>0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0</v>
      </c>
      <c r="J35">
        <f t="shared" si="1"/>
        <v>0.28460000000000002</v>
      </c>
      <c r="K35">
        <f t="shared" si="1"/>
        <v>0</v>
      </c>
      <c r="L35">
        <f t="shared" si="1"/>
        <v>0</v>
      </c>
      <c r="M35">
        <f t="shared" si="1"/>
        <v>0</v>
      </c>
    </row>
    <row r="36" spans="1:13" x14ac:dyDescent="0.3">
      <c r="A36" t="s">
        <v>6</v>
      </c>
      <c r="B36">
        <f t="shared" si="1"/>
        <v>0</v>
      </c>
      <c r="C36">
        <f t="shared" si="1"/>
        <v>5.4800000000000001E-2</v>
      </c>
      <c r="D36">
        <f t="shared" si="1"/>
        <v>0</v>
      </c>
      <c r="E36">
        <f t="shared" si="1"/>
        <v>0</v>
      </c>
      <c r="F36">
        <f t="shared" si="1"/>
        <v>5.4800000000000001E-2</v>
      </c>
      <c r="G36">
        <f t="shared" si="1"/>
        <v>0</v>
      </c>
      <c r="H36">
        <f t="shared" si="1"/>
        <v>0</v>
      </c>
      <c r="I36">
        <f t="shared" si="1"/>
        <v>7.0699999999999999E-2</v>
      </c>
      <c r="J36">
        <f t="shared" si="1"/>
        <v>0</v>
      </c>
      <c r="K36">
        <f t="shared" si="1"/>
        <v>0</v>
      </c>
      <c r="L36">
        <f t="shared" si="1"/>
        <v>0</v>
      </c>
      <c r="M36">
        <f t="shared" si="1"/>
        <v>5.4800000000000001E-2</v>
      </c>
    </row>
    <row r="37" spans="1:13" x14ac:dyDescent="0.3">
      <c r="A37" t="s">
        <v>7</v>
      </c>
      <c r="B37">
        <f t="shared" si="1"/>
        <v>0</v>
      </c>
      <c r="C37">
        <f t="shared" si="1"/>
        <v>0</v>
      </c>
      <c r="D37">
        <f t="shared" si="1"/>
        <v>0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0</v>
      </c>
      <c r="K37">
        <f t="shared" si="1"/>
        <v>0.28460000000000002</v>
      </c>
      <c r="L37">
        <f t="shared" si="1"/>
        <v>0.28460000000000002</v>
      </c>
      <c r="M37">
        <f t="shared" si="1"/>
        <v>0.251</v>
      </c>
    </row>
    <row r="38" spans="1:13" x14ac:dyDescent="0.3">
      <c r="A38" t="s">
        <v>8</v>
      </c>
      <c r="B38">
        <f t="shared" si="1"/>
        <v>8.3699999999999997E-2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0.28460000000000002</v>
      </c>
      <c r="I38">
        <f t="shared" si="1"/>
        <v>0</v>
      </c>
      <c r="J38">
        <f t="shared" si="1"/>
        <v>0</v>
      </c>
      <c r="K38">
        <f t="shared" si="1"/>
        <v>0</v>
      </c>
      <c r="L38">
        <f t="shared" si="1"/>
        <v>0.28460000000000002</v>
      </c>
      <c r="M38">
        <f t="shared" si="1"/>
        <v>0.1673</v>
      </c>
    </row>
    <row r="39" spans="1:13" x14ac:dyDescent="0.3">
      <c r="A39" t="s">
        <v>9</v>
      </c>
      <c r="B39">
        <f t="shared" si="1"/>
        <v>0</v>
      </c>
      <c r="C39">
        <f t="shared" si="1"/>
        <v>0</v>
      </c>
      <c r="D39">
        <f t="shared" si="1"/>
        <v>7.0699999999999999E-2</v>
      </c>
      <c r="E39">
        <f t="shared" si="1"/>
        <v>0</v>
      </c>
      <c r="F39">
        <f t="shared" si="1"/>
        <v>0</v>
      </c>
      <c r="G39">
        <f t="shared" si="1"/>
        <v>0</v>
      </c>
      <c r="H39">
        <f t="shared" si="1"/>
        <v>0</v>
      </c>
      <c r="I39">
        <f t="shared" si="1"/>
        <v>0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0</v>
      </c>
    </row>
    <row r="40" spans="1:13" x14ac:dyDescent="0.3">
      <c r="A40" t="s">
        <v>10</v>
      </c>
      <c r="B40">
        <f t="shared" si="1"/>
        <v>0</v>
      </c>
      <c r="C40">
        <f t="shared" si="1"/>
        <v>0</v>
      </c>
      <c r="D40">
        <f t="shared" si="1"/>
        <v>0</v>
      </c>
      <c r="E40">
        <f t="shared" si="1"/>
        <v>0</v>
      </c>
      <c r="F40">
        <f t="shared" si="1"/>
        <v>0</v>
      </c>
      <c r="G40">
        <f t="shared" si="1"/>
        <v>0</v>
      </c>
      <c r="H40">
        <f t="shared" si="1"/>
        <v>0</v>
      </c>
      <c r="I40">
        <f t="shared" si="1"/>
        <v>0</v>
      </c>
      <c r="J40">
        <f t="shared" si="1"/>
        <v>0</v>
      </c>
      <c r="K40">
        <f t="shared" si="1"/>
        <v>0</v>
      </c>
      <c r="L40">
        <f t="shared" si="1"/>
        <v>0</v>
      </c>
      <c r="M40">
        <f t="shared" si="1"/>
        <v>0</v>
      </c>
    </row>
    <row r="41" spans="1:13" x14ac:dyDescent="0.3">
      <c r="A41" t="s">
        <v>11</v>
      </c>
      <c r="B41">
        <f t="shared" si="1"/>
        <v>0</v>
      </c>
      <c r="C41">
        <f t="shared" si="1"/>
        <v>7.0699999999999999E-2</v>
      </c>
      <c r="D41">
        <f t="shared" si="1"/>
        <v>0</v>
      </c>
      <c r="E41">
        <f t="shared" si="1"/>
        <v>0</v>
      </c>
      <c r="F41">
        <f t="shared" si="1"/>
        <v>0</v>
      </c>
      <c r="G41">
        <f t="shared" si="1"/>
        <v>0</v>
      </c>
      <c r="H41">
        <f t="shared" si="1"/>
        <v>0</v>
      </c>
      <c r="I41">
        <f t="shared" si="1"/>
        <v>3.1600000000000003E-2</v>
      </c>
      <c r="J41">
        <f t="shared" si="1"/>
        <v>5.4800000000000001E-2</v>
      </c>
      <c r="K41">
        <f t="shared" si="1"/>
        <v>0</v>
      </c>
      <c r="L41">
        <f t="shared" si="1"/>
        <v>0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0.28460000000000002</v>
      </c>
      <c r="D44">
        <f t="shared" si="3"/>
        <v>0.28460000000000002</v>
      </c>
      <c r="E44">
        <f t="shared" si="3"/>
        <v>3.1600000000000003E-2</v>
      </c>
      <c r="F44">
        <f t="shared" si="3"/>
        <v>7.0699999999999999E-2</v>
      </c>
      <c r="G44">
        <f t="shared" si="3"/>
        <v>0.1414</v>
      </c>
      <c r="H44">
        <f t="shared" si="3"/>
        <v>0</v>
      </c>
      <c r="I44">
        <f t="shared" si="3"/>
        <v>5.4800000000000001E-2</v>
      </c>
      <c r="J44">
        <f t="shared" si="3"/>
        <v>0.251</v>
      </c>
      <c r="K44">
        <f t="shared" si="3"/>
        <v>0</v>
      </c>
      <c r="L44">
        <f t="shared" si="3"/>
        <v>7.0699999999999999E-2</v>
      </c>
      <c r="M44">
        <f t="shared" si="3"/>
        <v>7.0699999999999999E-2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0.1414</v>
      </c>
      <c r="C45">
        <f t="shared" si="4"/>
        <v>0</v>
      </c>
      <c r="D45">
        <f t="shared" si="4"/>
        <v>0.3347</v>
      </c>
      <c r="E45">
        <f t="shared" si="4"/>
        <v>0.3795</v>
      </c>
      <c r="F45">
        <f t="shared" si="4"/>
        <v>7.0699999999999999E-2</v>
      </c>
      <c r="G45">
        <f t="shared" si="4"/>
        <v>0.3795</v>
      </c>
      <c r="H45">
        <f t="shared" si="4"/>
        <v>0.3795</v>
      </c>
      <c r="I45">
        <f t="shared" si="4"/>
        <v>0.1414</v>
      </c>
      <c r="J45">
        <f t="shared" si="4"/>
        <v>0.3795</v>
      </c>
      <c r="K45">
        <f t="shared" si="4"/>
        <v>0.3347</v>
      </c>
      <c r="L45">
        <f t="shared" si="4"/>
        <v>0.3795</v>
      </c>
      <c r="M45">
        <f t="shared" si="4"/>
        <v>0</v>
      </c>
    </row>
    <row r="46" spans="1:13" x14ac:dyDescent="0.3">
      <c r="A46" t="s">
        <v>2</v>
      </c>
      <c r="B46">
        <f t="shared" si="4"/>
        <v>0.251</v>
      </c>
      <c r="C46">
        <f t="shared" si="4"/>
        <v>0</v>
      </c>
      <c r="D46">
        <f t="shared" si="4"/>
        <v>0</v>
      </c>
      <c r="E46">
        <f t="shared" si="4"/>
        <v>0.251</v>
      </c>
      <c r="F46">
        <f t="shared" si="4"/>
        <v>5.4800000000000001E-2</v>
      </c>
      <c r="G46">
        <f t="shared" si="4"/>
        <v>0.251</v>
      </c>
      <c r="H46">
        <f t="shared" si="4"/>
        <v>0.1414</v>
      </c>
      <c r="I46">
        <f t="shared" si="4"/>
        <v>0</v>
      </c>
      <c r="J46">
        <f t="shared" si="4"/>
        <v>0.28460000000000002</v>
      </c>
      <c r="K46">
        <f t="shared" si="4"/>
        <v>0.3795</v>
      </c>
      <c r="L46">
        <f t="shared" si="4"/>
        <v>0.28460000000000002</v>
      </c>
      <c r="M46">
        <f t="shared" si="4"/>
        <v>0.28460000000000002</v>
      </c>
    </row>
    <row r="47" spans="1:13" x14ac:dyDescent="0.3">
      <c r="A47" t="s">
        <v>3</v>
      </c>
      <c r="B47">
        <f t="shared" si="4"/>
        <v>5.4800000000000001E-2</v>
      </c>
      <c r="C47">
        <f t="shared" si="4"/>
        <v>0.1673</v>
      </c>
      <c r="D47">
        <f t="shared" si="4"/>
        <v>0.1673</v>
      </c>
      <c r="E47">
        <f t="shared" si="4"/>
        <v>0</v>
      </c>
      <c r="F47">
        <f t="shared" si="4"/>
        <v>0.18970000000000001</v>
      </c>
      <c r="G47">
        <f t="shared" si="4"/>
        <v>0.3795</v>
      </c>
      <c r="H47">
        <f t="shared" si="4"/>
        <v>0.251</v>
      </c>
      <c r="I47">
        <f t="shared" si="4"/>
        <v>5.4800000000000001E-2</v>
      </c>
      <c r="J47">
        <f t="shared" si="4"/>
        <v>0.3795</v>
      </c>
      <c r="K47">
        <f t="shared" si="4"/>
        <v>5.4800000000000001E-2</v>
      </c>
      <c r="L47">
        <f t="shared" si="4"/>
        <v>0.28460000000000002</v>
      </c>
      <c r="M47">
        <f t="shared" si="4"/>
        <v>0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3.1600000000000003E-2</v>
      </c>
      <c r="C48">
        <f t="shared" si="5"/>
        <v>0</v>
      </c>
      <c r="D48">
        <f t="shared" si="5"/>
        <v>0</v>
      </c>
      <c r="E48">
        <f t="shared" si="5"/>
        <v>0</v>
      </c>
      <c r="F48">
        <f t="shared" si="5"/>
        <v>0</v>
      </c>
      <c r="G48">
        <f t="shared" si="5"/>
        <v>0.28460000000000002</v>
      </c>
      <c r="H48">
        <f t="shared" si="5"/>
        <v>0.251</v>
      </c>
      <c r="I48">
        <f t="shared" si="5"/>
        <v>0</v>
      </c>
      <c r="J48">
        <f t="shared" si="5"/>
        <v>0.3347</v>
      </c>
      <c r="K48">
        <f t="shared" si="5"/>
        <v>0.28460000000000002</v>
      </c>
      <c r="L48">
        <f t="shared" si="5"/>
        <v>0.1414</v>
      </c>
      <c r="M48">
        <f t="shared" si="5"/>
        <v>0</v>
      </c>
    </row>
    <row r="49" spans="1:13" x14ac:dyDescent="0.3">
      <c r="A49" t="s">
        <v>5</v>
      </c>
      <c r="B49">
        <f t="shared" si="4"/>
        <v>0</v>
      </c>
      <c r="C49">
        <f t="shared" si="4"/>
        <v>5.4800000000000001E-2</v>
      </c>
      <c r="D49">
        <f t="shared" si="4"/>
        <v>7.0699999999999999E-2</v>
      </c>
      <c r="E49">
        <f t="shared" si="4"/>
        <v>0</v>
      </c>
      <c r="F49">
        <f t="shared" si="4"/>
        <v>0</v>
      </c>
      <c r="G49">
        <f t="shared" si="4"/>
        <v>0</v>
      </c>
      <c r="H49">
        <f t="shared" si="4"/>
        <v>0</v>
      </c>
      <c r="I49">
        <f t="shared" si="4"/>
        <v>3.1600000000000003E-2</v>
      </c>
      <c r="J49">
        <f t="shared" si="4"/>
        <v>0.3795</v>
      </c>
      <c r="K49">
        <f t="shared" si="4"/>
        <v>5.4800000000000001E-2</v>
      </c>
      <c r="L49">
        <f t="shared" si="4"/>
        <v>0</v>
      </c>
      <c r="M49">
        <f t="shared" si="4"/>
        <v>0</v>
      </c>
    </row>
    <row r="50" spans="1:13" x14ac:dyDescent="0.3">
      <c r="A50" t="s">
        <v>6</v>
      </c>
      <c r="B50">
        <f t="shared" si="4"/>
        <v>0</v>
      </c>
      <c r="C50">
        <f t="shared" si="4"/>
        <v>0.1095</v>
      </c>
      <c r="D50">
        <f t="shared" si="4"/>
        <v>0</v>
      </c>
      <c r="E50">
        <f t="shared" si="4"/>
        <v>7.0699999999999999E-2</v>
      </c>
      <c r="F50">
        <f t="shared" si="4"/>
        <v>0.1095</v>
      </c>
      <c r="G50">
        <f t="shared" si="4"/>
        <v>0</v>
      </c>
      <c r="H50">
        <f t="shared" si="4"/>
        <v>0</v>
      </c>
      <c r="I50">
        <f t="shared" si="4"/>
        <v>0.1414</v>
      </c>
      <c r="J50">
        <f t="shared" si="4"/>
        <v>7.0699999999999999E-2</v>
      </c>
      <c r="K50">
        <f t="shared" si="4"/>
        <v>0</v>
      </c>
      <c r="L50">
        <f t="shared" si="4"/>
        <v>7.0699999999999999E-2</v>
      </c>
      <c r="M50">
        <f t="shared" si="4"/>
        <v>0.1095</v>
      </c>
    </row>
    <row r="51" spans="1:13" x14ac:dyDescent="0.3">
      <c r="A51" t="s">
        <v>7</v>
      </c>
      <c r="B51">
        <f t="shared" si="4"/>
        <v>0</v>
      </c>
      <c r="C51">
        <f t="shared" si="4"/>
        <v>0</v>
      </c>
      <c r="D51">
        <f t="shared" si="4"/>
        <v>5.4800000000000001E-2</v>
      </c>
      <c r="E51">
        <f t="shared" si="4"/>
        <v>0</v>
      </c>
      <c r="F51">
        <f t="shared" si="4"/>
        <v>0</v>
      </c>
      <c r="G51">
        <f t="shared" si="4"/>
        <v>0</v>
      </c>
      <c r="H51">
        <f t="shared" si="4"/>
        <v>0</v>
      </c>
      <c r="I51">
        <f t="shared" si="4"/>
        <v>0</v>
      </c>
      <c r="J51">
        <f t="shared" si="4"/>
        <v>0</v>
      </c>
      <c r="K51">
        <f t="shared" si="4"/>
        <v>0.3795</v>
      </c>
      <c r="L51">
        <f t="shared" si="4"/>
        <v>0.3795</v>
      </c>
      <c r="M51">
        <f t="shared" si="4"/>
        <v>0.3347</v>
      </c>
    </row>
    <row r="52" spans="1:13" x14ac:dyDescent="0.3">
      <c r="A52" t="s">
        <v>8</v>
      </c>
      <c r="B52">
        <f t="shared" si="4"/>
        <v>0.1673</v>
      </c>
      <c r="C52">
        <f t="shared" si="4"/>
        <v>0</v>
      </c>
      <c r="D52">
        <f t="shared" si="4"/>
        <v>0</v>
      </c>
      <c r="E52">
        <f t="shared" si="4"/>
        <v>0</v>
      </c>
      <c r="F52">
        <f t="shared" si="4"/>
        <v>0</v>
      </c>
      <c r="G52">
        <f t="shared" si="4"/>
        <v>0</v>
      </c>
      <c r="H52">
        <f t="shared" si="4"/>
        <v>0.3795</v>
      </c>
      <c r="I52">
        <f t="shared" si="4"/>
        <v>3.1600000000000003E-2</v>
      </c>
      <c r="J52">
        <f t="shared" si="4"/>
        <v>0</v>
      </c>
      <c r="K52">
        <f t="shared" si="4"/>
        <v>0</v>
      </c>
      <c r="L52">
        <f t="shared" si="4"/>
        <v>0.3795</v>
      </c>
      <c r="M52">
        <f t="shared" si="4"/>
        <v>0.251</v>
      </c>
    </row>
    <row r="53" spans="1:13" x14ac:dyDescent="0.3">
      <c r="A53" t="s">
        <v>9</v>
      </c>
      <c r="B53">
        <f t="shared" si="4"/>
        <v>3.1600000000000003E-2</v>
      </c>
      <c r="C53">
        <f t="shared" si="4"/>
        <v>0</v>
      </c>
      <c r="D53">
        <f t="shared" si="4"/>
        <v>0.1414</v>
      </c>
      <c r="E53">
        <f t="shared" si="4"/>
        <v>5.4800000000000001E-2</v>
      </c>
      <c r="F53">
        <f t="shared" si="4"/>
        <v>0</v>
      </c>
      <c r="G53">
        <f t="shared" si="4"/>
        <v>0</v>
      </c>
      <c r="H53">
        <f t="shared" si="4"/>
        <v>0</v>
      </c>
      <c r="I53">
        <f t="shared" si="4"/>
        <v>5.4800000000000001E-2</v>
      </c>
      <c r="J53">
        <f t="shared" si="4"/>
        <v>0</v>
      </c>
      <c r="K53">
        <f t="shared" si="4"/>
        <v>0</v>
      </c>
      <c r="L53">
        <f t="shared" si="4"/>
        <v>7.0699999999999999E-2</v>
      </c>
      <c r="M53">
        <f t="shared" si="4"/>
        <v>7.0699999999999999E-2</v>
      </c>
    </row>
    <row r="54" spans="1:13" x14ac:dyDescent="0.3">
      <c r="A54" t="s">
        <v>10</v>
      </c>
      <c r="B54">
        <f t="shared" si="4"/>
        <v>0</v>
      </c>
      <c r="C54">
        <f t="shared" si="4"/>
        <v>0</v>
      </c>
      <c r="D54">
        <f t="shared" si="4"/>
        <v>0</v>
      </c>
      <c r="E54">
        <f t="shared" si="4"/>
        <v>0</v>
      </c>
      <c r="F54">
        <f t="shared" si="4"/>
        <v>0</v>
      </c>
      <c r="G54">
        <f t="shared" si="4"/>
        <v>3.1600000000000003E-2</v>
      </c>
      <c r="H54">
        <f t="shared" si="4"/>
        <v>7.0699999999999999E-2</v>
      </c>
      <c r="I54">
        <f t="shared" si="4"/>
        <v>0</v>
      </c>
      <c r="J54">
        <f t="shared" si="4"/>
        <v>7.0699999999999999E-2</v>
      </c>
      <c r="K54">
        <f t="shared" si="4"/>
        <v>7.0699999999999999E-2</v>
      </c>
      <c r="L54">
        <f t="shared" si="4"/>
        <v>0</v>
      </c>
      <c r="M54">
        <f t="shared" si="4"/>
        <v>0</v>
      </c>
    </row>
    <row r="55" spans="1:13" x14ac:dyDescent="0.3">
      <c r="A55" t="s">
        <v>11</v>
      </c>
      <c r="B55">
        <f t="shared" si="4"/>
        <v>7.0699999999999999E-2</v>
      </c>
      <c r="C55">
        <f t="shared" si="4"/>
        <v>0.1414</v>
      </c>
      <c r="D55">
        <f t="shared" si="4"/>
        <v>0</v>
      </c>
      <c r="E55">
        <f t="shared" si="4"/>
        <v>0</v>
      </c>
      <c r="F55">
        <f t="shared" si="4"/>
        <v>7.0699999999999999E-2</v>
      </c>
      <c r="G55">
        <f t="shared" si="4"/>
        <v>0</v>
      </c>
      <c r="H55">
        <f t="shared" si="4"/>
        <v>3.1600000000000003E-2</v>
      </c>
      <c r="I55">
        <f t="shared" si="4"/>
        <v>6.3200000000000006E-2</v>
      </c>
      <c r="J55">
        <f t="shared" si="4"/>
        <v>0.1095</v>
      </c>
      <c r="K55">
        <f t="shared" si="4"/>
        <v>7.0699999999999999E-2</v>
      </c>
      <c r="L55">
        <f t="shared" si="4"/>
        <v>5.4800000000000001E-2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0.3795</v>
      </c>
      <c r="D58">
        <f t="shared" si="6"/>
        <v>0.3795</v>
      </c>
      <c r="E58">
        <f t="shared" si="6"/>
        <v>6.3200000000000006E-2</v>
      </c>
      <c r="F58">
        <f t="shared" si="6"/>
        <v>0.1414</v>
      </c>
      <c r="G58">
        <f t="shared" si="6"/>
        <v>0.21210000000000001</v>
      </c>
      <c r="H58">
        <f t="shared" si="6"/>
        <v>5.4800000000000001E-2</v>
      </c>
      <c r="I58">
        <f t="shared" si="6"/>
        <v>0.1095</v>
      </c>
      <c r="J58">
        <f t="shared" si="6"/>
        <v>0.3347</v>
      </c>
      <c r="K58">
        <f t="shared" si="6"/>
        <v>7.0699999999999999E-2</v>
      </c>
      <c r="L58">
        <f t="shared" si="6"/>
        <v>0.1414</v>
      </c>
      <c r="M58">
        <f t="shared" si="6"/>
        <v>0.1414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0.21210000000000001</v>
      </c>
      <c r="C59">
        <f t="shared" si="7"/>
        <v>0</v>
      </c>
      <c r="D59">
        <f t="shared" si="7"/>
        <v>0.3347</v>
      </c>
      <c r="E59">
        <f t="shared" si="7"/>
        <v>0.3795</v>
      </c>
      <c r="F59">
        <f t="shared" si="7"/>
        <v>0.1414</v>
      </c>
      <c r="G59">
        <f t="shared" si="7"/>
        <v>0.3795</v>
      </c>
      <c r="H59">
        <f t="shared" si="7"/>
        <v>0.3795</v>
      </c>
      <c r="I59">
        <f t="shared" si="7"/>
        <v>0.21210000000000001</v>
      </c>
      <c r="J59">
        <f t="shared" si="7"/>
        <v>0.3795</v>
      </c>
      <c r="K59">
        <f t="shared" si="7"/>
        <v>0.3347</v>
      </c>
      <c r="L59">
        <f t="shared" si="7"/>
        <v>0.3795</v>
      </c>
      <c r="M59">
        <f t="shared" si="7"/>
        <v>7.0699999999999999E-2</v>
      </c>
    </row>
    <row r="60" spans="1:13" x14ac:dyDescent="0.3">
      <c r="A60" t="s">
        <v>2</v>
      </c>
      <c r="B60">
        <f t="shared" si="7"/>
        <v>0.3347</v>
      </c>
      <c r="C60">
        <f t="shared" si="7"/>
        <v>5.4800000000000001E-2</v>
      </c>
      <c r="D60">
        <f t="shared" si="7"/>
        <v>0</v>
      </c>
      <c r="E60">
        <f t="shared" si="7"/>
        <v>0.3347</v>
      </c>
      <c r="F60">
        <f t="shared" si="7"/>
        <v>0.1095</v>
      </c>
      <c r="G60">
        <f t="shared" si="7"/>
        <v>0.3347</v>
      </c>
      <c r="H60">
        <f t="shared" si="7"/>
        <v>0.21210000000000001</v>
      </c>
      <c r="I60">
        <f t="shared" si="7"/>
        <v>7.0699999999999999E-2</v>
      </c>
      <c r="J60">
        <f t="shared" si="7"/>
        <v>0.3795</v>
      </c>
      <c r="K60">
        <f t="shared" si="7"/>
        <v>0.3795</v>
      </c>
      <c r="L60">
        <f t="shared" si="7"/>
        <v>0.3795</v>
      </c>
      <c r="M60">
        <f t="shared" si="7"/>
        <v>0.3795</v>
      </c>
    </row>
    <row r="61" spans="1:13" x14ac:dyDescent="0.3">
      <c r="A61" t="s">
        <v>3</v>
      </c>
      <c r="B61">
        <f t="shared" si="7"/>
        <v>0.1095</v>
      </c>
      <c r="C61">
        <f t="shared" si="7"/>
        <v>0.251</v>
      </c>
      <c r="D61">
        <f t="shared" si="7"/>
        <v>0.251</v>
      </c>
      <c r="E61">
        <f t="shared" si="7"/>
        <v>0</v>
      </c>
      <c r="F61">
        <f t="shared" si="7"/>
        <v>0.28460000000000002</v>
      </c>
      <c r="G61">
        <f t="shared" si="7"/>
        <v>0.3795</v>
      </c>
      <c r="H61">
        <f t="shared" si="7"/>
        <v>0.3347</v>
      </c>
      <c r="I61">
        <f t="shared" si="7"/>
        <v>0.1095</v>
      </c>
      <c r="J61">
        <f t="shared" si="7"/>
        <v>0.3795</v>
      </c>
      <c r="K61">
        <f t="shared" si="7"/>
        <v>0.1095</v>
      </c>
      <c r="L61">
        <f t="shared" si="7"/>
        <v>0.3795</v>
      </c>
      <c r="M61">
        <f t="shared" si="7"/>
        <v>3.1600000000000003E-2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6.3200000000000006E-2</v>
      </c>
      <c r="C62">
        <f t="shared" si="8"/>
        <v>5.4800000000000001E-2</v>
      </c>
      <c r="D62">
        <f t="shared" si="8"/>
        <v>7.0699999999999999E-2</v>
      </c>
      <c r="E62">
        <f t="shared" si="8"/>
        <v>3.1600000000000003E-2</v>
      </c>
      <c r="F62">
        <f t="shared" si="8"/>
        <v>0</v>
      </c>
      <c r="G62">
        <f t="shared" si="8"/>
        <v>0.3795</v>
      </c>
      <c r="H62">
        <f t="shared" si="8"/>
        <v>0.3347</v>
      </c>
      <c r="I62">
        <f t="shared" si="8"/>
        <v>7.0699999999999999E-2</v>
      </c>
      <c r="J62">
        <f t="shared" si="8"/>
        <v>0.3347</v>
      </c>
      <c r="K62">
        <f t="shared" si="8"/>
        <v>0.3795</v>
      </c>
      <c r="L62">
        <f t="shared" si="8"/>
        <v>0.21210000000000001</v>
      </c>
      <c r="M62">
        <f t="shared" si="8"/>
        <v>3.1600000000000003E-2</v>
      </c>
    </row>
    <row r="63" spans="1:13" x14ac:dyDescent="0.3">
      <c r="A63" t="s">
        <v>5</v>
      </c>
      <c r="B63">
        <f t="shared" si="7"/>
        <v>7.0699999999999999E-2</v>
      </c>
      <c r="C63">
        <f t="shared" si="7"/>
        <v>0.1095</v>
      </c>
      <c r="D63">
        <f t="shared" si="7"/>
        <v>0.1414</v>
      </c>
      <c r="E63">
        <f t="shared" si="7"/>
        <v>7.0699999999999999E-2</v>
      </c>
      <c r="F63">
        <f t="shared" si="7"/>
        <v>7.0699999999999999E-2</v>
      </c>
      <c r="G63">
        <f t="shared" si="7"/>
        <v>0</v>
      </c>
      <c r="H63">
        <f t="shared" si="7"/>
        <v>7.0699999999999999E-2</v>
      </c>
      <c r="I63">
        <f t="shared" si="7"/>
        <v>6.3200000000000006E-2</v>
      </c>
      <c r="J63">
        <f t="shared" si="7"/>
        <v>0.3795</v>
      </c>
      <c r="K63">
        <f t="shared" si="7"/>
        <v>0.1095</v>
      </c>
      <c r="L63">
        <f t="shared" si="7"/>
        <v>5.4800000000000001E-2</v>
      </c>
      <c r="M63">
        <f t="shared" si="7"/>
        <v>5.4800000000000001E-2</v>
      </c>
    </row>
    <row r="64" spans="1:13" x14ac:dyDescent="0.3">
      <c r="A64" t="s">
        <v>6</v>
      </c>
      <c r="B64">
        <f t="shared" si="7"/>
        <v>5.4800000000000001E-2</v>
      </c>
      <c r="C64">
        <f t="shared" si="7"/>
        <v>0.1643</v>
      </c>
      <c r="D64">
        <f t="shared" si="7"/>
        <v>5.4800000000000001E-2</v>
      </c>
      <c r="E64">
        <f t="shared" si="7"/>
        <v>0.1414</v>
      </c>
      <c r="F64">
        <f t="shared" si="7"/>
        <v>0.1643</v>
      </c>
      <c r="G64">
        <f t="shared" si="7"/>
        <v>3.1600000000000003E-2</v>
      </c>
      <c r="H64">
        <f t="shared" si="7"/>
        <v>0</v>
      </c>
      <c r="I64">
        <f t="shared" si="7"/>
        <v>0.21210000000000001</v>
      </c>
      <c r="J64">
        <f t="shared" si="7"/>
        <v>0.1414</v>
      </c>
      <c r="K64">
        <f t="shared" si="7"/>
        <v>3.1600000000000003E-2</v>
      </c>
      <c r="L64">
        <f t="shared" si="7"/>
        <v>0.1414</v>
      </c>
      <c r="M64">
        <f t="shared" si="7"/>
        <v>0.1643</v>
      </c>
    </row>
    <row r="65" spans="1:13" x14ac:dyDescent="0.3">
      <c r="A65" t="s">
        <v>7</v>
      </c>
      <c r="B65">
        <f t="shared" si="7"/>
        <v>5.4800000000000001E-2</v>
      </c>
      <c r="C65">
        <f t="shared" si="7"/>
        <v>3.1600000000000003E-2</v>
      </c>
      <c r="D65">
        <f t="shared" si="7"/>
        <v>0.1095</v>
      </c>
      <c r="E65">
        <f t="shared" si="7"/>
        <v>7.0699999999999999E-2</v>
      </c>
      <c r="F65">
        <f t="shared" si="7"/>
        <v>3.1600000000000003E-2</v>
      </c>
      <c r="G65">
        <f t="shared" si="7"/>
        <v>5.4800000000000001E-2</v>
      </c>
      <c r="H65">
        <f t="shared" si="7"/>
        <v>7.0699999999999999E-2</v>
      </c>
      <c r="I65">
        <f t="shared" si="7"/>
        <v>0</v>
      </c>
      <c r="J65">
        <f t="shared" si="7"/>
        <v>7.0699999999999999E-2</v>
      </c>
      <c r="K65">
        <f t="shared" si="7"/>
        <v>0.3795</v>
      </c>
      <c r="L65">
        <f t="shared" si="7"/>
        <v>0.3795</v>
      </c>
      <c r="M65">
        <f t="shared" si="7"/>
        <v>0.3347</v>
      </c>
    </row>
    <row r="66" spans="1:13" x14ac:dyDescent="0.3">
      <c r="A66" t="s">
        <v>8</v>
      </c>
      <c r="B66">
        <f t="shared" si="7"/>
        <v>0.251</v>
      </c>
      <c r="C66">
        <f t="shared" si="7"/>
        <v>5.4800000000000001E-2</v>
      </c>
      <c r="D66">
        <f t="shared" si="7"/>
        <v>7.0699999999999999E-2</v>
      </c>
      <c r="E66">
        <f t="shared" si="7"/>
        <v>3.1600000000000003E-2</v>
      </c>
      <c r="F66">
        <f t="shared" si="7"/>
        <v>7.0699999999999999E-2</v>
      </c>
      <c r="G66">
        <f t="shared" si="7"/>
        <v>7.0699999999999999E-2</v>
      </c>
      <c r="H66">
        <f t="shared" si="7"/>
        <v>0.3795</v>
      </c>
      <c r="I66">
        <f t="shared" si="7"/>
        <v>6.3200000000000006E-2</v>
      </c>
      <c r="J66">
        <f t="shared" si="7"/>
        <v>0</v>
      </c>
      <c r="K66">
        <f t="shared" si="7"/>
        <v>7.0699999999999999E-2</v>
      </c>
      <c r="L66">
        <f t="shared" si="7"/>
        <v>0.3795</v>
      </c>
      <c r="M66">
        <f t="shared" si="7"/>
        <v>0.3347</v>
      </c>
    </row>
    <row r="67" spans="1:13" x14ac:dyDescent="0.3">
      <c r="A67" t="s">
        <v>9</v>
      </c>
      <c r="B67">
        <f t="shared" si="7"/>
        <v>6.3200000000000006E-2</v>
      </c>
      <c r="C67">
        <f t="shared" si="7"/>
        <v>5.4800000000000001E-2</v>
      </c>
      <c r="D67">
        <f t="shared" si="7"/>
        <v>0.21210000000000001</v>
      </c>
      <c r="E67">
        <f t="shared" si="7"/>
        <v>0.1095</v>
      </c>
      <c r="F67">
        <f t="shared" si="7"/>
        <v>7.0699999999999999E-2</v>
      </c>
      <c r="G67">
        <f t="shared" si="7"/>
        <v>7.0699999999999999E-2</v>
      </c>
      <c r="H67">
        <f t="shared" si="7"/>
        <v>7.0699999999999999E-2</v>
      </c>
      <c r="I67">
        <f t="shared" si="7"/>
        <v>0.1095</v>
      </c>
      <c r="J67">
        <f t="shared" si="7"/>
        <v>5.4800000000000001E-2</v>
      </c>
      <c r="K67">
        <f t="shared" si="7"/>
        <v>0</v>
      </c>
      <c r="L67">
        <f t="shared" si="7"/>
        <v>0.1414</v>
      </c>
      <c r="M67">
        <f t="shared" si="7"/>
        <v>0.1414</v>
      </c>
    </row>
    <row r="68" spans="1:13" x14ac:dyDescent="0.3">
      <c r="A68" t="s">
        <v>10</v>
      </c>
      <c r="B68">
        <f t="shared" si="7"/>
        <v>3.1600000000000003E-2</v>
      </c>
      <c r="C68">
        <f t="shared" si="7"/>
        <v>3.1600000000000003E-2</v>
      </c>
      <c r="D68">
        <f t="shared" si="7"/>
        <v>7.0699999999999999E-2</v>
      </c>
      <c r="E68">
        <f t="shared" si="7"/>
        <v>5.4800000000000001E-2</v>
      </c>
      <c r="F68">
        <f t="shared" si="7"/>
        <v>7.0699999999999999E-2</v>
      </c>
      <c r="G68">
        <f t="shared" si="7"/>
        <v>6.3200000000000006E-2</v>
      </c>
      <c r="H68">
        <f t="shared" si="7"/>
        <v>0.1414</v>
      </c>
      <c r="I68">
        <f t="shared" si="7"/>
        <v>3.1600000000000003E-2</v>
      </c>
      <c r="J68">
        <f t="shared" si="7"/>
        <v>0.1414</v>
      </c>
      <c r="K68">
        <f t="shared" si="7"/>
        <v>0.1414</v>
      </c>
      <c r="L68">
        <f t="shared" si="7"/>
        <v>0</v>
      </c>
      <c r="M68">
        <f t="shared" si="7"/>
        <v>7.0699999999999999E-2</v>
      </c>
    </row>
    <row r="69" spans="1:13" x14ac:dyDescent="0.3">
      <c r="A69" t="s">
        <v>11</v>
      </c>
      <c r="B69">
        <f t="shared" si="7"/>
        <v>0.1414</v>
      </c>
      <c r="C69">
        <f t="shared" si="7"/>
        <v>0.21210000000000001</v>
      </c>
      <c r="D69">
        <f t="shared" si="7"/>
        <v>5.4800000000000001E-2</v>
      </c>
      <c r="E69">
        <f t="shared" si="7"/>
        <v>7.0699999999999999E-2</v>
      </c>
      <c r="F69">
        <f t="shared" si="7"/>
        <v>0.1414</v>
      </c>
      <c r="G69">
        <f t="shared" si="7"/>
        <v>3.1600000000000003E-2</v>
      </c>
      <c r="H69">
        <f t="shared" si="7"/>
        <v>6.3200000000000006E-2</v>
      </c>
      <c r="I69">
        <f t="shared" si="7"/>
        <v>9.4899999999999998E-2</v>
      </c>
      <c r="J69">
        <f t="shared" si="7"/>
        <v>0.1643</v>
      </c>
      <c r="K69">
        <f t="shared" si="7"/>
        <v>0.1414</v>
      </c>
      <c r="L69">
        <f t="shared" si="7"/>
        <v>0.1095</v>
      </c>
      <c r="M69">
        <f t="shared" si="7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/>
  <dimension ref="A1:M69"/>
  <sheetViews>
    <sheetView workbookViewId="0">
      <selection activeCell="A15" sqref="A15:M69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13</v>
      </c>
      <c r="D2" t="s">
        <v>12</v>
      </c>
      <c r="E2" t="s">
        <v>22</v>
      </c>
      <c r="F2" t="s">
        <v>16</v>
      </c>
      <c r="G2" t="s">
        <v>24</v>
      </c>
      <c r="H2" t="s">
        <v>22</v>
      </c>
      <c r="I2" t="s">
        <v>23</v>
      </c>
      <c r="J2" t="s">
        <v>13</v>
      </c>
      <c r="K2" t="s">
        <v>16</v>
      </c>
      <c r="L2" t="s">
        <v>16</v>
      </c>
      <c r="M2" t="s">
        <v>15</v>
      </c>
    </row>
    <row r="3" spans="1:13" x14ac:dyDescent="0.3">
      <c r="A3" s="1" t="s">
        <v>1</v>
      </c>
      <c r="B3" t="s">
        <v>15</v>
      </c>
      <c r="C3">
        <v>0</v>
      </c>
      <c r="D3" t="s">
        <v>25</v>
      </c>
      <c r="E3" t="s">
        <v>18</v>
      </c>
      <c r="F3" t="s">
        <v>15</v>
      </c>
      <c r="G3" t="s">
        <v>16</v>
      </c>
      <c r="H3" t="s">
        <v>12</v>
      </c>
      <c r="I3" t="s">
        <v>15</v>
      </c>
      <c r="J3" t="s">
        <v>15</v>
      </c>
      <c r="K3" t="s">
        <v>18</v>
      </c>
      <c r="L3" t="s">
        <v>16</v>
      </c>
      <c r="M3" t="s">
        <v>18</v>
      </c>
    </row>
    <row r="4" spans="1:13" x14ac:dyDescent="0.3">
      <c r="A4" s="1" t="s">
        <v>2</v>
      </c>
      <c r="B4" t="s">
        <v>21</v>
      </c>
      <c r="C4" t="s">
        <v>16</v>
      </c>
      <c r="D4">
        <v>0</v>
      </c>
      <c r="E4" t="s">
        <v>16</v>
      </c>
      <c r="F4" t="s">
        <v>15</v>
      </c>
      <c r="G4" t="s">
        <v>12</v>
      </c>
      <c r="H4" t="s">
        <v>12</v>
      </c>
      <c r="I4" t="s">
        <v>15</v>
      </c>
      <c r="J4" t="s">
        <v>18</v>
      </c>
      <c r="K4" t="s">
        <v>25</v>
      </c>
      <c r="L4" t="s">
        <v>12</v>
      </c>
      <c r="M4" t="s">
        <v>13</v>
      </c>
    </row>
    <row r="5" spans="1:13" x14ac:dyDescent="0.3">
      <c r="A5" s="1" t="s">
        <v>3</v>
      </c>
      <c r="B5" t="s">
        <v>23</v>
      </c>
      <c r="C5" t="s">
        <v>17</v>
      </c>
      <c r="D5" t="s">
        <v>22</v>
      </c>
      <c r="E5">
        <v>0</v>
      </c>
      <c r="F5" t="s">
        <v>20</v>
      </c>
      <c r="G5" t="s">
        <v>17</v>
      </c>
      <c r="H5" t="s">
        <v>13</v>
      </c>
      <c r="I5" t="s">
        <v>62</v>
      </c>
      <c r="J5" t="s">
        <v>25</v>
      </c>
      <c r="K5" t="s">
        <v>24</v>
      </c>
      <c r="L5" t="s">
        <v>13</v>
      </c>
      <c r="M5" t="s">
        <v>20</v>
      </c>
    </row>
    <row r="6" spans="1:13" x14ac:dyDescent="0.3">
      <c r="A6" s="1" t="s">
        <v>4</v>
      </c>
      <c r="B6" t="s">
        <v>17</v>
      </c>
      <c r="C6" t="s">
        <v>15</v>
      </c>
      <c r="D6" t="s">
        <v>20</v>
      </c>
      <c r="E6" t="s">
        <v>15</v>
      </c>
      <c r="F6">
        <v>0</v>
      </c>
      <c r="G6" t="s">
        <v>21</v>
      </c>
      <c r="H6" t="s">
        <v>62</v>
      </c>
      <c r="I6" t="s">
        <v>16</v>
      </c>
      <c r="J6" t="s">
        <v>25</v>
      </c>
      <c r="K6" t="s">
        <v>13</v>
      </c>
      <c r="L6" t="s">
        <v>24</v>
      </c>
      <c r="M6" t="s">
        <v>15</v>
      </c>
    </row>
    <row r="7" spans="1:13" x14ac:dyDescent="0.3">
      <c r="A7" s="1" t="s">
        <v>5</v>
      </c>
      <c r="B7" t="s">
        <v>15</v>
      </c>
      <c r="C7" t="s">
        <v>16</v>
      </c>
      <c r="D7" t="s">
        <v>71</v>
      </c>
      <c r="E7" t="s">
        <v>15</v>
      </c>
      <c r="F7" t="s">
        <v>24</v>
      </c>
      <c r="G7">
        <v>0</v>
      </c>
      <c r="H7" t="s">
        <v>24</v>
      </c>
      <c r="I7" t="s">
        <v>20</v>
      </c>
      <c r="J7" t="s">
        <v>18</v>
      </c>
      <c r="K7" t="s">
        <v>23</v>
      </c>
      <c r="L7" t="s">
        <v>24</v>
      </c>
      <c r="M7" t="s">
        <v>15</v>
      </c>
    </row>
    <row r="8" spans="1:13" x14ac:dyDescent="0.3">
      <c r="A8" s="1" t="s">
        <v>6</v>
      </c>
      <c r="B8" t="s">
        <v>71</v>
      </c>
      <c r="C8" t="s">
        <v>20</v>
      </c>
      <c r="D8" t="s">
        <v>16</v>
      </c>
      <c r="E8" t="s">
        <v>15</v>
      </c>
      <c r="F8" t="s">
        <v>24</v>
      </c>
      <c r="G8" t="s">
        <v>20</v>
      </c>
      <c r="H8">
        <v>0</v>
      </c>
      <c r="I8" t="s">
        <v>16</v>
      </c>
      <c r="J8" t="s">
        <v>24</v>
      </c>
      <c r="K8" t="s">
        <v>17</v>
      </c>
      <c r="L8" t="s">
        <v>20</v>
      </c>
      <c r="M8" t="s">
        <v>24</v>
      </c>
    </row>
    <row r="9" spans="1:13" x14ac:dyDescent="0.3">
      <c r="A9" s="1" t="s">
        <v>7</v>
      </c>
      <c r="B9" t="s">
        <v>23</v>
      </c>
      <c r="C9" t="s">
        <v>16</v>
      </c>
      <c r="D9" t="s">
        <v>24</v>
      </c>
      <c r="E9" t="s">
        <v>15</v>
      </c>
      <c r="F9" t="s">
        <v>17</v>
      </c>
      <c r="G9" t="s">
        <v>15</v>
      </c>
      <c r="H9" t="s">
        <v>16</v>
      </c>
      <c r="I9">
        <v>0</v>
      </c>
      <c r="J9" t="s">
        <v>22</v>
      </c>
      <c r="K9" t="s">
        <v>18</v>
      </c>
      <c r="L9" t="s">
        <v>13</v>
      </c>
      <c r="M9" t="s">
        <v>21</v>
      </c>
    </row>
    <row r="10" spans="1:13" x14ac:dyDescent="0.3">
      <c r="A10" s="1" t="s">
        <v>8</v>
      </c>
      <c r="B10" t="s">
        <v>21</v>
      </c>
      <c r="C10" t="s">
        <v>22</v>
      </c>
      <c r="D10" t="s">
        <v>22</v>
      </c>
      <c r="E10" t="s">
        <v>16</v>
      </c>
      <c r="F10" t="s">
        <v>24</v>
      </c>
      <c r="G10" t="s">
        <v>15</v>
      </c>
      <c r="H10" t="s">
        <v>13</v>
      </c>
      <c r="I10" t="s">
        <v>15</v>
      </c>
      <c r="J10">
        <v>0</v>
      </c>
      <c r="K10" t="s">
        <v>25</v>
      </c>
      <c r="L10" t="s">
        <v>18</v>
      </c>
      <c r="M10" t="s">
        <v>13</v>
      </c>
    </row>
    <row r="11" spans="1:13" x14ac:dyDescent="0.3">
      <c r="A11" s="1" t="s">
        <v>9</v>
      </c>
      <c r="B11" t="s">
        <v>16</v>
      </c>
      <c r="C11" t="s">
        <v>23</v>
      </c>
      <c r="D11" t="s">
        <v>23</v>
      </c>
      <c r="E11" t="s">
        <v>15</v>
      </c>
      <c r="F11" t="s">
        <v>16</v>
      </c>
      <c r="G11" t="s">
        <v>20</v>
      </c>
      <c r="H11" t="s">
        <v>24</v>
      </c>
      <c r="I11" t="s">
        <v>15</v>
      </c>
      <c r="J11" t="s">
        <v>16</v>
      </c>
      <c r="K11">
        <v>0</v>
      </c>
      <c r="L11" t="s">
        <v>16</v>
      </c>
      <c r="M11" t="s">
        <v>16</v>
      </c>
    </row>
    <row r="12" spans="1:13" x14ac:dyDescent="0.3">
      <c r="A12" s="1" t="s">
        <v>10</v>
      </c>
      <c r="B12" t="s">
        <v>15</v>
      </c>
      <c r="C12" t="s">
        <v>23</v>
      </c>
      <c r="D12" t="s">
        <v>16</v>
      </c>
      <c r="E12" t="s">
        <v>15</v>
      </c>
      <c r="F12" t="s">
        <v>15</v>
      </c>
      <c r="G12" t="s">
        <v>15</v>
      </c>
      <c r="H12" t="s">
        <v>20</v>
      </c>
      <c r="I12" t="s">
        <v>16</v>
      </c>
      <c r="J12" t="s">
        <v>16</v>
      </c>
      <c r="K12" t="s">
        <v>24</v>
      </c>
      <c r="L12">
        <v>0</v>
      </c>
      <c r="M12" t="s">
        <v>18</v>
      </c>
    </row>
    <row r="13" spans="1:13" x14ac:dyDescent="0.3">
      <c r="A13" s="1" t="s">
        <v>11</v>
      </c>
      <c r="B13" t="s">
        <v>22</v>
      </c>
      <c r="C13" t="s">
        <v>15</v>
      </c>
      <c r="D13" t="s">
        <v>24</v>
      </c>
      <c r="E13" t="s">
        <v>24</v>
      </c>
      <c r="F13" t="s">
        <v>20</v>
      </c>
      <c r="G13" t="s">
        <v>23</v>
      </c>
      <c r="H13" t="s">
        <v>16</v>
      </c>
      <c r="I13" t="s">
        <v>15</v>
      </c>
      <c r="J13" t="s">
        <v>16</v>
      </c>
      <c r="K13" t="s">
        <v>20</v>
      </c>
      <c r="L13" t="s">
        <v>24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(0,1897; 0,2846; 0,3795)</v>
      </c>
      <c r="D16" t="str">
        <f>VLOOKUP(D2,'Thang đánh giá'!$C$2:$D$27,2,FALSE)</f>
        <v>(0,1673; 0,251; 0,3347)</v>
      </c>
      <c r="E16" t="str">
        <f>VLOOKUP(E2,'Thang đánh giá'!$C$2:$D$27,2,FALSE)</f>
        <v>(0,0707; 0,1414; 0,2121)</v>
      </c>
      <c r="F16" t="str">
        <f>VLOOKUP(F2,'Thang đánh giá'!$C$2:$D$27,2,FALSE)</f>
        <v>(0; 0; 0,0707)</v>
      </c>
      <c r="G16" t="str">
        <f>VLOOKUP(G2,'Thang đánh giá'!$C$2:$D$27,2,FALSE)</f>
        <v>(0; 0; 0,0548)</v>
      </c>
      <c r="H16" t="str">
        <f>VLOOKUP(H2,'Thang đánh giá'!$C$2:$D$27,2,FALSE)</f>
        <v>(0,0707; 0,1414; 0,2121)</v>
      </c>
      <c r="I16" t="str">
        <f>VLOOKUP(I2,'Thang đánh giá'!$C$2:$D$27,2,FALSE)</f>
        <v>(0; 0; 0,0316)</v>
      </c>
      <c r="J16" t="str">
        <f>VLOOKUP(J2,'Thang đánh giá'!$C$2:$D$27,2,FALSE)</f>
        <v>(0,1897; 0,2846; 0,3795)</v>
      </c>
      <c r="K16" t="str">
        <f>VLOOKUP(K2,'Thang đánh giá'!$C$2:$D$27,2,FALSE)</f>
        <v>(0; 0; 0,0707)</v>
      </c>
      <c r="L16" t="str">
        <f>VLOOKUP(L2,'Thang đánh giá'!$C$2:$D$27,2,FALSE)</f>
        <v>(0; 0; 0,0707)</v>
      </c>
      <c r="M16" t="str">
        <f>VLOOKUP(M2,'Thang đánh giá'!$C$2:$D$27,2,FALSE)</f>
        <v>(0; 0,0707; 0,1414)</v>
      </c>
    </row>
    <row r="17" spans="1:13" x14ac:dyDescent="0.3">
      <c r="A17" t="s">
        <v>1</v>
      </c>
      <c r="B17" t="str">
        <f>VLOOKUP(B3,'Thang đánh giá'!$C$2:$D$27,2,FALSE)</f>
        <v>(0; 0,0707; 0,1414)</v>
      </c>
      <c r="C17" t="str">
        <f>VLOOKUP(C3,'Thang đánh giá'!$C$2:$D$27,2,FALSE)</f>
        <v>(0; 0; 0)</v>
      </c>
      <c r="D17" t="str">
        <f>VLOOKUP(D3,'Thang đánh giá'!$C$2:$D$27,2,FALSE)</f>
        <v>(0,251; 0,3347; 0,3347)</v>
      </c>
      <c r="E17" t="str">
        <f>VLOOKUP(E3,'Thang đánh giá'!$C$2:$D$27,2,FALSE)</f>
        <v>(0,2846; 0,3795; 0,3795)</v>
      </c>
      <c r="F17" t="str">
        <f>VLOOKUP(F3,'Thang đánh giá'!$C$2:$D$27,2,FALSE)</f>
        <v>(0; 0,0707; 0,1414)</v>
      </c>
      <c r="G17" t="str">
        <f>VLOOKUP(G3,'Thang đánh giá'!$C$2:$D$27,2,FALSE)</f>
        <v>(0; 0; 0,0707)</v>
      </c>
      <c r="H17" t="str">
        <f>VLOOKUP(H3,'Thang đánh giá'!$C$2:$D$27,2,FALSE)</f>
        <v>(0,1673; 0,251; 0,3347)</v>
      </c>
      <c r="I17" t="str">
        <f>VLOOKUP(I3,'Thang đánh giá'!$C$2:$D$27,2,FALSE)</f>
        <v>(0; 0,0707; 0,1414)</v>
      </c>
      <c r="J17" t="str">
        <f>VLOOKUP(J3,'Thang đánh giá'!$C$2:$D$27,2,FALSE)</f>
        <v>(0; 0,0707; 0,1414)</v>
      </c>
      <c r="K17" t="str">
        <f>VLOOKUP(K3,'Thang đánh giá'!$C$2:$D$27,2,FALSE)</f>
        <v>(0,2846; 0,3795; 0,3795)</v>
      </c>
      <c r="L17" t="str">
        <f>VLOOKUP(L3,'Thang đánh giá'!$C$2:$D$27,2,FALSE)</f>
        <v>(0; 0; 0,0707)</v>
      </c>
      <c r="M17" t="str">
        <f>VLOOKUP(M3,'Thang đánh giá'!$C$2:$D$27,2,FALSE)</f>
        <v>(0,2846; 0,3795; 0,3795)</v>
      </c>
    </row>
    <row r="18" spans="1:13" x14ac:dyDescent="0.3">
      <c r="A18" t="s">
        <v>2</v>
      </c>
      <c r="B18" t="str">
        <f>VLOOKUP(B4,'Thang đánh giá'!$C$2:$D$27,2,FALSE)</f>
        <v>(0,0837; 0,1673; 0,251)</v>
      </c>
      <c r="C18" t="str">
        <f>VLOOKUP(C4,'Thang đánh giá'!$C$2:$D$27,2,FALSE)</f>
        <v>(0; 0; 0,0707)</v>
      </c>
      <c r="D18" t="str">
        <f>VLOOKUP(D4,'Thang đánh giá'!$C$2:$D$27,2,FALSE)</f>
        <v>(0; 0; 0)</v>
      </c>
      <c r="E18" t="str">
        <f>VLOOKUP(E4,'Thang đánh giá'!$C$2:$D$27,2,FALSE)</f>
        <v>(0; 0; 0,0707)</v>
      </c>
      <c r="F18" t="str">
        <f>VLOOKUP(F4,'Thang đánh giá'!$C$2:$D$27,2,FALSE)</f>
        <v>(0; 0,0707; 0,1414)</v>
      </c>
      <c r="G18" t="str">
        <f>VLOOKUP(G4,'Thang đánh giá'!$C$2:$D$27,2,FALSE)</f>
        <v>(0,1673; 0,251; 0,3347)</v>
      </c>
      <c r="H18" t="str">
        <f>VLOOKUP(H4,'Thang đánh giá'!$C$2:$D$27,2,FALSE)</f>
        <v>(0,1673; 0,251; 0,3347)</v>
      </c>
      <c r="I18" t="str">
        <f>VLOOKUP(I4,'Thang đánh giá'!$C$2:$D$27,2,FALSE)</f>
        <v>(0; 0,0707; 0,1414)</v>
      </c>
      <c r="J18" t="str">
        <f>VLOOKUP(J4,'Thang đánh giá'!$C$2:$D$27,2,FALSE)</f>
        <v>(0,2846; 0,3795; 0,3795)</v>
      </c>
      <c r="K18" t="str">
        <f>VLOOKUP(K4,'Thang đánh giá'!$C$2:$D$27,2,FALSE)</f>
        <v>(0,251; 0,3347; 0,3347)</v>
      </c>
      <c r="L18" t="str">
        <f>VLOOKUP(L4,'Thang đánh giá'!$C$2:$D$27,2,FALSE)</f>
        <v>(0,1673; 0,251; 0,3347)</v>
      </c>
      <c r="M18" t="str">
        <f>VLOOKUP(M4,'Thang đánh giá'!$C$2:$D$27,2,FALSE)</f>
        <v>(0,1897; 0,2846; 0,3795)</v>
      </c>
    </row>
    <row r="19" spans="1:13" x14ac:dyDescent="0.3">
      <c r="A19" t="s">
        <v>3</v>
      </c>
      <c r="B19" t="str">
        <f>VLOOKUP(B5,'Thang đánh giá'!$C$2:$D$27,2,FALSE)</f>
        <v>(0; 0; 0,0316)</v>
      </c>
      <c r="C19" t="str">
        <f>VLOOKUP(C5,'Thang đánh giá'!$C$2:$D$27,2,FALSE)</f>
        <v>(0; 0,0316; 0,0632)</v>
      </c>
      <c r="D19" t="str">
        <f>VLOOKUP(D5,'Thang đánh giá'!$C$2:$D$27,2,FALSE)</f>
        <v>(0,0707; 0,1414; 0,2121)</v>
      </c>
      <c r="E19" t="str">
        <f>VLOOKUP(E5,'Thang đánh giá'!$C$2:$D$27,2,FALSE)</f>
        <v>(0; 0; 0)</v>
      </c>
      <c r="F19" t="str">
        <f>VLOOKUP(F5,'Thang đánh giá'!$C$2:$D$27,2,FALSE)</f>
        <v>(0; 0,0548; 0,1095)</v>
      </c>
      <c r="G19" t="str">
        <f>VLOOKUP(G5,'Thang đánh giá'!$C$2:$D$27,2,FALSE)</f>
        <v>(0; 0,0316; 0,0632)</v>
      </c>
      <c r="H19" t="str">
        <f>VLOOKUP(H5,'Thang đánh giá'!$C$2:$D$27,2,FALSE)</f>
        <v>(0,1897; 0,2846; 0,3795)</v>
      </c>
      <c r="I19" t="str">
        <f>VLOOKUP(I5,'Thang đánh giá'!$C$2:$D$27,2,FALSE)</f>
        <v>(0; 0,0837; 0,1673)</v>
      </c>
      <c r="J19" t="str">
        <f>VLOOKUP(J5,'Thang đánh giá'!$C$2:$D$27,2,FALSE)</f>
        <v>(0,251; 0,3347; 0,3347)</v>
      </c>
      <c r="K19" t="str">
        <f>VLOOKUP(K5,'Thang đánh giá'!$C$2:$D$27,2,FALSE)</f>
        <v>(0; 0; 0,0548)</v>
      </c>
      <c r="L19" t="str">
        <f>VLOOKUP(L5,'Thang đánh giá'!$C$2:$D$27,2,FALSE)</f>
        <v>(0,1897; 0,2846; 0,3795)</v>
      </c>
      <c r="M19" t="str">
        <f>VLOOKUP(M5,'Thang đánh giá'!$C$2:$D$27,2,FALSE)</f>
        <v>(0; 0,0548; 0,1095)</v>
      </c>
    </row>
    <row r="20" spans="1:13" x14ac:dyDescent="0.3">
      <c r="A20" t="s">
        <v>4</v>
      </c>
      <c r="B20" t="str">
        <f>VLOOKUP(B6,'Thang đánh giá'!$C$2:$D$27,2,FALSE)</f>
        <v>(0; 0,0316; 0,0632)</v>
      </c>
      <c r="C20" t="str">
        <f>VLOOKUP(C6,'Thang đánh giá'!$C$2:$D$27,2,FALSE)</f>
        <v>(0; 0,0707; 0,1414)</v>
      </c>
      <c r="D20" t="str">
        <f>VLOOKUP(D6,'Thang đánh giá'!$C$2:$D$27,2,FALSE)</f>
        <v>(0; 0,0548; 0,1095)</v>
      </c>
      <c r="E20" t="str">
        <f>VLOOKUP(E6,'Thang đánh giá'!$C$2:$D$27,2,FALSE)</f>
        <v>(0; 0,0707; 0,1414)</v>
      </c>
      <c r="F20" t="str">
        <f>VLOOKUP(F6,'Thang đánh giá'!$C$2:$D$27,2,FALSE)</f>
        <v>(0; 0; 0)</v>
      </c>
      <c r="G20" t="str">
        <f>VLOOKUP(G6,'Thang đánh giá'!$C$2:$D$27,2,FALSE)</f>
        <v>(0,0837; 0,1673; 0,251)</v>
      </c>
      <c r="H20" t="str">
        <f>VLOOKUP(H6,'Thang đánh giá'!$C$2:$D$27,2,FALSE)</f>
        <v>(0; 0,0837; 0,1673)</v>
      </c>
      <c r="I20" t="str">
        <f>VLOOKUP(I6,'Thang đánh giá'!$C$2:$D$27,2,FALSE)</f>
        <v>(0; 0; 0,0707)</v>
      </c>
      <c r="J20" t="str">
        <f>VLOOKUP(J6,'Thang đánh giá'!$C$2:$D$27,2,FALSE)</f>
        <v>(0,251; 0,3347; 0,3347)</v>
      </c>
      <c r="K20" t="str">
        <f>VLOOKUP(K6,'Thang đánh giá'!$C$2:$D$27,2,FALSE)</f>
        <v>(0,1897; 0,2846; 0,3795)</v>
      </c>
      <c r="L20" t="str">
        <f>VLOOKUP(L6,'Thang đánh giá'!$C$2:$D$27,2,FALSE)</f>
        <v>(0; 0; 0,0548)</v>
      </c>
      <c r="M20" t="str">
        <f>VLOOKUP(M6,'Thang đánh giá'!$C$2:$D$27,2,FALSE)</f>
        <v>(0; 0,0707; 0,1414)</v>
      </c>
    </row>
    <row r="21" spans="1:13" x14ac:dyDescent="0.3">
      <c r="A21" t="s">
        <v>5</v>
      </c>
      <c r="B21" t="str">
        <f>VLOOKUP(B7,'Thang đánh giá'!$C$2:$D$27,2,FALSE)</f>
        <v>(0; 0,0707; 0,1414)</v>
      </c>
      <c r="C21" t="str">
        <f>VLOOKUP(C7,'Thang đánh giá'!$C$2:$D$27,2,FALSE)</f>
        <v>(0; 0; 0,0707)</v>
      </c>
      <c r="D21" t="str">
        <f>VLOOKUP(D7,'Thang đánh giá'!$C$2:$D$27,2,FALSE)</f>
        <v>(0; 0; 0,0837)</v>
      </c>
      <c r="E21" t="str">
        <f>VLOOKUP(E7,'Thang đánh giá'!$C$2:$D$27,2,FALSE)</f>
        <v>(0; 0,0707; 0,1414)</v>
      </c>
      <c r="F21" t="str">
        <f>VLOOKUP(F7,'Thang đánh giá'!$C$2:$D$27,2,FALSE)</f>
        <v>(0; 0; 0,0548)</v>
      </c>
      <c r="G21" t="str">
        <f>VLOOKUP(G7,'Thang đánh giá'!$C$2:$D$27,2,FALSE)</f>
        <v>(0; 0; 0)</v>
      </c>
      <c r="H21" t="str">
        <f>VLOOKUP(H7,'Thang đánh giá'!$C$2:$D$27,2,FALSE)</f>
        <v>(0; 0; 0,0548)</v>
      </c>
      <c r="I21" t="str">
        <f>VLOOKUP(I7,'Thang đánh giá'!$C$2:$D$27,2,FALSE)</f>
        <v>(0; 0,0548; 0,1095)</v>
      </c>
      <c r="J21" t="str">
        <f>VLOOKUP(J7,'Thang đánh giá'!$C$2:$D$27,2,FALSE)</f>
        <v>(0,2846; 0,3795; 0,3795)</v>
      </c>
      <c r="K21" t="str">
        <f>VLOOKUP(K7,'Thang đánh giá'!$C$2:$D$27,2,FALSE)</f>
        <v>(0; 0; 0,0316)</v>
      </c>
      <c r="L21" t="str">
        <f>VLOOKUP(L7,'Thang đánh giá'!$C$2:$D$27,2,FALSE)</f>
        <v>(0; 0; 0,0548)</v>
      </c>
      <c r="M21" t="str">
        <f>VLOOKUP(M7,'Thang đánh giá'!$C$2:$D$27,2,FALSE)</f>
        <v>(0; 0,0707; 0,1414)</v>
      </c>
    </row>
    <row r="22" spans="1:13" x14ac:dyDescent="0.3">
      <c r="A22" t="s">
        <v>6</v>
      </c>
      <c r="B22" t="str">
        <f>VLOOKUP(B8,'Thang đánh giá'!$C$2:$D$27,2,FALSE)</f>
        <v>(0; 0; 0,0837)</v>
      </c>
      <c r="C22" t="str">
        <f>VLOOKUP(C8,'Thang đánh giá'!$C$2:$D$27,2,FALSE)</f>
        <v>(0; 0,0548; 0,1095)</v>
      </c>
      <c r="D22" t="str">
        <f>VLOOKUP(D8,'Thang đánh giá'!$C$2:$D$27,2,FALSE)</f>
        <v>(0; 0; 0,0707)</v>
      </c>
      <c r="E22" t="str">
        <f>VLOOKUP(E8,'Thang đánh giá'!$C$2:$D$27,2,FALSE)</f>
        <v>(0; 0,0707; 0,1414)</v>
      </c>
      <c r="F22" t="str">
        <f>VLOOKUP(F8,'Thang đánh giá'!$C$2:$D$27,2,FALSE)</f>
        <v>(0; 0; 0,0548)</v>
      </c>
      <c r="G22" t="str">
        <f>VLOOKUP(G8,'Thang đánh giá'!$C$2:$D$27,2,FALSE)</f>
        <v>(0; 0,0548; 0,1095)</v>
      </c>
      <c r="H22" t="str">
        <f>VLOOKUP(H8,'Thang đánh giá'!$C$2:$D$27,2,FALSE)</f>
        <v>(0; 0; 0)</v>
      </c>
      <c r="I22" t="str">
        <f>VLOOKUP(I8,'Thang đánh giá'!$C$2:$D$27,2,FALSE)</f>
        <v>(0; 0; 0,0707)</v>
      </c>
      <c r="J22" t="str">
        <f>VLOOKUP(J8,'Thang đánh giá'!$C$2:$D$27,2,FALSE)</f>
        <v>(0; 0; 0,0548)</v>
      </c>
      <c r="K22" t="str">
        <f>VLOOKUP(K8,'Thang đánh giá'!$C$2:$D$27,2,FALSE)</f>
        <v>(0; 0,0316; 0,0632)</v>
      </c>
      <c r="L22" t="str">
        <f>VLOOKUP(L8,'Thang đánh giá'!$C$2:$D$27,2,FALSE)</f>
        <v>(0; 0,0548; 0,1095)</v>
      </c>
      <c r="M22" t="str">
        <f>VLOOKUP(M8,'Thang đánh giá'!$C$2:$D$27,2,FALSE)</f>
        <v>(0; 0; 0,0548)</v>
      </c>
    </row>
    <row r="23" spans="1:13" x14ac:dyDescent="0.3">
      <c r="A23" t="s">
        <v>7</v>
      </c>
      <c r="B23" t="str">
        <f>VLOOKUP(B9,'Thang đánh giá'!$C$2:$D$27,2,FALSE)</f>
        <v>(0; 0; 0,0316)</v>
      </c>
      <c r="C23" t="str">
        <f>VLOOKUP(C9,'Thang đánh giá'!$C$2:$D$27,2,FALSE)</f>
        <v>(0; 0; 0,0707)</v>
      </c>
      <c r="D23" t="str">
        <f>VLOOKUP(D9,'Thang đánh giá'!$C$2:$D$27,2,FALSE)</f>
        <v>(0; 0; 0,0548)</v>
      </c>
      <c r="E23" t="str">
        <f>VLOOKUP(E9,'Thang đánh giá'!$C$2:$D$27,2,FALSE)</f>
        <v>(0; 0,0707; 0,1414)</v>
      </c>
      <c r="F23" t="str">
        <f>VLOOKUP(F9,'Thang đánh giá'!$C$2:$D$27,2,FALSE)</f>
        <v>(0; 0,0316; 0,0632)</v>
      </c>
      <c r="G23" t="str">
        <f>VLOOKUP(G9,'Thang đánh giá'!$C$2:$D$27,2,FALSE)</f>
        <v>(0; 0,0707; 0,1414)</v>
      </c>
      <c r="H23" t="str">
        <f>VLOOKUP(H9,'Thang đánh giá'!$C$2:$D$27,2,FALSE)</f>
        <v>(0; 0; 0,0707)</v>
      </c>
      <c r="I23" t="str">
        <f>VLOOKUP(I9,'Thang đánh giá'!$C$2:$D$27,2,FALSE)</f>
        <v>(0; 0; 0)</v>
      </c>
      <c r="J23" t="str">
        <f>VLOOKUP(J9,'Thang đánh giá'!$C$2:$D$27,2,FALSE)</f>
        <v>(0,0707; 0,1414; 0,2121)</v>
      </c>
      <c r="K23" t="str">
        <f>VLOOKUP(K9,'Thang đánh giá'!$C$2:$D$27,2,FALSE)</f>
        <v>(0,2846; 0,3795; 0,3795)</v>
      </c>
      <c r="L23" t="str">
        <f>VLOOKUP(L9,'Thang đánh giá'!$C$2:$D$27,2,FALSE)</f>
        <v>(0,1897; 0,2846; 0,3795)</v>
      </c>
      <c r="M23" t="str">
        <f>VLOOKUP(M9,'Thang đánh giá'!$C$2:$D$27,2,FALSE)</f>
        <v>(0,0837; 0,1673; 0,251)</v>
      </c>
    </row>
    <row r="24" spans="1:13" x14ac:dyDescent="0.3">
      <c r="A24" t="s">
        <v>8</v>
      </c>
      <c r="B24" t="str">
        <f>VLOOKUP(B10,'Thang đánh giá'!$C$2:$D$27,2,FALSE)</f>
        <v>(0,0837; 0,1673; 0,251)</v>
      </c>
      <c r="C24" t="str">
        <f>VLOOKUP(C10,'Thang đánh giá'!$C$2:$D$27,2,FALSE)</f>
        <v>(0,0707; 0,1414; 0,2121)</v>
      </c>
      <c r="D24" t="str">
        <f>VLOOKUP(D10,'Thang đánh giá'!$C$2:$D$27,2,FALSE)</f>
        <v>(0,0707; 0,1414; 0,2121)</v>
      </c>
      <c r="E24" t="str">
        <f>VLOOKUP(E10,'Thang đánh giá'!$C$2:$D$27,2,FALSE)</f>
        <v>(0; 0; 0,0707)</v>
      </c>
      <c r="F24" t="str">
        <f>VLOOKUP(F10,'Thang đánh giá'!$C$2:$D$27,2,FALSE)</f>
        <v>(0; 0; 0,0548)</v>
      </c>
      <c r="G24" t="str">
        <f>VLOOKUP(G10,'Thang đánh giá'!$C$2:$D$27,2,FALSE)</f>
        <v>(0; 0,0707; 0,1414)</v>
      </c>
      <c r="H24" t="str">
        <f>VLOOKUP(H10,'Thang đánh giá'!$C$2:$D$27,2,FALSE)</f>
        <v>(0,1897; 0,2846; 0,3795)</v>
      </c>
      <c r="I24" t="str">
        <f>VLOOKUP(I10,'Thang đánh giá'!$C$2:$D$27,2,FALSE)</f>
        <v>(0; 0,0707; 0,1414)</v>
      </c>
      <c r="J24" t="str">
        <f>VLOOKUP(J10,'Thang đánh giá'!$C$2:$D$27,2,FALSE)</f>
        <v>(0; 0; 0)</v>
      </c>
      <c r="K24" t="str">
        <f>VLOOKUP(K10,'Thang đánh giá'!$C$2:$D$27,2,FALSE)</f>
        <v>(0,251; 0,3347; 0,3347)</v>
      </c>
      <c r="L24" t="str">
        <f>VLOOKUP(L10,'Thang đánh giá'!$C$2:$D$27,2,FALSE)</f>
        <v>(0,2846; 0,3795; 0,3795)</v>
      </c>
      <c r="M24" t="str">
        <f>VLOOKUP(M10,'Thang đánh giá'!$C$2:$D$27,2,FALSE)</f>
        <v>(0,1897; 0,2846; 0,3795)</v>
      </c>
    </row>
    <row r="25" spans="1:13" x14ac:dyDescent="0.3">
      <c r="A25" t="s">
        <v>9</v>
      </c>
      <c r="B25" t="str">
        <f>VLOOKUP(B11,'Thang đánh giá'!$C$2:$D$27,2,FALSE)</f>
        <v>(0; 0; 0,0707)</v>
      </c>
      <c r="C25" t="str">
        <f>VLOOKUP(C11,'Thang đánh giá'!$C$2:$D$27,2,FALSE)</f>
        <v>(0; 0; 0,0316)</v>
      </c>
      <c r="D25" t="str">
        <f>VLOOKUP(D11,'Thang đánh giá'!$C$2:$D$27,2,FALSE)</f>
        <v>(0; 0; 0,0316)</v>
      </c>
      <c r="E25" t="str">
        <f>VLOOKUP(E11,'Thang đánh giá'!$C$2:$D$27,2,FALSE)</f>
        <v>(0; 0,0707; 0,1414)</v>
      </c>
      <c r="F25" t="str">
        <f>VLOOKUP(F11,'Thang đánh giá'!$C$2:$D$27,2,FALSE)</f>
        <v>(0; 0; 0,0707)</v>
      </c>
      <c r="G25" t="str">
        <f>VLOOKUP(G11,'Thang đánh giá'!$C$2:$D$27,2,FALSE)</f>
        <v>(0; 0,0548; 0,1095)</v>
      </c>
      <c r="H25" t="str">
        <f>VLOOKUP(H11,'Thang đánh giá'!$C$2:$D$27,2,FALSE)</f>
        <v>(0; 0; 0,0548)</v>
      </c>
      <c r="I25" t="str">
        <f>VLOOKUP(I11,'Thang đánh giá'!$C$2:$D$27,2,FALSE)</f>
        <v>(0; 0,0707; 0,1414)</v>
      </c>
      <c r="J25" t="str">
        <f>VLOOKUP(J11,'Thang đánh giá'!$C$2:$D$27,2,FALSE)</f>
        <v>(0; 0; 0,0707)</v>
      </c>
      <c r="K25" t="str">
        <f>VLOOKUP(K11,'Thang đánh giá'!$C$2:$D$27,2,FALSE)</f>
        <v>(0; 0; 0)</v>
      </c>
      <c r="L25" t="str">
        <f>VLOOKUP(L11,'Thang đánh giá'!$C$2:$D$27,2,FALSE)</f>
        <v>(0; 0; 0,0707)</v>
      </c>
      <c r="M25" t="str">
        <f>VLOOKUP(M11,'Thang đánh giá'!$C$2:$D$27,2,FALSE)</f>
        <v>(0; 0; 0,0707)</v>
      </c>
    </row>
    <row r="26" spans="1:13" x14ac:dyDescent="0.3">
      <c r="A26" t="s">
        <v>10</v>
      </c>
      <c r="B26" t="str">
        <f>VLOOKUP(B12,'Thang đánh giá'!$C$2:$D$27,2,FALSE)</f>
        <v>(0; 0,0707; 0,1414)</v>
      </c>
      <c r="C26" t="str">
        <f>VLOOKUP(C12,'Thang đánh giá'!$C$2:$D$27,2,FALSE)</f>
        <v>(0; 0; 0,0316)</v>
      </c>
      <c r="D26" t="str">
        <f>VLOOKUP(D12,'Thang đánh giá'!$C$2:$D$27,2,FALSE)</f>
        <v>(0; 0; 0,0707)</v>
      </c>
      <c r="E26" t="str">
        <f>VLOOKUP(E12,'Thang đánh giá'!$C$2:$D$27,2,FALSE)</f>
        <v>(0; 0,0707; 0,1414)</v>
      </c>
      <c r="F26" t="str">
        <f>VLOOKUP(F12,'Thang đánh giá'!$C$2:$D$27,2,FALSE)</f>
        <v>(0; 0,0707; 0,1414)</v>
      </c>
      <c r="G26" t="str">
        <f>VLOOKUP(G12,'Thang đánh giá'!$C$2:$D$27,2,FALSE)</f>
        <v>(0; 0,0707; 0,1414)</v>
      </c>
      <c r="H26" t="str">
        <f>VLOOKUP(H12,'Thang đánh giá'!$C$2:$D$27,2,FALSE)</f>
        <v>(0; 0,0548; 0,1095)</v>
      </c>
      <c r="I26" t="str">
        <f>VLOOKUP(I12,'Thang đánh giá'!$C$2:$D$27,2,FALSE)</f>
        <v>(0; 0; 0,0707)</v>
      </c>
      <c r="J26" t="str">
        <f>VLOOKUP(J12,'Thang đánh giá'!$C$2:$D$27,2,FALSE)</f>
        <v>(0; 0; 0,0707)</v>
      </c>
      <c r="K26" t="str">
        <f>VLOOKUP(K12,'Thang đánh giá'!$C$2:$D$27,2,FALSE)</f>
        <v>(0; 0; 0,0548)</v>
      </c>
      <c r="L26" t="str">
        <f>VLOOKUP(L12,'Thang đánh giá'!$C$2:$D$27,2,FALSE)</f>
        <v>(0; 0; 0)</v>
      </c>
      <c r="M26" t="str">
        <f>VLOOKUP(M12,'Thang đánh giá'!$C$2:$D$27,2,FALSE)</f>
        <v>(0,2846; 0,3795; 0,3795)</v>
      </c>
    </row>
    <row r="27" spans="1:13" x14ac:dyDescent="0.3">
      <c r="A27" t="s">
        <v>11</v>
      </c>
      <c r="B27" t="str">
        <f>VLOOKUP(B13,'Thang đánh giá'!$C$2:$D$27,2,FALSE)</f>
        <v>(0,0707; 0,1414; 0,2121)</v>
      </c>
      <c r="C27" t="str">
        <f>VLOOKUP(C13,'Thang đánh giá'!$C$2:$D$27,2,FALSE)</f>
        <v>(0; 0,0707; 0,1414)</v>
      </c>
      <c r="D27" t="str">
        <f>VLOOKUP(D13,'Thang đánh giá'!$C$2:$D$27,2,FALSE)</f>
        <v>(0; 0; 0,0548)</v>
      </c>
      <c r="E27" t="str">
        <f>VLOOKUP(E13,'Thang đánh giá'!$C$2:$D$27,2,FALSE)</f>
        <v>(0; 0; 0,0548)</v>
      </c>
      <c r="F27" t="str">
        <f>VLOOKUP(F13,'Thang đánh giá'!$C$2:$D$27,2,FALSE)</f>
        <v>(0; 0,0548; 0,1095)</v>
      </c>
      <c r="G27" t="str">
        <f>VLOOKUP(G13,'Thang đánh giá'!$C$2:$D$27,2,FALSE)</f>
        <v>(0; 0; 0,0316)</v>
      </c>
      <c r="H27" t="str">
        <f>VLOOKUP(H13,'Thang đánh giá'!$C$2:$D$27,2,FALSE)</f>
        <v>(0; 0; 0,0707)</v>
      </c>
      <c r="I27" t="str">
        <f>VLOOKUP(I13,'Thang đánh giá'!$C$2:$D$27,2,FALSE)</f>
        <v>(0; 0,0707; 0,1414)</v>
      </c>
      <c r="J27" t="str">
        <f>VLOOKUP(J13,'Thang đánh giá'!$C$2:$D$27,2,FALSE)</f>
        <v>(0; 0; 0,0707)</v>
      </c>
      <c r="K27" t="str">
        <f>VLOOKUP(K13,'Thang đánh giá'!$C$2:$D$27,2,FALSE)</f>
        <v>(0; 0,0548; 0,1095)</v>
      </c>
      <c r="L27" t="str">
        <f>VLOOKUP(L13,'Thang đánh giá'!$C$2:$D$27,2,FALSE)</f>
        <v>(0; 0; 0,0548)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0.18970000000000001</v>
      </c>
      <c r="D30">
        <f t="shared" si="0"/>
        <v>0.1673</v>
      </c>
      <c r="E30">
        <f t="shared" si="0"/>
        <v>7.0699999999999999E-2</v>
      </c>
      <c r="F30">
        <f t="shared" si="0"/>
        <v>0</v>
      </c>
      <c r="G30">
        <f t="shared" si="0"/>
        <v>0</v>
      </c>
      <c r="H30">
        <f t="shared" si="0"/>
        <v>7.0699999999999999E-2</v>
      </c>
      <c r="I30">
        <f t="shared" si="0"/>
        <v>0</v>
      </c>
      <c r="J30">
        <f t="shared" si="0"/>
        <v>0.18970000000000001</v>
      </c>
      <c r="K30">
        <f t="shared" si="0"/>
        <v>0</v>
      </c>
      <c r="L30">
        <f t="shared" si="0"/>
        <v>0</v>
      </c>
      <c r="M30">
        <f t="shared" si="0"/>
        <v>0</v>
      </c>
    </row>
    <row r="31" spans="1:13" x14ac:dyDescent="0.3">
      <c r="A31" t="s">
        <v>1</v>
      </c>
      <c r="B31">
        <f t="shared" ref="B31:M41" si="1">_xlfn.NUMBERVALUE(MID(B17,2,FIND(";",B17,1)-2))</f>
        <v>0</v>
      </c>
      <c r="C31">
        <f t="shared" si="1"/>
        <v>0</v>
      </c>
      <c r="D31">
        <f t="shared" si="1"/>
        <v>0.251</v>
      </c>
      <c r="E31">
        <f t="shared" si="1"/>
        <v>0.28460000000000002</v>
      </c>
      <c r="F31">
        <f t="shared" si="1"/>
        <v>0</v>
      </c>
      <c r="G31">
        <f t="shared" si="1"/>
        <v>0</v>
      </c>
      <c r="H31">
        <f t="shared" si="1"/>
        <v>0.1673</v>
      </c>
      <c r="I31">
        <f t="shared" si="1"/>
        <v>0</v>
      </c>
      <c r="J31">
        <f t="shared" si="1"/>
        <v>0</v>
      </c>
      <c r="K31">
        <f t="shared" si="1"/>
        <v>0.28460000000000002</v>
      </c>
      <c r="L31">
        <f t="shared" si="1"/>
        <v>0</v>
      </c>
      <c r="M31">
        <f t="shared" si="1"/>
        <v>0.28460000000000002</v>
      </c>
    </row>
    <row r="32" spans="1:13" x14ac:dyDescent="0.3">
      <c r="A32" t="s">
        <v>2</v>
      </c>
      <c r="B32">
        <f t="shared" si="1"/>
        <v>8.3699999999999997E-2</v>
      </c>
      <c r="C32">
        <f t="shared" si="1"/>
        <v>0</v>
      </c>
      <c r="D32">
        <f t="shared" si="1"/>
        <v>0</v>
      </c>
      <c r="E32">
        <f t="shared" si="1"/>
        <v>0</v>
      </c>
      <c r="F32">
        <f t="shared" si="1"/>
        <v>0</v>
      </c>
      <c r="G32">
        <f t="shared" si="1"/>
        <v>0.1673</v>
      </c>
      <c r="H32">
        <f t="shared" si="1"/>
        <v>0.1673</v>
      </c>
      <c r="I32">
        <f t="shared" si="1"/>
        <v>0</v>
      </c>
      <c r="J32">
        <f t="shared" si="1"/>
        <v>0.28460000000000002</v>
      </c>
      <c r="K32">
        <f t="shared" si="1"/>
        <v>0.251</v>
      </c>
      <c r="L32">
        <f t="shared" si="1"/>
        <v>0.1673</v>
      </c>
      <c r="M32">
        <f t="shared" si="1"/>
        <v>0.18970000000000001</v>
      </c>
    </row>
    <row r="33" spans="1:13" x14ac:dyDescent="0.3">
      <c r="A33" t="s">
        <v>3</v>
      </c>
      <c r="B33">
        <f t="shared" si="1"/>
        <v>0</v>
      </c>
      <c r="C33">
        <f t="shared" si="1"/>
        <v>0</v>
      </c>
      <c r="D33">
        <f t="shared" si="1"/>
        <v>7.0699999999999999E-2</v>
      </c>
      <c r="E33">
        <f t="shared" si="1"/>
        <v>0</v>
      </c>
      <c r="F33">
        <f t="shared" si="1"/>
        <v>0</v>
      </c>
      <c r="G33">
        <f t="shared" si="1"/>
        <v>0</v>
      </c>
      <c r="H33">
        <f t="shared" si="1"/>
        <v>0.18970000000000001</v>
      </c>
      <c r="I33">
        <f t="shared" si="1"/>
        <v>0</v>
      </c>
      <c r="J33">
        <f t="shared" si="1"/>
        <v>0.251</v>
      </c>
      <c r="K33">
        <f t="shared" si="1"/>
        <v>0</v>
      </c>
      <c r="L33">
        <f t="shared" si="1"/>
        <v>0.18970000000000001</v>
      </c>
      <c r="M33">
        <f t="shared" si="1"/>
        <v>0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0</v>
      </c>
      <c r="D34">
        <f t="shared" si="2"/>
        <v>0</v>
      </c>
      <c r="E34">
        <f t="shared" si="2"/>
        <v>0</v>
      </c>
      <c r="F34">
        <f t="shared" si="2"/>
        <v>0</v>
      </c>
      <c r="G34">
        <f t="shared" si="2"/>
        <v>8.3699999999999997E-2</v>
      </c>
      <c r="H34">
        <f t="shared" si="2"/>
        <v>0</v>
      </c>
      <c r="I34">
        <f t="shared" si="2"/>
        <v>0</v>
      </c>
      <c r="J34">
        <f t="shared" si="2"/>
        <v>0.251</v>
      </c>
      <c r="K34">
        <f t="shared" si="2"/>
        <v>0.18970000000000001</v>
      </c>
      <c r="L34">
        <f t="shared" si="2"/>
        <v>0</v>
      </c>
      <c r="M34">
        <f t="shared" si="2"/>
        <v>0</v>
      </c>
    </row>
    <row r="35" spans="1:13" x14ac:dyDescent="0.3">
      <c r="A35" t="s">
        <v>5</v>
      </c>
      <c r="B35">
        <f t="shared" si="1"/>
        <v>0</v>
      </c>
      <c r="C35">
        <f t="shared" si="1"/>
        <v>0</v>
      </c>
      <c r="D35">
        <f t="shared" si="1"/>
        <v>0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0</v>
      </c>
      <c r="J35">
        <f t="shared" si="1"/>
        <v>0.28460000000000002</v>
      </c>
      <c r="K35">
        <f t="shared" si="1"/>
        <v>0</v>
      </c>
      <c r="L35">
        <f t="shared" si="1"/>
        <v>0</v>
      </c>
      <c r="M35">
        <f t="shared" si="1"/>
        <v>0</v>
      </c>
    </row>
    <row r="36" spans="1:13" x14ac:dyDescent="0.3">
      <c r="A36" t="s">
        <v>6</v>
      </c>
      <c r="B36">
        <f t="shared" si="1"/>
        <v>0</v>
      </c>
      <c r="C36">
        <f t="shared" si="1"/>
        <v>0</v>
      </c>
      <c r="D36">
        <f t="shared" si="1"/>
        <v>0</v>
      </c>
      <c r="E36">
        <f t="shared" si="1"/>
        <v>0</v>
      </c>
      <c r="F36">
        <f t="shared" si="1"/>
        <v>0</v>
      </c>
      <c r="G36">
        <f t="shared" si="1"/>
        <v>0</v>
      </c>
      <c r="H36">
        <f t="shared" si="1"/>
        <v>0</v>
      </c>
      <c r="I36">
        <f t="shared" si="1"/>
        <v>0</v>
      </c>
      <c r="J36">
        <f t="shared" si="1"/>
        <v>0</v>
      </c>
      <c r="K36">
        <f t="shared" si="1"/>
        <v>0</v>
      </c>
      <c r="L36">
        <f t="shared" si="1"/>
        <v>0</v>
      </c>
      <c r="M36">
        <f t="shared" si="1"/>
        <v>0</v>
      </c>
    </row>
    <row r="37" spans="1:13" x14ac:dyDescent="0.3">
      <c r="A37" t="s">
        <v>7</v>
      </c>
      <c r="B37">
        <f t="shared" si="1"/>
        <v>0</v>
      </c>
      <c r="C37">
        <f t="shared" si="1"/>
        <v>0</v>
      </c>
      <c r="D37">
        <f t="shared" si="1"/>
        <v>0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7.0699999999999999E-2</v>
      </c>
      <c r="K37">
        <f t="shared" si="1"/>
        <v>0.28460000000000002</v>
      </c>
      <c r="L37">
        <f t="shared" si="1"/>
        <v>0.18970000000000001</v>
      </c>
      <c r="M37">
        <f t="shared" si="1"/>
        <v>8.3699999999999997E-2</v>
      </c>
    </row>
    <row r="38" spans="1:13" x14ac:dyDescent="0.3">
      <c r="A38" t="s">
        <v>8</v>
      </c>
      <c r="B38">
        <f t="shared" si="1"/>
        <v>8.3699999999999997E-2</v>
      </c>
      <c r="C38">
        <f t="shared" si="1"/>
        <v>7.0699999999999999E-2</v>
      </c>
      <c r="D38">
        <f t="shared" si="1"/>
        <v>7.0699999999999999E-2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0.18970000000000001</v>
      </c>
      <c r="I38">
        <f t="shared" si="1"/>
        <v>0</v>
      </c>
      <c r="J38">
        <f t="shared" si="1"/>
        <v>0</v>
      </c>
      <c r="K38">
        <f t="shared" si="1"/>
        <v>0.251</v>
      </c>
      <c r="L38">
        <f t="shared" si="1"/>
        <v>0.28460000000000002</v>
      </c>
      <c r="M38">
        <f t="shared" si="1"/>
        <v>0.18970000000000001</v>
      </c>
    </row>
    <row r="39" spans="1:13" x14ac:dyDescent="0.3">
      <c r="A39" t="s">
        <v>9</v>
      </c>
      <c r="B39">
        <f t="shared" si="1"/>
        <v>0</v>
      </c>
      <c r="C39">
        <f t="shared" si="1"/>
        <v>0</v>
      </c>
      <c r="D39">
        <f t="shared" si="1"/>
        <v>0</v>
      </c>
      <c r="E39">
        <f t="shared" si="1"/>
        <v>0</v>
      </c>
      <c r="F39">
        <f t="shared" si="1"/>
        <v>0</v>
      </c>
      <c r="G39">
        <f t="shared" si="1"/>
        <v>0</v>
      </c>
      <c r="H39">
        <f t="shared" si="1"/>
        <v>0</v>
      </c>
      <c r="I39">
        <f t="shared" si="1"/>
        <v>0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0</v>
      </c>
    </row>
    <row r="40" spans="1:13" x14ac:dyDescent="0.3">
      <c r="A40" t="s">
        <v>10</v>
      </c>
      <c r="B40">
        <f t="shared" si="1"/>
        <v>0</v>
      </c>
      <c r="C40">
        <f t="shared" si="1"/>
        <v>0</v>
      </c>
      <c r="D40">
        <f t="shared" si="1"/>
        <v>0</v>
      </c>
      <c r="E40">
        <f t="shared" si="1"/>
        <v>0</v>
      </c>
      <c r="F40">
        <f t="shared" si="1"/>
        <v>0</v>
      </c>
      <c r="G40">
        <f t="shared" si="1"/>
        <v>0</v>
      </c>
      <c r="H40">
        <f t="shared" si="1"/>
        <v>0</v>
      </c>
      <c r="I40">
        <f t="shared" si="1"/>
        <v>0</v>
      </c>
      <c r="J40">
        <f t="shared" si="1"/>
        <v>0</v>
      </c>
      <c r="K40">
        <f t="shared" si="1"/>
        <v>0</v>
      </c>
      <c r="L40">
        <f t="shared" si="1"/>
        <v>0</v>
      </c>
      <c r="M40">
        <f t="shared" si="1"/>
        <v>0.28460000000000002</v>
      </c>
    </row>
    <row r="41" spans="1:13" x14ac:dyDescent="0.3">
      <c r="A41" t="s">
        <v>11</v>
      </c>
      <c r="B41">
        <f t="shared" si="1"/>
        <v>7.0699999999999999E-2</v>
      </c>
      <c r="C41">
        <f t="shared" si="1"/>
        <v>0</v>
      </c>
      <c r="D41">
        <f t="shared" si="1"/>
        <v>0</v>
      </c>
      <c r="E41">
        <f t="shared" si="1"/>
        <v>0</v>
      </c>
      <c r="F41">
        <f t="shared" si="1"/>
        <v>0</v>
      </c>
      <c r="G41">
        <f t="shared" si="1"/>
        <v>0</v>
      </c>
      <c r="H41">
        <f t="shared" si="1"/>
        <v>0</v>
      </c>
      <c r="I41">
        <f t="shared" si="1"/>
        <v>0</v>
      </c>
      <c r="J41">
        <f t="shared" si="1"/>
        <v>0</v>
      </c>
      <c r="K41">
        <f t="shared" si="1"/>
        <v>0</v>
      </c>
      <c r="L41">
        <f t="shared" si="1"/>
        <v>0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0.28460000000000002</v>
      </c>
      <c r="D44">
        <f t="shared" si="3"/>
        <v>0.251</v>
      </c>
      <c r="E44">
        <f t="shared" si="3"/>
        <v>0.1414</v>
      </c>
      <c r="F44">
        <f t="shared" si="3"/>
        <v>0</v>
      </c>
      <c r="G44">
        <f t="shared" si="3"/>
        <v>0</v>
      </c>
      <c r="H44">
        <f t="shared" si="3"/>
        <v>0.1414</v>
      </c>
      <c r="I44">
        <f t="shared" si="3"/>
        <v>0</v>
      </c>
      <c r="J44">
        <f t="shared" si="3"/>
        <v>0.28460000000000002</v>
      </c>
      <c r="K44">
        <f t="shared" si="3"/>
        <v>0</v>
      </c>
      <c r="L44">
        <f t="shared" si="3"/>
        <v>0</v>
      </c>
      <c r="M44">
        <f t="shared" si="3"/>
        <v>7.0699999999999999E-2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7.0699999999999999E-2</v>
      </c>
      <c r="C45">
        <f t="shared" si="4"/>
        <v>0</v>
      </c>
      <c r="D45">
        <f t="shared" si="4"/>
        <v>0.3347</v>
      </c>
      <c r="E45">
        <f t="shared" si="4"/>
        <v>0.3795</v>
      </c>
      <c r="F45">
        <f t="shared" si="4"/>
        <v>7.0699999999999999E-2</v>
      </c>
      <c r="G45">
        <f t="shared" si="4"/>
        <v>0</v>
      </c>
      <c r="H45">
        <f t="shared" si="4"/>
        <v>0.251</v>
      </c>
      <c r="I45">
        <f t="shared" si="4"/>
        <v>7.0699999999999999E-2</v>
      </c>
      <c r="J45">
        <f t="shared" si="4"/>
        <v>7.0699999999999999E-2</v>
      </c>
      <c r="K45">
        <f t="shared" si="4"/>
        <v>0.3795</v>
      </c>
      <c r="L45">
        <f t="shared" si="4"/>
        <v>0</v>
      </c>
      <c r="M45">
        <f t="shared" si="4"/>
        <v>0.3795</v>
      </c>
    </row>
    <row r="46" spans="1:13" x14ac:dyDescent="0.3">
      <c r="A46" t="s">
        <v>2</v>
      </c>
      <c r="B46">
        <f t="shared" si="4"/>
        <v>0.1673</v>
      </c>
      <c r="C46">
        <f t="shared" si="4"/>
        <v>0</v>
      </c>
      <c r="D46">
        <f t="shared" si="4"/>
        <v>0</v>
      </c>
      <c r="E46">
        <f t="shared" si="4"/>
        <v>0</v>
      </c>
      <c r="F46">
        <f t="shared" si="4"/>
        <v>7.0699999999999999E-2</v>
      </c>
      <c r="G46">
        <f t="shared" si="4"/>
        <v>0.251</v>
      </c>
      <c r="H46">
        <f t="shared" si="4"/>
        <v>0.251</v>
      </c>
      <c r="I46">
        <f t="shared" si="4"/>
        <v>7.0699999999999999E-2</v>
      </c>
      <c r="J46">
        <f t="shared" si="4"/>
        <v>0.3795</v>
      </c>
      <c r="K46">
        <f t="shared" si="4"/>
        <v>0.3347</v>
      </c>
      <c r="L46">
        <f t="shared" si="4"/>
        <v>0.251</v>
      </c>
      <c r="M46">
        <f t="shared" si="4"/>
        <v>0.28460000000000002</v>
      </c>
    </row>
    <row r="47" spans="1:13" x14ac:dyDescent="0.3">
      <c r="A47" t="s">
        <v>3</v>
      </c>
      <c r="B47">
        <f t="shared" si="4"/>
        <v>0</v>
      </c>
      <c r="C47">
        <f t="shared" si="4"/>
        <v>3.1600000000000003E-2</v>
      </c>
      <c r="D47">
        <f t="shared" si="4"/>
        <v>0.1414</v>
      </c>
      <c r="E47">
        <f t="shared" si="4"/>
        <v>0</v>
      </c>
      <c r="F47">
        <f t="shared" si="4"/>
        <v>5.4800000000000001E-2</v>
      </c>
      <c r="G47">
        <f t="shared" si="4"/>
        <v>3.1600000000000003E-2</v>
      </c>
      <c r="H47">
        <f t="shared" si="4"/>
        <v>0.28460000000000002</v>
      </c>
      <c r="I47">
        <f t="shared" si="4"/>
        <v>8.3699999999999997E-2</v>
      </c>
      <c r="J47">
        <f t="shared" si="4"/>
        <v>0.3347</v>
      </c>
      <c r="K47">
        <f t="shared" si="4"/>
        <v>0</v>
      </c>
      <c r="L47">
        <f t="shared" si="4"/>
        <v>0.28460000000000002</v>
      </c>
      <c r="M47">
        <f t="shared" si="4"/>
        <v>5.4800000000000001E-2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3.1600000000000003E-2</v>
      </c>
      <c r="C48">
        <f t="shared" si="5"/>
        <v>7.0699999999999999E-2</v>
      </c>
      <c r="D48">
        <f t="shared" si="5"/>
        <v>5.4800000000000001E-2</v>
      </c>
      <c r="E48">
        <f t="shared" si="5"/>
        <v>7.0699999999999999E-2</v>
      </c>
      <c r="F48">
        <f t="shared" si="5"/>
        <v>0</v>
      </c>
      <c r="G48">
        <f t="shared" si="5"/>
        <v>0.1673</v>
      </c>
      <c r="H48">
        <f t="shared" si="5"/>
        <v>8.3699999999999997E-2</v>
      </c>
      <c r="I48">
        <f t="shared" si="5"/>
        <v>0</v>
      </c>
      <c r="J48">
        <f t="shared" si="5"/>
        <v>0.3347</v>
      </c>
      <c r="K48">
        <f t="shared" si="5"/>
        <v>0.28460000000000002</v>
      </c>
      <c r="L48">
        <f t="shared" si="5"/>
        <v>0</v>
      </c>
      <c r="M48">
        <f t="shared" si="5"/>
        <v>7.0699999999999999E-2</v>
      </c>
    </row>
    <row r="49" spans="1:13" x14ac:dyDescent="0.3">
      <c r="A49" t="s">
        <v>5</v>
      </c>
      <c r="B49">
        <f t="shared" si="4"/>
        <v>7.0699999999999999E-2</v>
      </c>
      <c r="C49">
        <f t="shared" si="4"/>
        <v>0</v>
      </c>
      <c r="D49">
        <f t="shared" si="4"/>
        <v>0</v>
      </c>
      <c r="E49">
        <f t="shared" si="4"/>
        <v>7.0699999999999999E-2</v>
      </c>
      <c r="F49">
        <f t="shared" si="4"/>
        <v>0</v>
      </c>
      <c r="G49">
        <f t="shared" si="4"/>
        <v>0</v>
      </c>
      <c r="H49">
        <f t="shared" si="4"/>
        <v>0</v>
      </c>
      <c r="I49">
        <f t="shared" si="4"/>
        <v>5.4800000000000001E-2</v>
      </c>
      <c r="J49">
        <f t="shared" si="4"/>
        <v>0.3795</v>
      </c>
      <c r="K49">
        <f t="shared" si="4"/>
        <v>0</v>
      </c>
      <c r="L49">
        <f t="shared" si="4"/>
        <v>0</v>
      </c>
      <c r="M49">
        <f t="shared" si="4"/>
        <v>7.0699999999999999E-2</v>
      </c>
    </row>
    <row r="50" spans="1:13" x14ac:dyDescent="0.3">
      <c r="A50" t="s">
        <v>6</v>
      </c>
      <c r="B50">
        <f t="shared" si="4"/>
        <v>0</v>
      </c>
      <c r="C50">
        <f t="shared" si="4"/>
        <v>5.4800000000000001E-2</v>
      </c>
      <c r="D50">
        <f t="shared" si="4"/>
        <v>0</v>
      </c>
      <c r="E50">
        <f t="shared" si="4"/>
        <v>7.0699999999999999E-2</v>
      </c>
      <c r="F50">
        <f t="shared" si="4"/>
        <v>0</v>
      </c>
      <c r="G50">
        <f t="shared" si="4"/>
        <v>5.4800000000000001E-2</v>
      </c>
      <c r="H50">
        <f t="shared" si="4"/>
        <v>0</v>
      </c>
      <c r="I50">
        <f t="shared" si="4"/>
        <v>0</v>
      </c>
      <c r="J50">
        <f t="shared" si="4"/>
        <v>0</v>
      </c>
      <c r="K50">
        <f t="shared" si="4"/>
        <v>3.1600000000000003E-2</v>
      </c>
      <c r="L50">
        <f t="shared" si="4"/>
        <v>5.4800000000000001E-2</v>
      </c>
      <c r="M50">
        <f t="shared" si="4"/>
        <v>0</v>
      </c>
    </row>
    <row r="51" spans="1:13" x14ac:dyDescent="0.3">
      <c r="A51" t="s">
        <v>7</v>
      </c>
      <c r="B51">
        <f t="shared" si="4"/>
        <v>0</v>
      </c>
      <c r="C51">
        <f t="shared" si="4"/>
        <v>0</v>
      </c>
      <c r="D51">
        <f t="shared" si="4"/>
        <v>0</v>
      </c>
      <c r="E51">
        <f t="shared" si="4"/>
        <v>7.0699999999999999E-2</v>
      </c>
      <c r="F51">
        <f t="shared" si="4"/>
        <v>3.1600000000000003E-2</v>
      </c>
      <c r="G51">
        <f t="shared" si="4"/>
        <v>7.0699999999999999E-2</v>
      </c>
      <c r="H51">
        <f t="shared" si="4"/>
        <v>0</v>
      </c>
      <c r="I51">
        <f t="shared" si="4"/>
        <v>0</v>
      </c>
      <c r="J51">
        <f t="shared" si="4"/>
        <v>0.1414</v>
      </c>
      <c r="K51">
        <f t="shared" si="4"/>
        <v>0.3795</v>
      </c>
      <c r="L51">
        <f t="shared" si="4"/>
        <v>0.28460000000000002</v>
      </c>
      <c r="M51">
        <f t="shared" si="4"/>
        <v>0.1673</v>
      </c>
    </row>
    <row r="52" spans="1:13" x14ac:dyDescent="0.3">
      <c r="A52" t="s">
        <v>8</v>
      </c>
      <c r="B52">
        <f t="shared" si="4"/>
        <v>0.1673</v>
      </c>
      <c r="C52">
        <f t="shared" si="4"/>
        <v>0.1414</v>
      </c>
      <c r="D52">
        <f t="shared" si="4"/>
        <v>0.1414</v>
      </c>
      <c r="E52">
        <f t="shared" si="4"/>
        <v>0</v>
      </c>
      <c r="F52">
        <f t="shared" si="4"/>
        <v>0</v>
      </c>
      <c r="G52">
        <f t="shared" si="4"/>
        <v>7.0699999999999999E-2</v>
      </c>
      <c r="H52">
        <f t="shared" si="4"/>
        <v>0.28460000000000002</v>
      </c>
      <c r="I52">
        <f t="shared" si="4"/>
        <v>7.0699999999999999E-2</v>
      </c>
      <c r="J52">
        <f t="shared" si="4"/>
        <v>0</v>
      </c>
      <c r="K52">
        <f t="shared" si="4"/>
        <v>0.3347</v>
      </c>
      <c r="L52">
        <f t="shared" si="4"/>
        <v>0.3795</v>
      </c>
      <c r="M52">
        <f t="shared" si="4"/>
        <v>0.28460000000000002</v>
      </c>
    </row>
    <row r="53" spans="1:13" x14ac:dyDescent="0.3">
      <c r="A53" t="s">
        <v>9</v>
      </c>
      <c r="B53">
        <f t="shared" si="4"/>
        <v>0</v>
      </c>
      <c r="C53">
        <f t="shared" si="4"/>
        <v>0</v>
      </c>
      <c r="D53">
        <f t="shared" si="4"/>
        <v>0</v>
      </c>
      <c r="E53">
        <f t="shared" si="4"/>
        <v>7.0699999999999999E-2</v>
      </c>
      <c r="F53">
        <f t="shared" si="4"/>
        <v>0</v>
      </c>
      <c r="G53">
        <f t="shared" si="4"/>
        <v>5.4800000000000001E-2</v>
      </c>
      <c r="H53">
        <f t="shared" si="4"/>
        <v>0</v>
      </c>
      <c r="I53">
        <f t="shared" si="4"/>
        <v>7.0699999999999999E-2</v>
      </c>
      <c r="J53">
        <f t="shared" si="4"/>
        <v>0</v>
      </c>
      <c r="K53">
        <f t="shared" si="4"/>
        <v>0</v>
      </c>
      <c r="L53">
        <f t="shared" si="4"/>
        <v>0</v>
      </c>
      <c r="M53">
        <f t="shared" si="4"/>
        <v>0</v>
      </c>
    </row>
    <row r="54" spans="1:13" x14ac:dyDescent="0.3">
      <c r="A54" t="s">
        <v>10</v>
      </c>
      <c r="B54">
        <f t="shared" si="4"/>
        <v>7.0699999999999999E-2</v>
      </c>
      <c r="C54">
        <f t="shared" si="4"/>
        <v>0</v>
      </c>
      <c r="D54">
        <f t="shared" si="4"/>
        <v>0</v>
      </c>
      <c r="E54">
        <f t="shared" si="4"/>
        <v>7.0699999999999999E-2</v>
      </c>
      <c r="F54">
        <f t="shared" si="4"/>
        <v>7.0699999999999999E-2</v>
      </c>
      <c r="G54">
        <f t="shared" si="4"/>
        <v>7.0699999999999999E-2</v>
      </c>
      <c r="H54">
        <f t="shared" si="4"/>
        <v>5.4800000000000001E-2</v>
      </c>
      <c r="I54">
        <f t="shared" si="4"/>
        <v>0</v>
      </c>
      <c r="J54">
        <f t="shared" si="4"/>
        <v>0</v>
      </c>
      <c r="K54">
        <f t="shared" si="4"/>
        <v>0</v>
      </c>
      <c r="L54">
        <f t="shared" si="4"/>
        <v>0</v>
      </c>
      <c r="M54">
        <f t="shared" si="4"/>
        <v>0.3795</v>
      </c>
    </row>
    <row r="55" spans="1:13" x14ac:dyDescent="0.3">
      <c r="A55" t="s">
        <v>11</v>
      </c>
      <c r="B55">
        <f t="shared" si="4"/>
        <v>0.1414</v>
      </c>
      <c r="C55">
        <f t="shared" si="4"/>
        <v>7.0699999999999999E-2</v>
      </c>
      <c r="D55">
        <f t="shared" si="4"/>
        <v>0</v>
      </c>
      <c r="E55">
        <f t="shared" si="4"/>
        <v>0</v>
      </c>
      <c r="F55">
        <f t="shared" si="4"/>
        <v>5.4800000000000001E-2</v>
      </c>
      <c r="G55">
        <f t="shared" si="4"/>
        <v>0</v>
      </c>
      <c r="H55">
        <f t="shared" si="4"/>
        <v>0</v>
      </c>
      <c r="I55">
        <f t="shared" si="4"/>
        <v>7.0699999999999999E-2</v>
      </c>
      <c r="J55">
        <f t="shared" si="4"/>
        <v>0</v>
      </c>
      <c r="K55">
        <f t="shared" si="4"/>
        <v>5.4800000000000001E-2</v>
      </c>
      <c r="L55">
        <f t="shared" si="4"/>
        <v>0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0.3795</v>
      </c>
      <c r="D58">
        <f t="shared" si="6"/>
        <v>0.3347</v>
      </c>
      <c r="E58">
        <f t="shared" si="6"/>
        <v>0.21210000000000001</v>
      </c>
      <c r="F58">
        <f t="shared" si="6"/>
        <v>7.0699999999999999E-2</v>
      </c>
      <c r="G58">
        <f t="shared" si="6"/>
        <v>5.4800000000000001E-2</v>
      </c>
      <c r="H58">
        <f t="shared" si="6"/>
        <v>0.21210000000000001</v>
      </c>
      <c r="I58">
        <f t="shared" si="6"/>
        <v>3.1600000000000003E-2</v>
      </c>
      <c r="J58">
        <f t="shared" si="6"/>
        <v>0.3795</v>
      </c>
      <c r="K58">
        <f t="shared" si="6"/>
        <v>7.0699999999999999E-2</v>
      </c>
      <c r="L58">
        <f t="shared" si="6"/>
        <v>7.0699999999999999E-2</v>
      </c>
      <c r="M58">
        <f t="shared" si="6"/>
        <v>0.1414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0.1414</v>
      </c>
      <c r="C59">
        <f t="shared" si="7"/>
        <v>0</v>
      </c>
      <c r="D59">
        <f t="shared" si="7"/>
        <v>0.3347</v>
      </c>
      <c r="E59">
        <f t="shared" si="7"/>
        <v>0.3795</v>
      </c>
      <c r="F59">
        <f t="shared" si="7"/>
        <v>0.1414</v>
      </c>
      <c r="G59">
        <f t="shared" si="7"/>
        <v>7.0699999999999999E-2</v>
      </c>
      <c r="H59">
        <f t="shared" si="7"/>
        <v>0.3347</v>
      </c>
      <c r="I59">
        <f t="shared" si="7"/>
        <v>0.1414</v>
      </c>
      <c r="J59">
        <f t="shared" si="7"/>
        <v>0.1414</v>
      </c>
      <c r="K59">
        <f t="shared" si="7"/>
        <v>0.3795</v>
      </c>
      <c r="L59">
        <f t="shared" si="7"/>
        <v>7.0699999999999999E-2</v>
      </c>
      <c r="M59">
        <f t="shared" si="7"/>
        <v>0.3795</v>
      </c>
    </row>
    <row r="60" spans="1:13" x14ac:dyDescent="0.3">
      <c r="A60" t="s">
        <v>2</v>
      </c>
      <c r="B60">
        <f t="shared" si="7"/>
        <v>0.251</v>
      </c>
      <c r="C60">
        <f t="shared" si="7"/>
        <v>7.0699999999999999E-2</v>
      </c>
      <c r="D60">
        <f t="shared" si="7"/>
        <v>0</v>
      </c>
      <c r="E60">
        <f t="shared" si="7"/>
        <v>7.0699999999999999E-2</v>
      </c>
      <c r="F60">
        <f t="shared" si="7"/>
        <v>0.1414</v>
      </c>
      <c r="G60">
        <f t="shared" si="7"/>
        <v>0.3347</v>
      </c>
      <c r="H60">
        <f t="shared" si="7"/>
        <v>0.3347</v>
      </c>
      <c r="I60">
        <f t="shared" si="7"/>
        <v>0.1414</v>
      </c>
      <c r="J60">
        <f t="shared" si="7"/>
        <v>0.3795</v>
      </c>
      <c r="K60">
        <f t="shared" si="7"/>
        <v>0.3347</v>
      </c>
      <c r="L60">
        <f t="shared" si="7"/>
        <v>0.3347</v>
      </c>
      <c r="M60">
        <f t="shared" si="7"/>
        <v>0.3795</v>
      </c>
    </row>
    <row r="61" spans="1:13" x14ac:dyDescent="0.3">
      <c r="A61" t="s">
        <v>3</v>
      </c>
      <c r="B61">
        <f t="shared" si="7"/>
        <v>3.1600000000000003E-2</v>
      </c>
      <c r="C61">
        <f t="shared" si="7"/>
        <v>6.3200000000000006E-2</v>
      </c>
      <c r="D61">
        <f t="shared" si="7"/>
        <v>0.21210000000000001</v>
      </c>
      <c r="E61">
        <f t="shared" si="7"/>
        <v>0</v>
      </c>
      <c r="F61">
        <f t="shared" si="7"/>
        <v>0.1095</v>
      </c>
      <c r="G61">
        <f t="shared" si="7"/>
        <v>6.3200000000000006E-2</v>
      </c>
      <c r="H61">
        <f t="shared" si="7"/>
        <v>0.3795</v>
      </c>
      <c r="I61">
        <f t="shared" si="7"/>
        <v>0.1673</v>
      </c>
      <c r="J61">
        <f t="shared" si="7"/>
        <v>0.3347</v>
      </c>
      <c r="K61">
        <f t="shared" si="7"/>
        <v>5.4800000000000001E-2</v>
      </c>
      <c r="L61">
        <f t="shared" si="7"/>
        <v>0.3795</v>
      </c>
      <c r="M61">
        <f t="shared" si="7"/>
        <v>0.1095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6.3200000000000006E-2</v>
      </c>
      <c r="C62">
        <f t="shared" si="8"/>
        <v>0.1414</v>
      </c>
      <c r="D62">
        <f t="shared" si="8"/>
        <v>0.1095</v>
      </c>
      <c r="E62">
        <f t="shared" si="8"/>
        <v>0.1414</v>
      </c>
      <c r="F62">
        <f t="shared" si="8"/>
        <v>0</v>
      </c>
      <c r="G62">
        <f t="shared" si="8"/>
        <v>0.251</v>
      </c>
      <c r="H62">
        <f t="shared" si="8"/>
        <v>0.1673</v>
      </c>
      <c r="I62">
        <f t="shared" si="8"/>
        <v>7.0699999999999999E-2</v>
      </c>
      <c r="J62">
        <f t="shared" si="8"/>
        <v>0.3347</v>
      </c>
      <c r="K62">
        <f t="shared" si="8"/>
        <v>0.3795</v>
      </c>
      <c r="L62">
        <f t="shared" si="8"/>
        <v>5.4800000000000001E-2</v>
      </c>
      <c r="M62">
        <f t="shared" si="8"/>
        <v>0.1414</v>
      </c>
    </row>
    <row r="63" spans="1:13" x14ac:dyDescent="0.3">
      <c r="A63" t="s">
        <v>5</v>
      </c>
      <c r="B63">
        <f t="shared" si="7"/>
        <v>0.1414</v>
      </c>
      <c r="C63">
        <f t="shared" si="7"/>
        <v>7.0699999999999999E-2</v>
      </c>
      <c r="D63">
        <f t="shared" si="7"/>
        <v>8.3699999999999997E-2</v>
      </c>
      <c r="E63">
        <f t="shared" si="7"/>
        <v>0.1414</v>
      </c>
      <c r="F63">
        <f t="shared" si="7"/>
        <v>5.4800000000000001E-2</v>
      </c>
      <c r="G63">
        <f t="shared" si="7"/>
        <v>0</v>
      </c>
      <c r="H63">
        <f t="shared" si="7"/>
        <v>5.4800000000000001E-2</v>
      </c>
      <c r="I63">
        <f t="shared" si="7"/>
        <v>0.1095</v>
      </c>
      <c r="J63">
        <f t="shared" si="7"/>
        <v>0.3795</v>
      </c>
      <c r="K63">
        <f t="shared" si="7"/>
        <v>3.1600000000000003E-2</v>
      </c>
      <c r="L63">
        <f t="shared" si="7"/>
        <v>5.4800000000000001E-2</v>
      </c>
      <c r="M63">
        <f t="shared" si="7"/>
        <v>0.1414</v>
      </c>
    </row>
    <row r="64" spans="1:13" x14ac:dyDescent="0.3">
      <c r="A64" t="s">
        <v>6</v>
      </c>
      <c r="B64">
        <f t="shared" si="7"/>
        <v>8.3699999999999997E-2</v>
      </c>
      <c r="C64">
        <f t="shared" si="7"/>
        <v>0.1095</v>
      </c>
      <c r="D64">
        <f t="shared" si="7"/>
        <v>7.0699999999999999E-2</v>
      </c>
      <c r="E64">
        <f t="shared" si="7"/>
        <v>0.1414</v>
      </c>
      <c r="F64">
        <f t="shared" si="7"/>
        <v>5.4800000000000001E-2</v>
      </c>
      <c r="G64">
        <f t="shared" si="7"/>
        <v>0.1095</v>
      </c>
      <c r="H64">
        <f t="shared" si="7"/>
        <v>0</v>
      </c>
      <c r="I64">
        <f t="shared" si="7"/>
        <v>7.0699999999999999E-2</v>
      </c>
      <c r="J64">
        <f t="shared" si="7"/>
        <v>5.4800000000000001E-2</v>
      </c>
      <c r="K64">
        <f t="shared" si="7"/>
        <v>6.3200000000000006E-2</v>
      </c>
      <c r="L64">
        <f t="shared" si="7"/>
        <v>0.1095</v>
      </c>
      <c r="M64">
        <f t="shared" si="7"/>
        <v>5.4800000000000001E-2</v>
      </c>
    </row>
    <row r="65" spans="1:13" x14ac:dyDescent="0.3">
      <c r="A65" t="s">
        <v>7</v>
      </c>
      <c r="B65">
        <f t="shared" si="7"/>
        <v>3.1600000000000003E-2</v>
      </c>
      <c r="C65">
        <f t="shared" si="7"/>
        <v>7.0699999999999999E-2</v>
      </c>
      <c r="D65">
        <f t="shared" si="7"/>
        <v>5.4800000000000001E-2</v>
      </c>
      <c r="E65">
        <f t="shared" si="7"/>
        <v>0.1414</v>
      </c>
      <c r="F65">
        <f t="shared" si="7"/>
        <v>6.3200000000000006E-2</v>
      </c>
      <c r="G65">
        <f t="shared" si="7"/>
        <v>0.1414</v>
      </c>
      <c r="H65">
        <f t="shared" si="7"/>
        <v>7.0699999999999999E-2</v>
      </c>
      <c r="I65">
        <f t="shared" si="7"/>
        <v>0</v>
      </c>
      <c r="J65">
        <f t="shared" si="7"/>
        <v>0.21210000000000001</v>
      </c>
      <c r="K65">
        <f t="shared" si="7"/>
        <v>0.3795</v>
      </c>
      <c r="L65">
        <f t="shared" si="7"/>
        <v>0.3795</v>
      </c>
      <c r="M65">
        <f t="shared" si="7"/>
        <v>0.251</v>
      </c>
    </row>
    <row r="66" spans="1:13" x14ac:dyDescent="0.3">
      <c r="A66" t="s">
        <v>8</v>
      </c>
      <c r="B66">
        <f t="shared" si="7"/>
        <v>0.251</v>
      </c>
      <c r="C66">
        <f t="shared" si="7"/>
        <v>0.21210000000000001</v>
      </c>
      <c r="D66">
        <f t="shared" si="7"/>
        <v>0.21210000000000001</v>
      </c>
      <c r="E66">
        <f t="shared" si="7"/>
        <v>7.0699999999999999E-2</v>
      </c>
      <c r="F66">
        <f t="shared" si="7"/>
        <v>5.4800000000000001E-2</v>
      </c>
      <c r="G66">
        <f t="shared" si="7"/>
        <v>0.1414</v>
      </c>
      <c r="H66">
        <f t="shared" si="7"/>
        <v>0.3795</v>
      </c>
      <c r="I66">
        <f t="shared" si="7"/>
        <v>0.1414</v>
      </c>
      <c r="J66">
        <f t="shared" si="7"/>
        <v>0</v>
      </c>
      <c r="K66">
        <f t="shared" si="7"/>
        <v>0.3347</v>
      </c>
      <c r="L66">
        <f t="shared" si="7"/>
        <v>0.3795</v>
      </c>
      <c r="M66">
        <f t="shared" si="7"/>
        <v>0.3795</v>
      </c>
    </row>
    <row r="67" spans="1:13" x14ac:dyDescent="0.3">
      <c r="A67" t="s">
        <v>9</v>
      </c>
      <c r="B67">
        <f t="shared" si="7"/>
        <v>7.0699999999999999E-2</v>
      </c>
      <c r="C67">
        <f t="shared" si="7"/>
        <v>3.1600000000000003E-2</v>
      </c>
      <c r="D67">
        <f t="shared" si="7"/>
        <v>3.1600000000000003E-2</v>
      </c>
      <c r="E67">
        <f t="shared" si="7"/>
        <v>0.1414</v>
      </c>
      <c r="F67">
        <f t="shared" si="7"/>
        <v>7.0699999999999999E-2</v>
      </c>
      <c r="G67">
        <f t="shared" si="7"/>
        <v>0.1095</v>
      </c>
      <c r="H67">
        <f t="shared" si="7"/>
        <v>5.4800000000000001E-2</v>
      </c>
      <c r="I67">
        <f t="shared" si="7"/>
        <v>0.1414</v>
      </c>
      <c r="J67">
        <f t="shared" si="7"/>
        <v>7.0699999999999999E-2</v>
      </c>
      <c r="K67">
        <f t="shared" si="7"/>
        <v>0</v>
      </c>
      <c r="L67">
        <f t="shared" si="7"/>
        <v>7.0699999999999999E-2</v>
      </c>
      <c r="M67">
        <f t="shared" si="7"/>
        <v>7.0699999999999999E-2</v>
      </c>
    </row>
    <row r="68" spans="1:13" x14ac:dyDescent="0.3">
      <c r="A68" t="s">
        <v>10</v>
      </c>
      <c r="B68">
        <f t="shared" si="7"/>
        <v>0.1414</v>
      </c>
      <c r="C68">
        <f t="shared" si="7"/>
        <v>3.1600000000000003E-2</v>
      </c>
      <c r="D68">
        <f t="shared" si="7"/>
        <v>7.0699999999999999E-2</v>
      </c>
      <c r="E68">
        <f t="shared" si="7"/>
        <v>0.1414</v>
      </c>
      <c r="F68">
        <f t="shared" si="7"/>
        <v>0.1414</v>
      </c>
      <c r="G68">
        <f t="shared" si="7"/>
        <v>0.1414</v>
      </c>
      <c r="H68">
        <f t="shared" si="7"/>
        <v>0.1095</v>
      </c>
      <c r="I68">
        <f t="shared" si="7"/>
        <v>7.0699999999999999E-2</v>
      </c>
      <c r="J68">
        <f t="shared" si="7"/>
        <v>7.0699999999999999E-2</v>
      </c>
      <c r="K68">
        <f t="shared" si="7"/>
        <v>5.4800000000000001E-2</v>
      </c>
      <c r="L68">
        <f t="shared" si="7"/>
        <v>0</v>
      </c>
      <c r="M68">
        <f t="shared" si="7"/>
        <v>0.3795</v>
      </c>
    </row>
    <row r="69" spans="1:13" x14ac:dyDescent="0.3">
      <c r="A69" t="s">
        <v>11</v>
      </c>
      <c r="B69">
        <f t="shared" si="7"/>
        <v>0.21210000000000001</v>
      </c>
      <c r="C69">
        <f t="shared" si="7"/>
        <v>0.1414</v>
      </c>
      <c r="D69">
        <f t="shared" si="7"/>
        <v>5.4800000000000001E-2</v>
      </c>
      <c r="E69">
        <f t="shared" si="7"/>
        <v>5.4800000000000001E-2</v>
      </c>
      <c r="F69">
        <f t="shared" si="7"/>
        <v>0.1095</v>
      </c>
      <c r="G69">
        <f t="shared" si="7"/>
        <v>3.1600000000000003E-2</v>
      </c>
      <c r="H69">
        <f t="shared" si="7"/>
        <v>7.0699999999999999E-2</v>
      </c>
      <c r="I69">
        <f t="shared" si="7"/>
        <v>0.1414</v>
      </c>
      <c r="J69">
        <f t="shared" si="7"/>
        <v>7.0699999999999999E-2</v>
      </c>
      <c r="K69">
        <f t="shared" si="7"/>
        <v>0.1095</v>
      </c>
      <c r="L69">
        <f t="shared" si="7"/>
        <v>5.4800000000000001E-2</v>
      </c>
      <c r="M69">
        <f t="shared" si="7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/>
  <dimension ref="A1:M69"/>
  <sheetViews>
    <sheetView workbookViewId="0">
      <selection activeCell="A15" sqref="A15:M69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12</v>
      </c>
      <c r="D2" t="s">
        <v>13</v>
      </c>
      <c r="E2" t="s">
        <v>16</v>
      </c>
      <c r="F2" t="s">
        <v>22</v>
      </c>
      <c r="G2" t="s">
        <v>24</v>
      </c>
      <c r="H2" t="s">
        <v>16</v>
      </c>
      <c r="I2" t="s">
        <v>15</v>
      </c>
      <c r="J2" t="s">
        <v>12</v>
      </c>
      <c r="K2" t="s">
        <v>16</v>
      </c>
      <c r="L2" t="s">
        <v>15</v>
      </c>
      <c r="M2" t="s">
        <v>15</v>
      </c>
    </row>
    <row r="3" spans="1:13" x14ac:dyDescent="0.3">
      <c r="A3" s="1" t="s">
        <v>1</v>
      </c>
      <c r="B3" t="s">
        <v>22</v>
      </c>
      <c r="C3">
        <v>0</v>
      </c>
      <c r="D3" t="s">
        <v>25</v>
      </c>
      <c r="E3" t="s">
        <v>18</v>
      </c>
      <c r="F3" t="s">
        <v>21</v>
      </c>
      <c r="G3" t="s">
        <v>18</v>
      </c>
      <c r="H3" t="s">
        <v>16</v>
      </c>
      <c r="I3" t="s">
        <v>15</v>
      </c>
      <c r="J3" t="s">
        <v>12</v>
      </c>
      <c r="K3" t="s">
        <v>25</v>
      </c>
      <c r="L3" t="s">
        <v>18</v>
      </c>
      <c r="M3" t="s">
        <v>13</v>
      </c>
    </row>
    <row r="4" spans="1:13" x14ac:dyDescent="0.3">
      <c r="A4" s="1" t="s">
        <v>2</v>
      </c>
      <c r="B4" t="s">
        <v>20</v>
      </c>
      <c r="C4" t="s">
        <v>16</v>
      </c>
      <c r="D4">
        <v>0</v>
      </c>
      <c r="E4" t="s">
        <v>22</v>
      </c>
      <c r="F4" t="s">
        <v>16</v>
      </c>
      <c r="G4" t="s">
        <v>22</v>
      </c>
      <c r="H4" t="s">
        <v>20</v>
      </c>
      <c r="I4" t="s">
        <v>16</v>
      </c>
      <c r="J4" t="s">
        <v>18</v>
      </c>
      <c r="K4" t="s">
        <v>18</v>
      </c>
      <c r="L4" t="s">
        <v>13</v>
      </c>
      <c r="M4" t="s">
        <v>18</v>
      </c>
    </row>
    <row r="5" spans="1:13" x14ac:dyDescent="0.3">
      <c r="A5" s="1" t="s">
        <v>3</v>
      </c>
      <c r="B5" t="s">
        <v>15</v>
      </c>
      <c r="C5" t="s">
        <v>21</v>
      </c>
      <c r="D5" t="s">
        <v>71</v>
      </c>
      <c r="E5">
        <v>0</v>
      </c>
      <c r="F5" t="s">
        <v>15</v>
      </c>
      <c r="G5" t="s">
        <v>24</v>
      </c>
      <c r="H5" t="s">
        <v>12</v>
      </c>
      <c r="I5" t="s">
        <v>62</v>
      </c>
      <c r="J5" t="s">
        <v>18</v>
      </c>
      <c r="K5" t="s">
        <v>16</v>
      </c>
      <c r="L5" t="s">
        <v>12</v>
      </c>
      <c r="M5" t="s">
        <v>18</v>
      </c>
    </row>
    <row r="6" spans="1:13" x14ac:dyDescent="0.3">
      <c r="A6" s="1" t="s">
        <v>4</v>
      </c>
      <c r="B6" t="s">
        <v>15</v>
      </c>
      <c r="C6" t="s">
        <v>15</v>
      </c>
      <c r="D6" t="s">
        <v>20</v>
      </c>
      <c r="E6" t="s">
        <v>23</v>
      </c>
      <c r="F6">
        <v>0</v>
      </c>
      <c r="G6" t="s">
        <v>25</v>
      </c>
      <c r="H6" t="s">
        <v>15</v>
      </c>
      <c r="I6" t="s">
        <v>15</v>
      </c>
      <c r="J6" t="s">
        <v>25</v>
      </c>
      <c r="K6" t="s">
        <v>13</v>
      </c>
      <c r="L6" t="s">
        <v>22</v>
      </c>
      <c r="M6" t="s">
        <v>20</v>
      </c>
    </row>
    <row r="7" spans="1:13" x14ac:dyDescent="0.3">
      <c r="A7" s="1" t="s">
        <v>5</v>
      </c>
      <c r="B7" t="s">
        <v>20</v>
      </c>
      <c r="C7" t="s">
        <v>20</v>
      </c>
      <c r="D7" t="s">
        <v>16</v>
      </c>
      <c r="E7" t="s">
        <v>23</v>
      </c>
      <c r="F7" t="s">
        <v>20</v>
      </c>
      <c r="G7">
        <v>0</v>
      </c>
      <c r="H7" t="s">
        <v>15</v>
      </c>
      <c r="I7" t="s">
        <v>15</v>
      </c>
      <c r="J7" t="s">
        <v>25</v>
      </c>
      <c r="K7" t="s">
        <v>24</v>
      </c>
      <c r="L7" s="6" t="s">
        <v>16</v>
      </c>
      <c r="M7" t="s">
        <v>15</v>
      </c>
    </row>
    <row r="8" spans="1:13" x14ac:dyDescent="0.3">
      <c r="A8" s="1" t="s">
        <v>6</v>
      </c>
      <c r="B8" t="s">
        <v>15</v>
      </c>
      <c r="C8" t="s">
        <v>24</v>
      </c>
      <c r="D8" t="s">
        <v>22</v>
      </c>
      <c r="E8" t="s">
        <v>17</v>
      </c>
      <c r="F8" t="s">
        <v>16</v>
      </c>
      <c r="G8" t="s">
        <v>15</v>
      </c>
      <c r="H8">
        <v>0</v>
      </c>
      <c r="I8" t="s">
        <v>20</v>
      </c>
      <c r="J8" t="s">
        <v>16</v>
      </c>
      <c r="K8" t="s">
        <v>16</v>
      </c>
      <c r="L8" s="6" t="s">
        <v>16</v>
      </c>
      <c r="M8" t="s">
        <v>62</v>
      </c>
    </row>
    <row r="9" spans="1:13" x14ac:dyDescent="0.3">
      <c r="A9" s="1" t="s">
        <v>7</v>
      </c>
      <c r="B9" t="s">
        <v>20</v>
      </c>
      <c r="C9" t="s">
        <v>23</v>
      </c>
      <c r="D9" t="s">
        <v>24</v>
      </c>
      <c r="E9" t="s">
        <v>24</v>
      </c>
      <c r="F9" t="s">
        <v>16</v>
      </c>
      <c r="G9" t="s">
        <v>16</v>
      </c>
      <c r="H9" t="s">
        <v>24</v>
      </c>
      <c r="I9">
        <v>0</v>
      </c>
      <c r="J9" t="s">
        <v>24</v>
      </c>
      <c r="K9" t="s">
        <v>25</v>
      </c>
      <c r="L9" s="6" t="s">
        <v>18</v>
      </c>
      <c r="M9" t="s">
        <v>18</v>
      </c>
    </row>
    <row r="10" spans="1:13" x14ac:dyDescent="0.3">
      <c r="A10" s="1" t="s">
        <v>8</v>
      </c>
      <c r="B10" t="s">
        <v>12</v>
      </c>
      <c r="C10" t="s">
        <v>22</v>
      </c>
      <c r="D10" t="s">
        <v>16</v>
      </c>
      <c r="E10" t="s">
        <v>62</v>
      </c>
      <c r="F10" t="s">
        <v>24</v>
      </c>
      <c r="G10" t="s">
        <v>23</v>
      </c>
      <c r="H10" t="s">
        <v>12</v>
      </c>
      <c r="I10" t="s">
        <v>16</v>
      </c>
      <c r="J10">
        <v>0</v>
      </c>
      <c r="K10" t="s">
        <v>25</v>
      </c>
      <c r="L10" s="6" t="s">
        <v>12</v>
      </c>
      <c r="M10" t="s">
        <v>12</v>
      </c>
    </row>
    <row r="11" spans="1:13" x14ac:dyDescent="0.3">
      <c r="A11" s="1" t="s">
        <v>9</v>
      </c>
      <c r="B11" t="s">
        <v>22</v>
      </c>
      <c r="C11" t="s">
        <v>17</v>
      </c>
      <c r="D11" t="s">
        <v>17</v>
      </c>
      <c r="E11" t="s">
        <v>23</v>
      </c>
      <c r="F11" t="s">
        <v>20</v>
      </c>
      <c r="G11" t="s">
        <v>24</v>
      </c>
      <c r="H11" t="s">
        <v>17</v>
      </c>
      <c r="I11" t="s">
        <v>15</v>
      </c>
      <c r="J11" t="s">
        <v>22</v>
      </c>
      <c r="K11">
        <v>0</v>
      </c>
      <c r="L11" s="6" t="s">
        <v>16</v>
      </c>
      <c r="M11" t="s">
        <v>23</v>
      </c>
    </row>
    <row r="12" spans="1:13" x14ac:dyDescent="0.3">
      <c r="A12" s="1" t="s">
        <v>10</v>
      </c>
      <c r="B12" t="s">
        <v>20</v>
      </c>
      <c r="C12" t="s">
        <v>15</v>
      </c>
      <c r="D12" t="s">
        <v>16</v>
      </c>
      <c r="E12" t="s">
        <v>22</v>
      </c>
      <c r="F12" t="s">
        <v>15</v>
      </c>
      <c r="G12" t="s">
        <v>62</v>
      </c>
      <c r="H12" t="s">
        <v>16</v>
      </c>
      <c r="I12" t="s">
        <v>23</v>
      </c>
      <c r="J12" t="s">
        <v>22</v>
      </c>
      <c r="K12" t="s">
        <v>15</v>
      </c>
      <c r="L12">
        <v>0</v>
      </c>
      <c r="M12" t="s">
        <v>18</v>
      </c>
    </row>
    <row r="13" spans="1:13" x14ac:dyDescent="0.3">
      <c r="A13" s="1" t="s">
        <v>11</v>
      </c>
      <c r="B13" t="s">
        <v>15</v>
      </c>
      <c r="C13" t="s">
        <v>17</v>
      </c>
      <c r="D13" t="s">
        <v>22</v>
      </c>
      <c r="E13" t="s">
        <v>17</v>
      </c>
      <c r="F13" t="s">
        <v>16</v>
      </c>
      <c r="G13" t="s">
        <v>22</v>
      </c>
      <c r="H13" t="s">
        <v>15</v>
      </c>
      <c r="I13" t="s">
        <v>16</v>
      </c>
      <c r="J13" t="s">
        <v>23</v>
      </c>
      <c r="K13" t="s">
        <v>22</v>
      </c>
      <c r="L13" t="s">
        <v>15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(0,1673; 0,251; 0,3347)</v>
      </c>
      <c r="D16" t="str">
        <f>VLOOKUP(D2,'Thang đánh giá'!$C$2:$D$27,2,FALSE)</f>
        <v>(0,1897; 0,2846; 0,3795)</v>
      </c>
      <c r="E16" t="str">
        <f>VLOOKUP(E2,'Thang đánh giá'!$C$2:$D$27,2,FALSE)</f>
        <v>(0; 0; 0,0707)</v>
      </c>
      <c r="F16" t="str">
        <f>VLOOKUP(F2,'Thang đánh giá'!$C$2:$D$27,2,FALSE)</f>
        <v>(0,0707; 0,1414; 0,2121)</v>
      </c>
      <c r="G16" t="str">
        <f>VLOOKUP(G2,'Thang đánh giá'!$C$2:$D$27,2,FALSE)</f>
        <v>(0; 0; 0,0548)</v>
      </c>
      <c r="H16" t="str">
        <f>VLOOKUP(H2,'Thang đánh giá'!$C$2:$D$27,2,FALSE)</f>
        <v>(0; 0; 0,0707)</v>
      </c>
      <c r="I16" t="str">
        <f>VLOOKUP(I2,'Thang đánh giá'!$C$2:$D$27,2,FALSE)</f>
        <v>(0; 0,0707; 0,1414)</v>
      </c>
      <c r="J16" t="str">
        <f>VLOOKUP(J2,'Thang đánh giá'!$C$2:$D$27,2,FALSE)</f>
        <v>(0,1673; 0,251; 0,3347)</v>
      </c>
      <c r="K16" t="str">
        <f>VLOOKUP(K2,'Thang đánh giá'!$C$2:$D$27,2,FALSE)</f>
        <v>(0; 0; 0,0707)</v>
      </c>
      <c r="L16" t="str">
        <f>VLOOKUP(L2,'Thang đánh giá'!$C$2:$D$27,2,FALSE)</f>
        <v>(0; 0,0707; 0,1414)</v>
      </c>
      <c r="M16" t="str">
        <f>VLOOKUP(M2,'Thang đánh giá'!$C$2:$D$27,2,FALSE)</f>
        <v>(0; 0,0707; 0,1414)</v>
      </c>
    </row>
    <row r="17" spans="1:13" x14ac:dyDescent="0.3">
      <c r="A17" t="s">
        <v>1</v>
      </c>
      <c r="B17" t="str">
        <f>VLOOKUP(B3,'Thang đánh giá'!$C$2:$D$27,2,FALSE)</f>
        <v>(0,0707; 0,1414; 0,2121)</v>
      </c>
      <c r="C17" t="str">
        <f>VLOOKUP(C3,'Thang đánh giá'!$C$2:$D$27,2,FALSE)</f>
        <v>(0; 0; 0)</v>
      </c>
      <c r="D17" t="str">
        <f>VLOOKUP(D3,'Thang đánh giá'!$C$2:$D$27,2,FALSE)</f>
        <v>(0,251; 0,3347; 0,3347)</v>
      </c>
      <c r="E17" t="str">
        <f>VLOOKUP(E3,'Thang đánh giá'!$C$2:$D$27,2,FALSE)</f>
        <v>(0,2846; 0,3795; 0,3795)</v>
      </c>
      <c r="F17" t="str">
        <f>VLOOKUP(F3,'Thang đánh giá'!$C$2:$D$27,2,FALSE)</f>
        <v>(0,0837; 0,1673; 0,251)</v>
      </c>
      <c r="G17" t="str">
        <f>VLOOKUP(G3,'Thang đánh giá'!$C$2:$D$27,2,FALSE)</f>
        <v>(0,2846; 0,3795; 0,3795)</v>
      </c>
      <c r="H17" t="str">
        <f>VLOOKUP(H3,'Thang đánh giá'!$C$2:$D$27,2,FALSE)</f>
        <v>(0; 0; 0,0707)</v>
      </c>
      <c r="I17" t="str">
        <f>VLOOKUP(I3,'Thang đánh giá'!$C$2:$D$27,2,FALSE)</f>
        <v>(0; 0,0707; 0,1414)</v>
      </c>
      <c r="J17" t="str">
        <f>VLOOKUP(J3,'Thang đánh giá'!$C$2:$D$27,2,FALSE)</f>
        <v>(0,1673; 0,251; 0,3347)</v>
      </c>
      <c r="K17" t="str">
        <f>VLOOKUP(K3,'Thang đánh giá'!$C$2:$D$27,2,FALSE)</f>
        <v>(0,251; 0,3347; 0,3347)</v>
      </c>
      <c r="L17" t="str">
        <f>VLOOKUP(L3,'Thang đánh giá'!$C$2:$D$27,2,FALSE)</f>
        <v>(0,2846; 0,3795; 0,3795)</v>
      </c>
      <c r="M17" t="str">
        <f>VLOOKUP(M3,'Thang đánh giá'!$C$2:$D$27,2,FALSE)</f>
        <v>(0,1897; 0,2846; 0,3795)</v>
      </c>
    </row>
    <row r="18" spans="1:13" x14ac:dyDescent="0.3">
      <c r="A18" t="s">
        <v>2</v>
      </c>
      <c r="B18" t="str">
        <f>VLOOKUP(B4,'Thang đánh giá'!$C$2:$D$27,2,FALSE)</f>
        <v>(0; 0,0548; 0,1095)</v>
      </c>
      <c r="C18" t="str">
        <f>VLOOKUP(C4,'Thang đánh giá'!$C$2:$D$27,2,FALSE)</f>
        <v>(0; 0; 0,0707)</v>
      </c>
      <c r="D18" t="str">
        <f>VLOOKUP(D4,'Thang đánh giá'!$C$2:$D$27,2,FALSE)</f>
        <v>(0; 0; 0)</v>
      </c>
      <c r="E18" t="str">
        <f>VLOOKUP(E4,'Thang đánh giá'!$C$2:$D$27,2,FALSE)</f>
        <v>(0,0707; 0,1414; 0,2121)</v>
      </c>
      <c r="F18" t="str">
        <f>VLOOKUP(F4,'Thang đánh giá'!$C$2:$D$27,2,FALSE)</f>
        <v>(0; 0; 0,0707)</v>
      </c>
      <c r="G18" t="str">
        <f>VLOOKUP(G4,'Thang đánh giá'!$C$2:$D$27,2,FALSE)</f>
        <v>(0,0707; 0,1414; 0,2121)</v>
      </c>
      <c r="H18" t="str">
        <f>VLOOKUP(H4,'Thang đánh giá'!$C$2:$D$27,2,FALSE)</f>
        <v>(0; 0,0548; 0,1095)</v>
      </c>
      <c r="I18" t="str">
        <f>VLOOKUP(I4,'Thang đánh giá'!$C$2:$D$27,2,FALSE)</f>
        <v>(0; 0; 0,0707)</v>
      </c>
      <c r="J18" t="str">
        <f>VLOOKUP(J4,'Thang đánh giá'!$C$2:$D$27,2,FALSE)</f>
        <v>(0,2846; 0,3795; 0,3795)</v>
      </c>
      <c r="K18" t="str">
        <f>VLOOKUP(K4,'Thang đánh giá'!$C$2:$D$27,2,FALSE)</f>
        <v>(0,2846; 0,3795; 0,3795)</v>
      </c>
      <c r="L18" t="str">
        <f>VLOOKUP(L4,'Thang đánh giá'!$C$2:$D$27,2,FALSE)</f>
        <v>(0,1897; 0,2846; 0,3795)</v>
      </c>
      <c r="M18" t="str">
        <f>VLOOKUP(M4,'Thang đánh giá'!$C$2:$D$27,2,FALSE)</f>
        <v>(0,2846; 0,3795; 0,3795)</v>
      </c>
    </row>
    <row r="19" spans="1:13" x14ac:dyDescent="0.3">
      <c r="A19" t="s">
        <v>3</v>
      </c>
      <c r="B19" t="str">
        <f>VLOOKUP(B5,'Thang đánh giá'!$C$2:$D$27,2,FALSE)</f>
        <v>(0; 0,0707; 0,1414)</v>
      </c>
      <c r="C19" t="str">
        <f>VLOOKUP(C5,'Thang đánh giá'!$C$2:$D$27,2,FALSE)</f>
        <v>(0,0837; 0,1673; 0,251)</v>
      </c>
      <c r="D19" t="str">
        <f>VLOOKUP(D5,'Thang đánh giá'!$C$2:$D$27,2,FALSE)</f>
        <v>(0; 0; 0,0837)</v>
      </c>
      <c r="E19" t="str">
        <f>VLOOKUP(E5,'Thang đánh giá'!$C$2:$D$27,2,FALSE)</f>
        <v>(0; 0; 0)</v>
      </c>
      <c r="F19" t="str">
        <f>VLOOKUP(F5,'Thang đánh giá'!$C$2:$D$27,2,FALSE)</f>
        <v>(0; 0,0707; 0,1414)</v>
      </c>
      <c r="G19" t="str">
        <f>VLOOKUP(G5,'Thang đánh giá'!$C$2:$D$27,2,FALSE)</f>
        <v>(0; 0; 0,0548)</v>
      </c>
      <c r="H19" t="str">
        <f>VLOOKUP(H5,'Thang đánh giá'!$C$2:$D$27,2,FALSE)</f>
        <v>(0,1673; 0,251; 0,3347)</v>
      </c>
      <c r="I19" t="str">
        <f>VLOOKUP(I5,'Thang đánh giá'!$C$2:$D$27,2,FALSE)</f>
        <v>(0; 0,0837; 0,1673)</v>
      </c>
      <c r="J19" t="str">
        <f>VLOOKUP(J5,'Thang đánh giá'!$C$2:$D$27,2,FALSE)</f>
        <v>(0,2846; 0,3795; 0,3795)</v>
      </c>
      <c r="K19" t="str">
        <f>VLOOKUP(K5,'Thang đánh giá'!$C$2:$D$27,2,FALSE)</f>
        <v>(0; 0; 0,0707)</v>
      </c>
      <c r="L19" t="str">
        <f>VLOOKUP(L5,'Thang đánh giá'!$C$2:$D$27,2,FALSE)</f>
        <v>(0,1673; 0,251; 0,3347)</v>
      </c>
      <c r="M19" t="str">
        <f>VLOOKUP(M5,'Thang đánh giá'!$C$2:$D$27,2,FALSE)</f>
        <v>(0,2846; 0,3795; 0,3795)</v>
      </c>
    </row>
    <row r="20" spans="1:13" x14ac:dyDescent="0.3">
      <c r="A20" t="s">
        <v>4</v>
      </c>
      <c r="B20" t="str">
        <f>VLOOKUP(B6,'Thang đánh giá'!$C$2:$D$27,2,FALSE)</f>
        <v>(0; 0,0707; 0,1414)</v>
      </c>
      <c r="C20" t="str">
        <f>VLOOKUP(C6,'Thang đánh giá'!$C$2:$D$27,2,FALSE)</f>
        <v>(0; 0,0707; 0,1414)</v>
      </c>
      <c r="D20" t="str">
        <f>VLOOKUP(D6,'Thang đánh giá'!$C$2:$D$27,2,FALSE)</f>
        <v>(0; 0,0548; 0,1095)</v>
      </c>
      <c r="E20" t="str">
        <f>VLOOKUP(E6,'Thang đánh giá'!$C$2:$D$27,2,FALSE)</f>
        <v>(0; 0; 0,0316)</v>
      </c>
      <c r="F20" t="str">
        <f>VLOOKUP(F6,'Thang đánh giá'!$C$2:$D$27,2,FALSE)</f>
        <v>(0; 0; 0)</v>
      </c>
      <c r="G20" t="str">
        <f>VLOOKUP(G6,'Thang đánh giá'!$C$2:$D$27,2,FALSE)</f>
        <v>(0,251; 0,3347; 0,3347)</v>
      </c>
      <c r="H20" t="str">
        <f>VLOOKUP(H6,'Thang đánh giá'!$C$2:$D$27,2,FALSE)</f>
        <v>(0; 0,0707; 0,1414)</v>
      </c>
      <c r="I20" t="str">
        <f>VLOOKUP(I6,'Thang đánh giá'!$C$2:$D$27,2,FALSE)</f>
        <v>(0; 0,0707; 0,1414)</v>
      </c>
      <c r="J20" t="str">
        <f>VLOOKUP(J6,'Thang đánh giá'!$C$2:$D$27,2,FALSE)</f>
        <v>(0,251; 0,3347; 0,3347)</v>
      </c>
      <c r="K20" t="str">
        <f>VLOOKUP(K6,'Thang đánh giá'!$C$2:$D$27,2,FALSE)</f>
        <v>(0,1897; 0,2846; 0,3795)</v>
      </c>
      <c r="L20" t="str">
        <f>VLOOKUP(L6,'Thang đánh giá'!$C$2:$D$27,2,FALSE)</f>
        <v>(0,0707; 0,1414; 0,2121)</v>
      </c>
      <c r="M20" t="str">
        <f>VLOOKUP(M6,'Thang đánh giá'!$C$2:$D$27,2,FALSE)</f>
        <v>(0; 0,0548; 0,1095)</v>
      </c>
    </row>
    <row r="21" spans="1:13" x14ac:dyDescent="0.3">
      <c r="A21" t="s">
        <v>5</v>
      </c>
      <c r="B21" t="str">
        <f>VLOOKUP(B7,'Thang đánh giá'!$C$2:$D$27,2,FALSE)</f>
        <v>(0; 0,0548; 0,1095)</v>
      </c>
      <c r="C21" t="str">
        <f>VLOOKUP(C7,'Thang đánh giá'!$C$2:$D$27,2,FALSE)</f>
        <v>(0; 0,0548; 0,1095)</v>
      </c>
      <c r="D21" t="str">
        <f>VLOOKUP(D7,'Thang đánh giá'!$C$2:$D$27,2,FALSE)</f>
        <v>(0; 0; 0,0707)</v>
      </c>
      <c r="E21" t="str">
        <f>VLOOKUP(E7,'Thang đánh giá'!$C$2:$D$27,2,FALSE)</f>
        <v>(0; 0; 0,0316)</v>
      </c>
      <c r="F21" t="str">
        <f>VLOOKUP(F7,'Thang đánh giá'!$C$2:$D$27,2,FALSE)</f>
        <v>(0; 0,0548; 0,1095)</v>
      </c>
      <c r="G21" t="str">
        <f>VLOOKUP(G7,'Thang đánh giá'!$C$2:$D$27,2,FALSE)</f>
        <v>(0; 0; 0)</v>
      </c>
      <c r="H21" t="str">
        <f>VLOOKUP(H7,'Thang đánh giá'!$C$2:$D$27,2,FALSE)</f>
        <v>(0; 0,0707; 0,1414)</v>
      </c>
      <c r="I21" t="str">
        <f>VLOOKUP(I7,'Thang đánh giá'!$C$2:$D$27,2,FALSE)</f>
        <v>(0; 0,0707; 0,1414)</v>
      </c>
      <c r="J21" t="str">
        <f>VLOOKUP(J7,'Thang đánh giá'!$C$2:$D$27,2,FALSE)</f>
        <v>(0,251; 0,3347; 0,3347)</v>
      </c>
      <c r="K21" t="str">
        <f>VLOOKUP(K7,'Thang đánh giá'!$C$2:$D$27,2,FALSE)</f>
        <v>(0; 0; 0,0548)</v>
      </c>
      <c r="L21" t="str">
        <f>VLOOKUP(L7,'Thang đánh giá'!$C$2:$D$27,2,FALSE)</f>
        <v>(0; 0; 0,0707)</v>
      </c>
      <c r="M21" t="str">
        <f>VLOOKUP(M7,'Thang đánh giá'!$C$2:$D$27,2,FALSE)</f>
        <v>(0; 0,0707; 0,1414)</v>
      </c>
    </row>
    <row r="22" spans="1:13" x14ac:dyDescent="0.3">
      <c r="A22" t="s">
        <v>6</v>
      </c>
      <c r="B22" t="str">
        <f>VLOOKUP(B8,'Thang đánh giá'!$C$2:$D$27,2,FALSE)</f>
        <v>(0; 0,0707; 0,1414)</v>
      </c>
      <c r="C22" t="str">
        <f>VLOOKUP(C8,'Thang đánh giá'!$C$2:$D$27,2,FALSE)</f>
        <v>(0; 0; 0,0548)</v>
      </c>
      <c r="D22" t="str">
        <f>VLOOKUP(D8,'Thang đánh giá'!$C$2:$D$27,2,FALSE)</f>
        <v>(0,0707; 0,1414; 0,2121)</v>
      </c>
      <c r="E22" t="str">
        <f>VLOOKUP(E8,'Thang đánh giá'!$C$2:$D$27,2,FALSE)</f>
        <v>(0; 0,0316; 0,0632)</v>
      </c>
      <c r="F22" t="str">
        <f>VLOOKUP(F8,'Thang đánh giá'!$C$2:$D$27,2,FALSE)</f>
        <v>(0; 0; 0,0707)</v>
      </c>
      <c r="G22" t="str">
        <f>VLOOKUP(G8,'Thang đánh giá'!$C$2:$D$27,2,FALSE)</f>
        <v>(0; 0,0707; 0,1414)</v>
      </c>
      <c r="H22" t="str">
        <f>VLOOKUP(H8,'Thang đánh giá'!$C$2:$D$27,2,FALSE)</f>
        <v>(0; 0; 0)</v>
      </c>
      <c r="I22" t="str">
        <f>VLOOKUP(I8,'Thang đánh giá'!$C$2:$D$27,2,FALSE)</f>
        <v>(0; 0,0548; 0,1095)</v>
      </c>
      <c r="J22" t="str">
        <f>VLOOKUP(J8,'Thang đánh giá'!$C$2:$D$27,2,FALSE)</f>
        <v>(0; 0; 0,0707)</v>
      </c>
      <c r="K22" t="str">
        <f>VLOOKUP(K8,'Thang đánh giá'!$C$2:$D$27,2,FALSE)</f>
        <v>(0; 0; 0,0707)</v>
      </c>
      <c r="L22" t="str">
        <f>VLOOKUP(L8,'Thang đánh giá'!$C$2:$D$27,2,FALSE)</f>
        <v>(0; 0; 0,0707)</v>
      </c>
      <c r="M22" t="str">
        <f>VLOOKUP(M8,'Thang đánh giá'!$C$2:$D$27,2,FALSE)</f>
        <v>(0; 0,0837; 0,1673)</v>
      </c>
    </row>
    <row r="23" spans="1:13" x14ac:dyDescent="0.3">
      <c r="A23" t="s">
        <v>7</v>
      </c>
      <c r="B23" t="str">
        <f>VLOOKUP(B9,'Thang đánh giá'!$C$2:$D$27,2,FALSE)</f>
        <v>(0; 0,0548; 0,1095)</v>
      </c>
      <c r="C23" t="str">
        <f>VLOOKUP(C9,'Thang đánh giá'!$C$2:$D$27,2,FALSE)</f>
        <v>(0; 0; 0,0316)</v>
      </c>
      <c r="D23" t="str">
        <f>VLOOKUP(D9,'Thang đánh giá'!$C$2:$D$27,2,FALSE)</f>
        <v>(0; 0; 0,0548)</v>
      </c>
      <c r="E23" t="str">
        <f>VLOOKUP(E9,'Thang đánh giá'!$C$2:$D$27,2,FALSE)</f>
        <v>(0; 0; 0,0548)</v>
      </c>
      <c r="F23" t="str">
        <f>VLOOKUP(F9,'Thang đánh giá'!$C$2:$D$27,2,FALSE)</f>
        <v>(0; 0; 0,0707)</v>
      </c>
      <c r="G23" t="str">
        <f>VLOOKUP(G9,'Thang đánh giá'!$C$2:$D$27,2,FALSE)</f>
        <v>(0; 0; 0,0707)</v>
      </c>
      <c r="H23" t="str">
        <f>VLOOKUP(H9,'Thang đánh giá'!$C$2:$D$27,2,FALSE)</f>
        <v>(0; 0; 0,0548)</v>
      </c>
      <c r="I23" t="str">
        <f>VLOOKUP(I9,'Thang đánh giá'!$C$2:$D$27,2,FALSE)</f>
        <v>(0; 0; 0)</v>
      </c>
      <c r="J23" t="str">
        <f>VLOOKUP(J9,'Thang đánh giá'!$C$2:$D$27,2,FALSE)</f>
        <v>(0; 0; 0,0548)</v>
      </c>
      <c r="K23" t="str">
        <f>VLOOKUP(K9,'Thang đánh giá'!$C$2:$D$27,2,FALSE)</f>
        <v>(0,251; 0,3347; 0,3347)</v>
      </c>
      <c r="L23" t="str">
        <f>VLOOKUP(L9,'Thang đánh giá'!$C$2:$D$27,2,FALSE)</f>
        <v>(0,2846; 0,3795; 0,3795)</v>
      </c>
      <c r="M23" t="str">
        <f>VLOOKUP(M9,'Thang đánh giá'!$C$2:$D$27,2,FALSE)</f>
        <v>(0,2846; 0,3795; 0,3795)</v>
      </c>
    </row>
    <row r="24" spans="1:13" x14ac:dyDescent="0.3">
      <c r="A24" t="s">
        <v>8</v>
      </c>
      <c r="B24" t="str">
        <f>VLOOKUP(B10,'Thang đánh giá'!$C$2:$D$27,2,FALSE)</f>
        <v>(0,1673; 0,251; 0,3347)</v>
      </c>
      <c r="C24" t="str">
        <f>VLOOKUP(C10,'Thang đánh giá'!$C$2:$D$27,2,FALSE)</f>
        <v>(0,0707; 0,1414; 0,2121)</v>
      </c>
      <c r="D24" t="str">
        <f>VLOOKUP(D10,'Thang đánh giá'!$C$2:$D$27,2,FALSE)</f>
        <v>(0; 0; 0,0707)</v>
      </c>
      <c r="E24" t="str">
        <f>VLOOKUP(E10,'Thang đánh giá'!$C$2:$D$27,2,FALSE)</f>
        <v>(0; 0,0837; 0,1673)</v>
      </c>
      <c r="F24" t="str">
        <f>VLOOKUP(F10,'Thang đánh giá'!$C$2:$D$27,2,FALSE)</f>
        <v>(0; 0; 0,0548)</v>
      </c>
      <c r="G24" t="str">
        <f>VLOOKUP(G10,'Thang đánh giá'!$C$2:$D$27,2,FALSE)</f>
        <v>(0; 0; 0,0316)</v>
      </c>
      <c r="H24" t="str">
        <f>VLOOKUP(H10,'Thang đánh giá'!$C$2:$D$27,2,FALSE)</f>
        <v>(0,1673; 0,251; 0,3347)</v>
      </c>
      <c r="I24" t="str">
        <f>VLOOKUP(I10,'Thang đánh giá'!$C$2:$D$27,2,FALSE)</f>
        <v>(0; 0; 0,0707)</v>
      </c>
      <c r="J24" t="str">
        <f>VLOOKUP(J10,'Thang đánh giá'!$C$2:$D$27,2,FALSE)</f>
        <v>(0; 0; 0)</v>
      </c>
      <c r="K24" t="str">
        <f>VLOOKUP(K10,'Thang đánh giá'!$C$2:$D$27,2,FALSE)</f>
        <v>(0,251; 0,3347; 0,3347)</v>
      </c>
      <c r="L24" t="str">
        <f>VLOOKUP(L10,'Thang đánh giá'!$C$2:$D$27,2,FALSE)</f>
        <v>(0,1673; 0,251; 0,3347)</v>
      </c>
      <c r="M24" t="str">
        <f>VLOOKUP(M10,'Thang đánh giá'!$C$2:$D$27,2,FALSE)</f>
        <v>(0,1673; 0,251; 0,3347)</v>
      </c>
    </row>
    <row r="25" spans="1:13" x14ac:dyDescent="0.3">
      <c r="A25" t="s">
        <v>9</v>
      </c>
      <c r="B25" t="str">
        <f>VLOOKUP(B11,'Thang đánh giá'!$C$2:$D$27,2,FALSE)</f>
        <v>(0,0707; 0,1414; 0,2121)</v>
      </c>
      <c r="C25" t="str">
        <f>VLOOKUP(C11,'Thang đánh giá'!$C$2:$D$27,2,FALSE)</f>
        <v>(0; 0,0316; 0,0632)</v>
      </c>
      <c r="D25" t="str">
        <f>VLOOKUP(D11,'Thang đánh giá'!$C$2:$D$27,2,FALSE)</f>
        <v>(0; 0,0316; 0,0632)</v>
      </c>
      <c r="E25" t="str">
        <f>VLOOKUP(E11,'Thang đánh giá'!$C$2:$D$27,2,FALSE)</f>
        <v>(0; 0; 0,0316)</v>
      </c>
      <c r="F25" t="str">
        <f>VLOOKUP(F11,'Thang đánh giá'!$C$2:$D$27,2,FALSE)</f>
        <v>(0; 0,0548; 0,1095)</v>
      </c>
      <c r="G25" t="str">
        <f>VLOOKUP(G11,'Thang đánh giá'!$C$2:$D$27,2,FALSE)</f>
        <v>(0; 0; 0,0548)</v>
      </c>
      <c r="H25" t="str">
        <f>VLOOKUP(H11,'Thang đánh giá'!$C$2:$D$27,2,FALSE)</f>
        <v>(0; 0,0316; 0,0632)</v>
      </c>
      <c r="I25" t="str">
        <f>VLOOKUP(I11,'Thang đánh giá'!$C$2:$D$27,2,FALSE)</f>
        <v>(0; 0,0707; 0,1414)</v>
      </c>
      <c r="J25" t="str">
        <f>VLOOKUP(J11,'Thang đánh giá'!$C$2:$D$27,2,FALSE)</f>
        <v>(0,0707; 0,1414; 0,2121)</v>
      </c>
      <c r="K25" t="str">
        <f>VLOOKUP(K11,'Thang đánh giá'!$C$2:$D$27,2,FALSE)</f>
        <v>(0; 0; 0)</v>
      </c>
      <c r="L25" t="str">
        <f>VLOOKUP(L11,'Thang đánh giá'!$C$2:$D$27,2,FALSE)</f>
        <v>(0; 0; 0,0707)</v>
      </c>
      <c r="M25" t="str">
        <f>VLOOKUP(M11,'Thang đánh giá'!$C$2:$D$27,2,FALSE)</f>
        <v>(0; 0; 0,0316)</v>
      </c>
    </row>
    <row r="26" spans="1:13" x14ac:dyDescent="0.3">
      <c r="A26" t="s">
        <v>10</v>
      </c>
      <c r="B26" t="str">
        <f>VLOOKUP(B12,'Thang đánh giá'!$C$2:$D$27,2,FALSE)</f>
        <v>(0; 0,0548; 0,1095)</v>
      </c>
      <c r="C26" t="str">
        <f>VLOOKUP(C12,'Thang đánh giá'!$C$2:$D$27,2,FALSE)</f>
        <v>(0; 0,0707; 0,1414)</v>
      </c>
      <c r="D26" t="str">
        <f>VLOOKUP(D12,'Thang đánh giá'!$C$2:$D$27,2,FALSE)</f>
        <v>(0; 0; 0,0707)</v>
      </c>
      <c r="E26" t="str">
        <f>VLOOKUP(E12,'Thang đánh giá'!$C$2:$D$27,2,FALSE)</f>
        <v>(0,0707; 0,1414; 0,2121)</v>
      </c>
      <c r="F26" t="str">
        <f>VLOOKUP(F12,'Thang đánh giá'!$C$2:$D$27,2,FALSE)</f>
        <v>(0; 0,0707; 0,1414)</v>
      </c>
      <c r="G26" t="str">
        <f>VLOOKUP(G12,'Thang đánh giá'!$C$2:$D$27,2,FALSE)</f>
        <v>(0; 0,0837; 0,1673)</v>
      </c>
      <c r="H26" t="str">
        <f>VLOOKUP(H12,'Thang đánh giá'!$C$2:$D$27,2,FALSE)</f>
        <v>(0; 0; 0,0707)</v>
      </c>
      <c r="I26" t="str">
        <f>VLOOKUP(I12,'Thang đánh giá'!$C$2:$D$27,2,FALSE)</f>
        <v>(0; 0; 0,0316)</v>
      </c>
      <c r="J26" t="str">
        <f>VLOOKUP(J12,'Thang đánh giá'!$C$2:$D$27,2,FALSE)</f>
        <v>(0,0707; 0,1414; 0,2121)</v>
      </c>
      <c r="K26" t="str">
        <f>VLOOKUP(K12,'Thang đánh giá'!$C$2:$D$27,2,FALSE)</f>
        <v>(0; 0,0707; 0,1414)</v>
      </c>
      <c r="L26" t="str">
        <f>VLOOKUP(L12,'Thang đánh giá'!$C$2:$D$27,2,FALSE)</f>
        <v>(0; 0; 0)</v>
      </c>
      <c r="M26" t="str">
        <f>VLOOKUP(M12,'Thang đánh giá'!$C$2:$D$27,2,FALSE)</f>
        <v>(0,2846; 0,3795; 0,3795)</v>
      </c>
    </row>
    <row r="27" spans="1:13" x14ac:dyDescent="0.3">
      <c r="A27" t="s">
        <v>11</v>
      </c>
      <c r="B27" t="str">
        <f>VLOOKUP(B13,'Thang đánh giá'!$C$2:$D$27,2,FALSE)</f>
        <v>(0; 0,0707; 0,1414)</v>
      </c>
      <c r="C27" t="str">
        <f>VLOOKUP(C13,'Thang đánh giá'!$C$2:$D$27,2,FALSE)</f>
        <v>(0; 0,0316; 0,0632)</v>
      </c>
      <c r="D27" t="str">
        <f>VLOOKUP(D13,'Thang đánh giá'!$C$2:$D$27,2,FALSE)</f>
        <v>(0,0707; 0,1414; 0,2121)</v>
      </c>
      <c r="E27" t="str">
        <f>VLOOKUP(E13,'Thang đánh giá'!$C$2:$D$27,2,FALSE)</f>
        <v>(0; 0,0316; 0,0632)</v>
      </c>
      <c r="F27" t="str">
        <f>VLOOKUP(F13,'Thang đánh giá'!$C$2:$D$27,2,FALSE)</f>
        <v>(0; 0; 0,0707)</v>
      </c>
      <c r="G27" t="str">
        <f>VLOOKUP(G13,'Thang đánh giá'!$C$2:$D$27,2,FALSE)</f>
        <v>(0,0707; 0,1414; 0,2121)</v>
      </c>
      <c r="H27" t="str">
        <f>VLOOKUP(H13,'Thang đánh giá'!$C$2:$D$27,2,FALSE)</f>
        <v>(0; 0,0707; 0,1414)</v>
      </c>
      <c r="I27" t="str">
        <f>VLOOKUP(I13,'Thang đánh giá'!$C$2:$D$27,2,FALSE)</f>
        <v>(0; 0; 0,0707)</v>
      </c>
      <c r="J27" t="str">
        <f>VLOOKUP(J13,'Thang đánh giá'!$C$2:$D$27,2,FALSE)</f>
        <v>(0; 0; 0,0316)</v>
      </c>
      <c r="K27" t="str">
        <f>VLOOKUP(K13,'Thang đánh giá'!$C$2:$D$27,2,FALSE)</f>
        <v>(0,0707; 0,1414; 0,2121)</v>
      </c>
      <c r="L27" t="str">
        <f>VLOOKUP(L13,'Thang đánh giá'!$C$2:$D$27,2,FALSE)</f>
        <v>(0; 0,0707; 0,1414)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0.1673</v>
      </c>
      <c r="D30">
        <f t="shared" si="0"/>
        <v>0.18970000000000001</v>
      </c>
      <c r="E30">
        <f t="shared" si="0"/>
        <v>0</v>
      </c>
      <c r="F30">
        <f t="shared" si="0"/>
        <v>7.0699999999999999E-2</v>
      </c>
      <c r="G30">
        <f t="shared" si="0"/>
        <v>0</v>
      </c>
      <c r="H30">
        <f t="shared" si="0"/>
        <v>0</v>
      </c>
      <c r="I30">
        <f t="shared" si="0"/>
        <v>0</v>
      </c>
      <c r="J30">
        <f t="shared" si="0"/>
        <v>0.1673</v>
      </c>
      <c r="K30">
        <f t="shared" si="0"/>
        <v>0</v>
      </c>
      <c r="L30">
        <f t="shared" si="0"/>
        <v>0</v>
      </c>
      <c r="M30">
        <f t="shared" si="0"/>
        <v>0</v>
      </c>
    </row>
    <row r="31" spans="1:13" x14ac:dyDescent="0.3">
      <c r="A31" t="s">
        <v>1</v>
      </c>
      <c r="B31">
        <f t="shared" ref="B31:M41" si="1">_xlfn.NUMBERVALUE(MID(B17,2,FIND(";",B17,1)-2))</f>
        <v>7.0699999999999999E-2</v>
      </c>
      <c r="C31">
        <f t="shared" si="1"/>
        <v>0</v>
      </c>
      <c r="D31">
        <f t="shared" si="1"/>
        <v>0.251</v>
      </c>
      <c r="E31">
        <f t="shared" si="1"/>
        <v>0.28460000000000002</v>
      </c>
      <c r="F31">
        <f t="shared" si="1"/>
        <v>8.3699999999999997E-2</v>
      </c>
      <c r="G31">
        <f t="shared" si="1"/>
        <v>0.28460000000000002</v>
      </c>
      <c r="H31">
        <f t="shared" si="1"/>
        <v>0</v>
      </c>
      <c r="I31">
        <f t="shared" si="1"/>
        <v>0</v>
      </c>
      <c r="J31">
        <f t="shared" si="1"/>
        <v>0.1673</v>
      </c>
      <c r="K31">
        <f t="shared" si="1"/>
        <v>0.251</v>
      </c>
      <c r="L31">
        <f t="shared" si="1"/>
        <v>0.28460000000000002</v>
      </c>
      <c r="M31">
        <f t="shared" si="1"/>
        <v>0.18970000000000001</v>
      </c>
    </row>
    <row r="32" spans="1:13" x14ac:dyDescent="0.3">
      <c r="A32" t="s">
        <v>2</v>
      </c>
      <c r="B32">
        <f t="shared" si="1"/>
        <v>0</v>
      </c>
      <c r="C32">
        <f t="shared" si="1"/>
        <v>0</v>
      </c>
      <c r="D32">
        <f t="shared" si="1"/>
        <v>0</v>
      </c>
      <c r="E32">
        <f t="shared" si="1"/>
        <v>7.0699999999999999E-2</v>
      </c>
      <c r="F32">
        <f t="shared" si="1"/>
        <v>0</v>
      </c>
      <c r="G32">
        <f t="shared" si="1"/>
        <v>7.0699999999999999E-2</v>
      </c>
      <c r="H32">
        <f t="shared" si="1"/>
        <v>0</v>
      </c>
      <c r="I32">
        <f t="shared" si="1"/>
        <v>0</v>
      </c>
      <c r="J32">
        <f t="shared" si="1"/>
        <v>0.28460000000000002</v>
      </c>
      <c r="K32">
        <f t="shared" si="1"/>
        <v>0.28460000000000002</v>
      </c>
      <c r="L32">
        <f t="shared" si="1"/>
        <v>0.18970000000000001</v>
      </c>
      <c r="M32">
        <f t="shared" si="1"/>
        <v>0.28460000000000002</v>
      </c>
    </row>
    <row r="33" spans="1:13" x14ac:dyDescent="0.3">
      <c r="A33" t="s">
        <v>3</v>
      </c>
      <c r="B33">
        <f t="shared" si="1"/>
        <v>0</v>
      </c>
      <c r="C33">
        <f t="shared" si="1"/>
        <v>8.3699999999999997E-2</v>
      </c>
      <c r="D33">
        <f t="shared" si="1"/>
        <v>0</v>
      </c>
      <c r="E33">
        <f t="shared" si="1"/>
        <v>0</v>
      </c>
      <c r="F33">
        <f t="shared" si="1"/>
        <v>0</v>
      </c>
      <c r="G33">
        <f t="shared" si="1"/>
        <v>0</v>
      </c>
      <c r="H33">
        <f t="shared" si="1"/>
        <v>0.1673</v>
      </c>
      <c r="I33">
        <f t="shared" si="1"/>
        <v>0</v>
      </c>
      <c r="J33">
        <f t="shared" si="1"/>
        <v>0.28460000000000002</v>
      </c>
      <c r="K33">
        <f t="shared" si="1"/>
        <v>0</v>
      </c>
      <c r="L33">
        <f t="shared" si="1"/>
        <v>0.1673</v>
      </c>
      <c r="M33">
        <f t="shared" si="1"/>
        <v>0.28460000000000002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0</v>
      </c>
      <c r="D34">
        <f t="shared" si="2"/>
        <v>0</v>
      </c>
      <c r="E34">
        <f t="shared" si="2"/>
        <v>0</v>
      </c>
      <c r="F34">
        <f t="shared" si="2"/>
        <v>0</v>
      </c>
      <c r="G34">
        <f t="shared" si="2"/>
        <v>0.251</v>
      </c>
      <c r="H34">
        <f t="shared" si="2"/>
        <v>0</v>
      </c>
      <c r="I34">
        <f t="shared" si="2"/>
        <v>0</v>
      </c>
      <c r="J34">
        <f t="shared" si="2"/>
        <v>0.251</v>
      </c>
      <c r="K34">
        <f t="shared" si="2"/>
        <v>0.18970000000000001</v>
      </c>
      <c r="L34">
        <f t="shared" si="2"/>
        <v>7.0699999999999999E-2</v>
      </c>
      <c r="M34">
        <f t="shared" si="2"/>
        <v>0</v>
      </c>
    </row>
    <row r="35" spans="1:13" x14ac:dyDescent="0.3">
      <c r="A35" t="s">
        <v>5</v>
      </c>
      <c r="B35">
        <f t="shared" si="1"/>
        <v>0</v>
      </c>
      <c r="C35">
        <f t="shared" si="1"/>
        <v>0</v>
      </c>
      <c r="D35">
        <f t="shared" si="1"/>
        <v>0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0</v>
      </c>
      <c r="J35">
        <f t="shared" si="1"/>
        <v>0.251</v>
      </c>
      <c r="K35">
        <f t="shared" si="1"/>
        <v>0</v>
      </c>
      <c r="L35">
        <f t="shared" si="1"/>
        <v>0</v>
      </c>
      <c r="M35">
        <f t="shared" si="1"/>
        <v>0</v>
      </c>
    </row>
    <row r="36" spans="1:13" x14ac:dyDescent="0.3">
      <c r="A36" t="s">
        <v>6</v>
      </c>
      <c r="B36">
        <f t="shared" si="1"/>
        <v>0</v>
      </c>
      <c r="C36">
        <f t="shared" si="1"/>
        <v>0</v>
      </c>
      <c r="D36">
        <f t="shared" si="1"/>
        <v>7.0699999999999999E-2</v>
      </c>
      <c r="E36">
        <f t="shared" si="1"/>
        <v>0</v>
      </c>
      <c r="F36">
        <f t="shared" si="1"/>
        <v>0</v>
      </c>
      <c r="G36">
        <f t="shared" si="1"/>
        <v>0</v>
      </c>
      <c r="H36">
        <f t="shared" si="1"/>
        <v>0</v>
      </c>
      <c r="I36">
        <f t="shared" si="1"/>
        <v>0</v>
      </c>
      <c r="J36">
        <f t="shared" si="1"/>
        <v>0</v>
      </c>
      <c r="K36">
        <f t="shared" si="1"/>
        <v>0</v>
      </c>
      <c r="L36">
        <f t="shared" si="1"/>
        <v>0</v>
      </c>
      <c r="M36">
        <f t="shared" si="1"/>
        <v>0</v>
      </c>
    </row>
    <row r="37" spans="1:13" x14ac:dyDescent="0.3">
      <c r="A37" t="s">
        <v>7</v>
      </c>
      <c r="B37">
        <f t="shared" si="1"/>
        <v>0</v>
      </c>
      <c r="C37">
        <f t="shared" si="1"/>
        <v>0</v>
      </c>
      <c r="D37">
        <f t="shared" si="1"/>
        <v>0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0</v>
      </c>
      <c r="K37">
        <f t="shared" si="1"/>
        <v>0.251</v>
      </c>
      <c r="L37">
        <f t="shared" si="1"/>
        <v>0.28460000000000002</v>
      </c>
      <c r="M37">
        <f t="shared" si="1"/>
        <v>0.28460000000000002</v>
      </c>
    </row>
    <row r="38" spans="1:13" x14ac:dyDescent="0.3">
      <c r="A38" t="s">
        <v>8</v>
      </c>
      <c r="B38">
        <f t="shared" si="1"/>
        <v>0.1673</v>
      </c>
      <c r="C38">
        <f t="shared" si="1"/>
        <v>7.0699999999999999E-2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0.1673</v>
      </c>
      <c r="I38">
        <f t="shared" si="1"/>
        <v>0</v>
      </c>
      <c r="J38">
        <f t="shared" si="1"/>
        <v>0</v>
      </c>
      <c r="K38">
        <f t="shared" si="1"/>
        <v>0.251</v>
      </c>
      <c r="L38">
        <f t="shared" si="1"/>
        <v>0.1673</v>
      </c>
      <c r="M38">
        <f t="shared" si="1"/>
        <v>0.1673</v>
      </c>
    </row>
    <row r="39" spans="1:13" x14ac:dyDescent="0.3">
      <c r="A39" t="s">
        <v>9</v>
      </c>
      <c r="B39">
        <f t="shared" si="1"/>
        <v>7.0699999999999999E-2</v>
      </c>
      <c r="C39">
        <f t="shared" si="1"/>
        <v>0</v>
      </c>
      <c r="D39">
        <f t="shared" si="1"/>
        <v>0</v>
      </c>
      <c r="E39">
        <f t="shared" si="1"/>
        <v>0</v>
      </c>
      <c r="F39">
        <f t="shared" si="1"/>
        <v>0</v>
      </c>
      <c r="G39">
        <f t="shared" si="1"/>
        <v>0</v>
      </c>
      <c r="H39">
        <f t="shared" si="1"/>
        <v>0</v>
      </c>
      <c r="I39">
        <f t="shared" si="1"/>
        <v>0</v>
      </c>
      <c r="J39">
        <f t="shared" si="1"/>
        <v>7.0699999999999999E-2</v>
      </c>
      <c r="K39">
        <f t="shared" si="1"/>
        <v>0</v>
      </c>
      <c r="L39">
        <f t="shared" si="1"/>
        <v>0</v>
      </c>
      <c r="M39">
        <f t="shared" si="1"/>
        <v>0</v>
      </c>
    </row>
    <row r="40" spans="1:13" x14ac:dyDescent="0.3">
      <c r="A40" t="s">
        <v>10</v>
      </c>
      <c r="B40">
        <f t="shared" si="1"/>
        <v>0</v>
      </c>
      <c r="C40">
        <f t="shared" si="1"/>
        <v>0</v>
      </c>
      <c r="D40">
        <f t="shared" si="1"/>
        <v>0</v>
      </c>
      <c r="E40">
        <f t="shared" si="1"/>
        <v>7.0699999999999999E-2</v>
      </c>
      <c r="F40">
        <f t="shared" si="1"/>
        <v>0</v>
      </c>
      <c r="G40">
        <f t="shared" si="1"/>
        <v>0</v>
      </c>
      <c r="H40">
        <f t="shared" si="1"/>
        <v>0</v>
      </c>
      <c r="I40">
        <f t="shared" si="1"/>
        <v>0</v>
      </c>
      <c r="J40">
        <f t="shared" si="1"/>
        <v>7.0699999999999999E-2</v>
      </c>
      <c r="K40">
        <f t="shared" si="1"/>
        <v>0</v>
      </c>
      <c r="L40">
        <f t="shared" si="1"/>
        <v>0</v>
      </c>
      <c r="M40">
        <f t="shared" si="1"/>
        <v>0.28460000000000002</v>
      </c>
    </row>
    <row r="41" spans="1:13" x14ac:dyDescent="0.3">
      <c r="A41" t="s">
        <v>11</v>
      </c>
      <c r="B41">
        <f t="shared" si="1"/>
        <v>0</v>
      </c>
      <c r="C41">
        <f t="shared" si="1"/>
        <v>0</v>
      </c>
      <c r="D41">
        <f t="shared" si="1"/>
        <v>7.0699999999999999E-2</v>
      </c>
      <c r="E41">
        <f t="shared" si="1"/>
        <v>0</v>
      </c>
      <c r="F41">
        <f t="shared" si="1"/>
        <v>0</v>
      </c>
      <c r="G41">
        <f t="shared" si="1"/>
        <v>7.0699999999999999E-2</v>
      </c>
      <c r="H41">
        <f t="shared" si="1"/>
        <v>0</v>
      </c>
      <c r="I41">
        <f t="shared" si="1"/>
        <v>0</v>
      </c>
      <c r="J41">
        <f t="shared" si="1"/>
        <v>0</v>
      </c>
      <c r="K41">
        <f t="shared" si="1"/>
        <v>7.0699999999999999E-2</v>
      </c>
      <c r="L41">
        <f t="shared" si="1"/>
        <v>0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0.251</v>
      </c>
      <c r="D44">
        <f t="shared" si="3"/>
        <v>0.28460000000000002</v>
      </c>
      <c r="E44">
        <f t="shared" si="3"/>
        <v>0</v>
      </c>
      <c r="F44">
        <f t="shared" si="3"/>
        <v>0.1414</v>
      </c>
      <c r="G44">
        <f t="shared" si="3"/>
        <v>0</v>
      </c>
      <c r="H44">
        <f t="shared" si="3"/>
        <v>0</v>
      </c>
      <c r="I44">
        <f t="shared" si="3"/>
        <v>7.0699999999999999E-2</v>
      </c>
      <c r="J44">
        <f t="shared" si="3"/>
        <v>0.251</v>
      </c>
      <c r="K44">
        <f t="shared" si="3"/>
        <v>0</v>
      </c>
      <c r="L44">
        <f t="shared" si="3"/>
        <v>7.0699999999999999E-2</v>
      </c>
      <c r="M44">
        <f t="shared" si="3"/>
        <v>7.0699999999999999E-2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0.1414</v>
      </c>
      <c r="C45">
        <f t="shared" si="4"/>
        <v>0</v>
      </c>
      <c r="D45">
        <f t="shared" si="4"/>
        <v>0.3347</v>
      </c>
      <c r="E45">
        <f t="shared" si="4"/>
        <v>0.3795</v>
      </c>
      <c r="F45">
        <f t="shared" si="4"/>
        <v>0.1673</v>
      </c>
      <c r="G45">
        <f t="shared" si="4"/>
        <v>0.3795</v>
      </c>
      <c r="H45">
        <f t="shared" si="4"/>
        <v>0</v>
      </c>
      <c r="I45">
        <f t="shared" si="4"/>
        <v>7.0699999999999999E-2</v>
      </c>
      <c r="J45">
        <f t="shared" si="4"/>
        <v>0.251</v>
      </c>
      <c r="K45">
        <f t="shared" si="4"/>
        <v>0.3347</v>
      </c>
      <c r="L45">
        <f t="shared" si="4"/>
        <v>0.3795</v>
      </c>
      <c r="M45">
        <f t="shared" si="4"/>
        <v>0.28460000000000002</v>
      </c>
    </row>
    <row r="46" spans="1:13" x14ac:dyDescent="0.3">
      <c r="A46" t="s">
        <v>2</v>
      </c>
      <c r="B46">
        <f t="shared" si="4"/>
        <v>5.4800000000000001E-2</v>
      </c>
      <c r="C46">
        <f t="shared" si="4"/>
        <v>0</v>
      </c>
      <c r="D46">
        <f t="shared" si="4"/>
        <v>0</v>
      </c>
      <c r="E46">
        <f t="shared" si="4"/>
        <v>0.1414</v>
      </c>
      <c r="F46">
        <f t="shared" si="4"/>
        <v>0</v>
      </c>
      <c r="G46">
        <f t="shared" si="4"/>
        <v>0.1414</v>
      </c>
      <c r="H46">
        <f t="shared" si="4"/>
        <v>5.4800000000000001E-2</v>
      </c>
      <c r="I46">
        <f t="shared" si="4"/>
        <v>0</v>
      </c>
      <c r="J46">
        <f t="shared" si="4"/>
        <v>0.3795</v>
      </c>
      <c r="K46">
        <f t="shared" si="4"/>
        <v>0.3795</v>
      </c>
      <c r="L46">
        <f t="shared" si="4"/>
        <v>0.28460000000000002</v>
      </c>
      <c r="M46">
        <f t="shared" si="4"/>
        <v>0.3795</v>
      </c>
    </row>
    <row r="47" spans="1:13" x14ac:dyDescent="0.3">
      <c r="A47" t="s">
        <v>3</v>
      </c>
      <c r="B47">
        <f t="shared" si="4"/>
        <v>7.0699999999999999E-2</v>
      </c>
      <c r="C47">
        <f t="shared" si="4"/>
        <v>0.1673</v>
      </c>
      <c r="D47">
        <f t="shared" si="4"/>
        <v>0</v>
      </c>
      <c r="E47">
        <f t="shared" si="4"/>
        <v>0</v>
      </c>
      <c r="F47">
        <f t="shared" si="4"/>
        <v>7.0699999999999999E-2</v>
      </c>
      <c r="G47">
        <f t="shared" si="4"/>
        <v>0</v>
      </c>
      <c r="H47">
        <f t="shared" si="4"/>
        <v>0.251</v>
      </c>
      <c r="I47">
        <f t="shared" si="4"/>
        <v>8.3699999999999997E-2</v>
      </c>
      <c r="J47">
        <f t="shared" si="4"/>
        <v>0.3795</v>
      </c>
      <c r="K47">
        <f t="shared" si="4"/>
        <v>0</v>
      </c>
      <c r="L47">
        <f t="shared" si="4"/>
        <v>0.251</v>
      </c>
      <c r="M47">
        <f t="shared" si="4"/>
        <v>0.3795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7.0699999999999999E-2</v>
      </c>
      <c r="C48">
        <f t="shared" si="5"/>
        <v>7.0699999999999999E-2</v>
      </c>
      <c r="D48">
        <f t="shared" si="5"/>
        <v>5.4800000000000001E-2</v>
      </c>
      <c r="E48">
        <f t="shared" si="5"/>
        <v>0</v>
      </c>
      <c r="F48">
        <f t="shared" si="5"/>
        <v>0</v>
      </c>
      <c r="G48">
        <f t="shared" si="5"/>
        <v>0.3347</v>
      </c>
      <c r="H48">
        <f t="shared" si="5"/>
        <v>7.0699999999999999E-2</v>
      </c>
      <c r="I48">
        <f t="shared" si="5"/>
        <v>7.0699999999999999E-2</v>
      </c>
      <c r="J48">
        <f t="shared" si="5"/>
        <v>0.3347</v>
      </c>
      <c r="K48">
        <f t="shared" si="5"/>
        <v>0.28460000000000002</v>
      </c>
      <c r="L48">
        <f t="shared" si="5"/>
        <v>0.1414</v>
      </c>
      <c r="M48">
        <f t="shared" si="5"/>
        <v>5.4800000000000001E-2</v>
      </c>
    </row>
    <row r="49" spans="1:13" x14ac:dyDescent="0.3">
      <c r="A49" t="s">
        <v>5</v>
      </c>
      <c r="B49">
        <f t="shared" si="4"/>
        <v>5.4800000000000001E-2</v>
      </c>
      <c r="C49">
        <f t="shared" si="4"/>
        <v>5.4800000000000001E-2</v>
      </c>
      <c r="D49">
        <f t="shared" si="4"/>
        <v>0</v>
      </c>
      <c r="E49">
        <f t="shared" si="4"/>
        <v>0</v>
      </c>
      <c r="F49">
        <f t="shared" si="4"/>
        <v>5.4800000000000001E-2</v>
      </c>
      <c r="G49">
        <f t="shared" si="4"/>
        <v>0</v>
      </c>
      <c r="H49">
        <f t="shared" si="4"/>
        <v>7.0699999999999999E-2</v>
      </c>
      <c r="I49">
        <f t="shared" si="4"/>
        <v>7.0699999999999999E-2</v>
      </c>
      <c r="J49">
        <f t="shared" si="4"/>
        <v>0.3347</v>
      </c>
      <c r="K49">
        <f t="shared" si="4"/>
        <v>0</v>
      </c>
      <c r="L49">
        <f t="shared" si="4"/>
        <v>0</v>
      </c>
      <c r="M49">
        <f t="shared" si="4"/>
        <v>7.0699999999999999E-2</v>
      </c>
    </row>
    <row r="50" spans="1:13" x14ac:dyDescent="0.3">
      <c r="A50" t="s">
        <v>6</v>
      </c>
      <c r="B50">
        <f t="shared" si="4"/>
        <v>7.0699999999999999E-2</v>
      </c>
      <c r="C50">
        <f t="shared" si="4"/>
        <v>0</v>
      </c>
      <c r="D50">
        <f t="shared" si="4"/>
        <v>0.1414</v>
      </c>
      <c r="E50">
        <f t="shared" si="4"/>
        <v>3.1600000000000003E-2</v>
      </c>
      <c r="F50">
        <f t="shared" si="4"/>
        <v>0</v>
      </c>
      <c r="G50">
        <f t="shared" si="4"/>
        <v>7.0699999999999999E-2</v>
      </c>
      <c r="H50">
        <f t="shared" si="4"/>
        <v>0</v>
      </c>
      <c r="I50">
        <f t="shared" si="4"/>
        <v>5.4800000000000001E-2</v>
      </c>
      <c r="J50">
        <f t="shared" si="4"/>
        <v>0</v>
      </c>
      <c r="K50">
        <f t="shared" si="4"/>
        <v>0</v>
      </c>
      <c r="L50">
        <f t="shared" si="4"/>
        <v>0</v>
      </c>
      <c r="M50">
        <f t="shared" si="4"/>
        <v>8.3699999999999997E-2</v>
      </c>
    </row>
    <row r="51" spans="1:13" x14ac:dyDescent="0.3">
      <c r="A51" t="s">
        <v>7</v>
      </c>
      <c r="B51">
        <f t="shared" si="4"/>
        <v>5.4800000000000001E-2</v>
      </c>
      <c r="C51">
        <f t="shared" si="4"/>
        <v>0</v>
      </c>
      <c r="D51">
        <f t="shared" si="4"/>
        <v>0</v>
      </c>
      <c r="E51">
        <f t="shared" si="4"/>
        <v>0</v>
      </c>
      <c r="F51">
        <f t="shared" si="4"/>
        <v>0</v>
      </c>
      <c r="G51">
        <f t="shared" si="4"/>
        <v>0</v>
      </c>
      <c r="H51">
        <f t="shared" si="4"/>
        <v>0</v>
      </c>
      <c r="I51">
        <f t="shared" si="4"/>
        <v>0</v>
      </c>
      <c r="J51">
        <f t="shared" si="4"/>
        <v>0</v>
      </c>
      <c r="K51">
        <f t="shared" si="4"/>
        <v>0.3347</v>
      </c>
      <c r="L51">
        <f t="shared" si="4"/>
        <v>0.3795</v>
      </c>
      <c r="M51">
        <f t="shared" si="4"/>
        <v>0.3795</v>
      </c>
    </row>
    <row r="52" spans="1:13" x14ac:dyDescent="0.3">
      <c r="A52" t="s">
        <v>8</v>
      </c>
      <c r="B52">
        <f t="shared" si="4"/>
        <v>0.251</v>
      </c>
      <c r="C52">
        <f t="shared" si="4"/>
        <v>0.1414</v>
      </c>
      <c r="D52">
        <f t="shared" si="4"/>
        <v>0</v>
      </c>
      <c r="E52">
        <f t="shared" si="4"/>
        <v>8.3699999999999997E-2</v>
      </c>
      <c r="F52">
        <f t="shared" si="4"/>
        <v>0</v>
      </c>
      <c r="G52">
        <f t="shared" si="4"/>
        <v>0</v>
      </c>
      <c r="H52">
        <f t="shared" si="4"/>
        <v>0.251</v>
      </c>
      <c r="I52">
        <f t="shared" si="4"/>
        <v>0</v>
      </c>
      <c r="J52">
        <f t="shared" si="4"/>
        <v>0</v>
      </c>
      <c r="K52">
        <f t="shared" si="4"/>
        <v>0.3347</v>
      </c>
      <c r="L52">
        <f t="shared" si="4"/>
        <v>0.251</v>
      </c>
      <c r="M52">
        <f t="shared" si="4"/>
        <v>0.251</v>
      </c>
    </row>
    <row r="53" spans="1:13" x14ac:dyDescent="0.3">
      <c r="A53" t="s">
        <v>9</v>
      </c>
      <c r="B53">
        <f t="shared" si="4"/>
        <v>0.1414</v>
      </c>
      <c r="C53">
        <f t="shared" si="4"/>
        <v>3.1600000000000003E-2</v>
      </c>
      <c r="D53">
        <f t="shared" si="4"/>
        <v>3.1600000000000003E-2</v>
      </c>
      <c r="E53">
        <f t="shared" si="4"/>
        <v>0</v>
      </c>
      <c r="F53">
        <f t="shared" si="4"/>
        <v>5.4800000000000001E-2</v>
      </c>
      <c r="G53">
        <f t="shared" si="4"/>
        <v>0</v>
      </c>
      <c r="H53">
        <f t="shared" si="4"/>
        <v>3.1600000000000003E-2</v>
      </c>
      <c r="I53">
        <f t="shared" si="4"/>
        <v>7.0699999999999999E-2</v>
      </c>
      <c r="J53">
        <f t="shared" si="4"/>
        <v>0.1414</v>
      </c>
      <c r="K53">
        <f t="shared" si="4"/>
        <v>0</v>
      </c>
      <c r="L53">
        <f t="shared" si="4"/>
        <v>0</v>
      </c>
      <c r="M53">
        <f t="shared" si="4"/>
        <v>0</v>
      </c>
    </row>
    <row r="54" spans="1:13" x14ac:dyDescent="0.3">
      <c r="A54" t="s">
        <v>10</v>
      </c>
      <c r="B54">
        <f t="shared" si="4"/>
        <v>5.4800000000000001E-2</v>
      </c>
      <c r="C54">
        <f t="shared" si="4"/>
        <v>7.0699999999999999E-2</v>
      </c>
      <c r="D54">
        <f t="shared" si="4"/>
        <v>0</v>
      </c>
      <c r="E54">
        <f t="shared" si="4"/>
        <v>0.1414</v>
      </c>
      <c r="F54">
        <f t="shared" si="4"/>
        <v>7.0699999999999999E-2</v>
      </c>
      <c r="G54">
        <f t="shared" si="4"/>
        <v>8.3699999999999997E-2</v>
      </c>
      <c r="H54">
        <f t="shared" si="4"/>
        <v>0</v>
      </c>
      <c r="I54">
        <f t="shared" si="4"/>
        <v>0</v>
      </c>
      <c r="J54">
        <f t="shared" si="4"/>
        <v>0.1414</v>
      </c>
      <c r="K54">
        <f t="shared" si="4"/>
        <v>7.0699999999999999E-2</v>
      </c>
      <c r="L54">
        <f t="shared" si="4"/>
        <v>0</v>
      </c>
      <c r="M54">
        <f t="shared" si="4"/>
        <v>0.3795</v>
      </c>
    </row>
    <row r="55" spans="1:13" x14ac:dyDescent="0.3">
      <c r="A55" t="s">
        <v>11</v>
      </c>
      <c r="B55">
        <f t="shared" si="4"/>
        <v>7.0699999999999999E-2</v>
      </c>
      <c r="C55">
        <f t="shared" si="4"/>
        <v>3.1600000000000003E-2</v>
      </c>
      <c r="D55">
        <f t="shared" si="4"/>
        <v>0.1414</v>
      </c>
      <c r="E55">
        <f t="shared" si="4"/>
        <v>3.1600000000000003E-2</v>
      </c>
      <c r="F55">
        <f t="shared" si="4"/>
        <v>0</v>
      </c>
      <c r="G55">
        <f t="shared" si="4"/>
        <v>0.1414</v>
      </c>
      <c r="H55">
        <f t="shared" si="4"/>
        <v>7.0699999999999999E-2</v>
      </c>
      <c r="I55">
        <f t="shared" si="4"/>
        <v>0</v>
      </c>
      <c r="J55">
        <f t="shared" si="4"/>
        <v>0</v>
      </c>
      <c r="K55">
        <f t="shared" si="4"/>
        <v>0.1414</v>
      </c>
      <c r="L55">
        <f t="shared" si="4"/>
        <v>7.0699999999999999E-2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0.3347</v>
      </c>
      <c r="D58">
        <f t="shared" si="6"/>
        <v>0.3795</v>
      </c>
      <c r="E58">
        <f t="shared" si="6"/>
        <v>7.0699999999999999E-2</v>
      </c>
      <c r="F58">
        <f t="shared" si="6"/>
        <v>0.21210000000000001</v>
      </c>
      <c r="G58">
        <f t="shared" si="6"/>
        <v>5.4800000000000001E-2</v>
      </c>
      <c r="H58">
        <f t="shared" si="6"/>
        <v>7.0699999999999999E-2</v>
      </c>
      <c r="I58">
        <f t="shared" si="6"/>
        <v>0.1414</v>
      </c>
      <c r="J58">
        <f t="shared" si="6"/>
        <v>0.3347</v>
      </c>
      <c r="K58">
        <f t="shared" si="6"/>
        <v>7.0699999999999999E-2</v>
      </c>
      <c r="L58">
        <f t="shared" si="6"/>
        <v>0.1414</v>
      </c>
      <c r="M58">
        <f t="shared" si="6"/>
        <v>0.1414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0.21210000000000001</v>
      </c>
      <c r="C59">
        <f t="shared" si="7"/>
        <v>0</v>
      </c>
      <c r="D59">
        <f t="shared" si="7"/>
        <v>0.3347</v>
      </c>
      <c r="E59">
        <f t="shared" si="7"/>
        <v>0.3795</v>
      </c>
      <c r="F59">
        <f t="shared" si="7"/>
        <v>0.251</v>
      </c>
      <c r="G59">
        <f t="shared" si="7"/>
        <v>0.3795</v>
      </c>
      <c r="H59">
        <f t="shared" si="7"/>
        <v>7.0699999999999999E-2</v>
      </c>
      <c r="I59">
        <f t="shared" si="7"/>
        <v>0.1414</v>
      </c>
      <c r="J59">
        <f t="shared" si="7"/>
        <v>0.3347</v>
      </c>
      <c r="K59">
        <f t="shared" si="7"/>
        <v>0.3347</v>
      </c>
      <c r="L59">
        <f t="shared" si="7"/>
        <v>0.3795</v>
      </c>
      <c r="M59">
        <f t="shared" si="7"/>
        <v>0.3795</v>
      </c>
    </row>
    <row r="60" spans="1:13" x14ac:dyDescent="0.3">
      <c r="A60" t="s">
        <v>2</v>
      </c>
      <c r="B60">
        <f t="shared" si="7"/>
        <v>0.1095</v>
      </c>
      <c r="C60">
        <f t="shared" si="7"/>
        <v>7.0699999999999999E-2</v>
      </c>
      <c r="D60">
        <f t="shared" si="7"/>
        <v>0</v>
      </c>
      <c r="E60">
        <f t="shared" si="7"/>
        <v>0.21210000000000001</v>
      </c>
      <c r="F60">
        <f t="shared" si="7"/>
        <v>7.0699999999999999E-2</v>
      </c>
      <c r="G60">
        <f t="shared" si="7"/>
        <v>0.21210000000000001</v>
      </c>
      <c r="H60">
        <f t="shared" si="7"/>
        <v>0.1095</v>
      </c>
      <c r="I60">
        <f t="shared" si="7"/>
        <v>7.0699999999999999E-2</v>
      </c>
      <c r="J60">
        <f t="shared" si="7"/>
        <v>0.3795</v>
      </c>
      <c r="K60">
        <f t="shared" si="7"/>
        <v>0.3795</v>
      </c>
      <c r="L60">
        <f t="shared" si="7"/>
        <v>0.3795</v>
      </c>
      <c r="M60">
        <f t="shared" si="7"/>
        <v>0.3795</v>
      </c>
    </row>
    <row r="61" spans="1:13" x14ac:dyDescent="0.3">
      <c r="A61" t="s">
        <v>3</v>
      </c>
      <c r="B61">
        <f t="shared" si="7"/>
        <v>0.1414</v>
      </c>
      <c r="C61">
        <f t="shared" si="7"/>
        <v>0.251</v>
      </c>
      <c r="D61">
        <f t="shared" si="7"/>
        <v>8.3699999999999997E-2</v>
      </c>
      <c r="E61">
        <f t="shared" si="7"/>
        <v>0</v>
      </c>
      <c r="F61">
        <f t="shared" si="7"/>
        <v>0.1414</v>
      </c>
      <c r="G61">
        <f t="shared" si="7"/>
        <v>5.4800000000000001E-2</v>
      </c>
      <c r="H61">
        <f t="shared" si="7"/>
        <v>0.3347</v>
      </c>
      <c r="I61">
        <f t="shared" si="7"/>
        <v>0.1673</v>
      </c>
      <c r="J61">
        <f t="shared" si="7"/>
        <v>0.3795</v>
      </c>
      <c r="K61">
        <f t="shared" si="7"/>
        <v>7.0699999999999999E-2</v>
      </c>
      <c r="L61">
        <f t="shared" si="7"/>
        <v>0.3347</v>
      </c>
      <c r="M61">
        <f t="shared" si="7"/>
        <v>0.3795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0.1414</v>
      </c>
      <c r="C62">
        <f t="shared" si="8"/>
        <v>0.1414</v>
      </c>
      <c r="D62">
        <f t="shared" si="8"/>
        <v>0.1095</v>
      </c>
      <c r="E62">
        <f t="shared" si="8"/>
        <v>3.1600000000000003E-2</v>
      </c>
      <c r="F62">
        <f t="shared" si="8"/>
        <v>0</v>
      </c>
      <c r="G62">
        <f t="shared" si="8"/>
        <v>0.3347</v>
      </c>
      <c r="H62">
        <f t="shared" si="8"/>
        <v>0.1414</v>
      </c>
      <c r="I62">
        <f t="shared" si="8"/>
        <v>0.1414</v>
      </c>
      <c r="J62">
        <f t="shared" si="8"/>
        <v>0.3347</v>
      </c>
      <c r="K62">
        <f t="shared" si="8"/>
        <v>0.3795</v>
      </c>
      <c r="L62">
        <f t="shared" si="8"/>
        <v>0.21210000000000001</v>
      </c>
      <c r="M62">
        <f t="shared" si="8"/>
        <v>0.1095</v>
      </c>
    </row>
    <row r="63" spans="1:13" x14ac:dyDescent="0.3">
      <c r="A63" t="s">
        <v>5</v>
      </c>
      <c r="B63">
        <f t="shared" si="7"/>
        <v>0.1095</v>
      </c>
      <c r="C63">
        <f t="shared" si="7"/>
        <v>0.1095</v>
      </c>
      <c r="D63">
        <f t="shared" si="7"/>
        <v>7.0699999999999999E-2</v>
      </c>
      <c r="E63">
        <f t="shared" si="7"/>
        <v>3.1600000000000003E-2</v>
      </c>
      <c r="F63">
        <f t="shared" si="7"/>
        <v>0.1095</v>
      </c>
      <c r="G63">
        <f t="shared" si="7"/>
        <v>0</v>
      </c>
      <c r="H63">
        <f t="shared" si="7"/>
        <v>0.1414</v>
      </c>
      <c r="I63">
        <f t="shared" si="7"/>
        <v>0.1414</v>
      </c>
      <c r="J63">
        <f t="shared" si="7"/>
        <v>0.3347</v>
      </c>
      <c r="K63">
        <f t="shared" si="7"/>
        <v>5.4800000000000001E-2</v>
      </c>
      <c r="L63">
        <f t="shared" si="7"/>
        <v>7.0699999999999999E-2</v>
      </c>
      <c r="M63">
        <f t="shared" si="7"/>
        <v>0.1414</v>
      </c>
    </row>
    <row r="64" spans="1:13" x14ac:dyDescent="0.3">
      <c r="A64" t="s">
        <v>6</v>
      </c>
      <c r="B64">
        <f t="shared" si="7"/>
        <v>0.1414</v>
      </c>
      <c r="C64">
        <f t="shared" si="7"/>
        <v>5.4800000000000001E-2</v>
      </c>
      <c r="D64">
        <f t="shared" si="7"/>
        <v>0.21210000000000001</v>
      </c>
      <c r="E64">
        <f t="shared" si="7"/>
        <v>6.3200000000000006E-2</v>
      </c>
      <c r="F64">
        <f t="shared" si="7"/>
        <v>7.0699999999999999E-2</v>
      </c>
      <c r="G64">
        <f t="shared" si="7"/>
        <v>0.1414</v>
      </c>
      <c r="H64">
        <f t="shared" si="7"/>
        <v>0</v>
      </c>
      <c r="I64">
        <f t="shared" si="7"/>
        <v>0.1095</v>
      </c>
      <c r="J64">
        <f t="shared" si="7"/>
        <v>7.0699999999999999E-2</v>
      </c>
      <c r="K64">
        <f t="shared" si="7"/>
        <v>7.0699999999999999E-2</v>
      </c>
      <c r="L64">
        <f t="shared" si="7"/>
        <v>7.0699999999999999E-2</v>
      </c>
      <c r="M64">
        <f t="shared" si="7"/>
        <v>0.1673</v>
      </c>
    </row>
    <row r="65" spans="1:13" x14ac:dyDescent="0.3">
      <c r="A65" t="s">
        <v>7</v>
      </c>
      <c r="B65">
        <f t="shared" si="7"/>
        <v>0.1095</v>
      </c>
      <c r="C65">
        <f t="shared" si="7"/>
        <v>3.1600000000000003E-2</v>
      </c>
      <c r="D65">
        <f t="shared" si="7"/>
        <v>5.4800000000000001E-2</v>
      </c>
      <c r="E65">
        <f t="shared" si="7"/>
        <v>5.4800000000000001E-2</v>
      </c>
      <c r="F65">
        <f t="shared" si="7"/>
        <v>7.0699999999999999E-2</v>
      </c>
      <c r="G65">
        <f t="shared" si="7"/>
        <v>7.0699999999999999E-2</v>
      </c>
      <c r="H65">
        <f t="shared" si="7"/>
        <v>5.4800000000000001E-2</v>
      </c>
      <c r="I65">
        <f t="shared" si="7"/>
        <v>0</v>
      </c>
      <c r="J65">
        <f t="shared" si="7"/>
        <v>5.4800000000000001E-2</v>
      </c>
      <c r="K65">
        <f t="shared" si="7"/>
        <v>0.3347</v>
      </c>
      <c r="L65">
        <f t="shared" si="7"/>
        <v>0.3795</v>
      </c>
      <c r="M65">
        <f t="shared" si="7"/>
        <v>0.3795</v>
      </c>
    </row>
    <row r="66" spans="1:13" x14ac:dyDescent="0.3">
      <c r="A66" t="s">
        <v>8</v>
      </c>
      <c r="B66">
        <f t="shared" si="7"/>
        <v>0.3347</v>
      </c>
      <c r="C66">
        <f t="shared" si="7"/>
        <v>0.21210000000000001</v>
      </c>
      <c r="D66">
        <f t="shared" si="7"/>
        <v>7.0699999999999999E-2</v>
      </c>
      <c r="E66">
        <f t="shared" si="7"/>
        <v>0.1673</v>
      </c>
      <c r="F66">
        <f t="shared" si="7"/>
        <v>5.4800000000000001E-2</v>
      </c>
      <c r="G66">
        <f t="shared" si="7"/>
        <v>3.1600000000000003E-2</v>
      </c>
      <c r="H66">
        <f t="shared" si="7"/>
        <v>0.3347</v>
      </c>
      <c r="I66">
        <f t="shared" si="7"/>
        <v>7.0699999999999999E-2</v>
      </c>
      <c r="J66">
        <f t="shared" si="7"/>
        <v>0</v>
      </c>
      <c r="K66">
        <f t="shared" si="7"/>
        <v>0.3347</v>
      </c>
      <c r="L66">
        <f t="shared" si="7"/>
        <v>0.3347</v>
      </c>
      <c r="M66">
        <f t="shared" si="7"/>
        <v>0.3347</v>
      </c>
    </row>
    <row r="67" spans="1:13" x14ac:dyDescent="0.3">
      <c r="A67" t="s">
        <v>9</v>
      </c>
      <c r="B67">
        <f t="shared" si="7"/>
        <v>0.21210000000000001</v>
      </c>
      <c r="C67">
        <f t="shared" si="7"/>
        <v>6.3200000000000006E-2</v>
      </c>
      <c r="D67">
        <f t="shared" si="7"/>
        <v>6.3200000000000006E-2</v>
      </c>
      <c r="E67">
        <f t="shared" si="7"/>
        <v>3.1600000000000003E-2</v>
      </c>
      <c r="F67">
        <f t="shared" si="7"/>
        <v>0.1095</v>
      </c>
      <c r="G67">
        <f t="shared" si="7"/>
        <v>5.4800000000000001E-2</v>
      </c>
      <c r="H67">
        <f t="shared" si="7"/>
        <v>6.3200000000000006E-2</v>
      </c>
      <c r="I67">
        <f t="shared" si="7"/>
        <v>0.1414</v>
      </c>
      <c r="J67">
        <f t="shared" si="7"/>
        <v>0.21210000000000001</v>
      </c>
      <c r="K67">
        <f t="shared" si="7"/>
        <v>0</v>
      </c>
      <c r="L67">
        <f t="shared" si="7"/>
        <v>7.0699999999999999E-2</v>
      </c>
      <c r="M67">
        <f t="shared" si="7"/>
        <v>3.1600000000000003E-2</v>
      </c>
    </row>
    <row r="68" spans="1:13" x14ac:dyDescent="0.3">
      <c r="A68" t="s">
        <v>10</v>
      </c>
      <c r="B68">
        <f t="shared" si="7"/>
        <v>0.1095</v>
      </c>
      <c r="C68">
        <f t="shared" si="7"/>
        <v>0.1414</v>
      </c>
      <c r="D68">
        <f t="shared" si="7"/>
        <v>7.0699999999999999E-2</v>
      </c>
      <c r="E68">
        <f t="shared" si="7"/>
        <v>0.21210000000000001</v>
      </c>
      <c r="F68">
        <f t="shared" si="7"/>
        <v>0.1414</v>
      </c>
      <c r="G68">
        <f t="shared" si="7"/>
        <v>0.1673</v>
      </c>
      <c r="H68">
        <f t="shared" si="7"/>
        <v>7.0699999999999999E-2</v>
      </c>
      <c r="I68">
        <f t="shared" si="7"/>
        <v>3.1600000000000003E-2</v>
      </c>
      <c r="J68">
        <f t="shared" si="7"/>
        <v>0.21210000000000001</v>
      </c>
      <c r="K68">
        <f t="shared" si="7"/>
        <v>0.1414</v>
      </c>
      <c r="L68">
        <f t="shared" si="7"/>
        <v>0</v>
      </c>
      <c r="M68">
        <f t="shared" si="7"/>
        <v>0.3795</v>
      </c>
    </row>
    <row r="69" spans="1:13" x14ac:dyDescent="0.3">
      <c r="A69" t="s">
        <v>11</v>
      </c>
      <c r="B69">
        <f t="shared" si="7"/>
        <v>0.1414</v>
      </c>
      <c r="C69">
        <f t="shared" si="7"/>
        <v>6.3200000000000006E-2</v>
      </c>
      <c r="D69">
        <f t="shared" si="7"/>
        <v>0.21210000000000001</v>
      </c>
      <c r="E69">
        <f t="shared" si="7"/>
        <v>6.3200000000000006E-2</v>
      </c>
      <c r="F69">
        <f t="shared" si="7"/>
        <v>7.0699999999999999E-2</v>
      </c>
      <c r="G69">
        <f t="shared" si="7"/>
        <v>0.21210000000000001</v>
      </c>
      <c r="H69">
        <f t="shared" si="7"/>
        <v>0.1414</v>
      </c>
      <c r="I69">
        <f t="shared" si="7"/>
        <v>7.0699999999999999E-2</v>
      </c>
      <c r="J69">
        <f t="shared" si="7"/>
        <v>3.1600000000000003E-2</v>
      </c>
      <c r="K69">
        <f t="shared" si="7"/>
        <v>0.21210000000000001</v>
      </c>
      <c r="L69">
        <f t="shared" si="7"/>
        <v>0.1414</v>
      </c>
      <c r="M69">
        <f t="shared" si="7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/>
  <dimension ref="A1:M69"/>
  <sheetViews>
    <sheetView workbookViewId="0">
      <selection activeCell="A15" sqref="A15:M69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13</v>
      </c>
      <c r="D2" t="s">
        <v>21</v>
      </c>
      <c r="E2" t="s">
        <v>16</v>
      </c>
      <c r="F2" t="s">
        <v>21</v>
      </c>
      <c r="G2" t="s">
        <v>20</v>
      </c>
      <c r="H2" t="s">
        <v>15</v>
      </c>
      <c r="I2" t="s">
        <v>24</v>
      </c>
      <c r="J2" t="s">
        <v>13</v>
      </c>
      <c r="K2" t="s">
        <v>23</v>
      </c>
      <c r="L2" t="s">
        <v>16</v>
      </c>
      <c r="M2" t="s">
        <v>15</v>
      </c>
    </row>
    <row r="3" spans="1:13" x14ac:dyDescent="0.3">
      <c r="A3" s="1" t="s">
        <v>1</v>
      </c>
      <c r="B3" t="s">
        <v>22</v>
      </c>
      <c r="C3">
        <v>0</v>
      </c>
      <c r="D3" t="s">
        <v>13</v>
      </c>
      <c r="E3" t="s">
        <v>18</v>
      </c>
      <c r="F3" t="s">
        <v>24</v>
      </c>
      <c r="G3" t="s">
        <v>18</v>
      </c>
      <c r="H3" t="s">
        <v>25</v>
      </c>
      <c r="I3" t="s">
        <v>22</v>
      </c>
      <c r="J3" t="s">
        <v>18</v>
      </c>
      <c r="K3" t="s">
        <v>25</v>
      </c>
      <c r="L3" t="s">
        <v>15</v>
      </c>
      <c r="M3" t="s">
        <v>18</v>
      </c>
    </row>
    <row r="4" spans="1:13" x14ac:dyDescent="0.3">
      <c r="A4" s="1" t="s">
        <v>2</v>
      </c>
      <c r="B4" t="s">
        <v>16</v>
      </c>
      <c r="C4" t="s">
        <v>15</v>
      </c>
      <c r="D4">
        <v>0</v>
      </c>
      <c r="E4" t="s">
        <v>12</v>
      </c>
      <c r="F4" t="s">
        <v>20</v>
      </c>
      <c r="G4" t="s">
        <v>22</v>
      </c>
      <c r="H4" t="s">
        <v>12</v>
      </c>
      <c r="I4" t="s">
        <v>15</v>
      </c>
      <c r="J4" t="s">
        <v>18</v>
      </c>
      <c r="K4" t="s">
        <v>18</v>
      </c>
      <c r="L4" t="s">
        <v>12</v>
      </c>
      <c r="M4" t="s">
        <v>18</v>
      </c>
    </row>
    <row r="5" spans="1:13" x14ac:dyDescent="0.3">
      <c r="A5" s="1" t="s">
        <v>3</v>
      </c>
      <c r="B5" t="s">
        <v>24</v>
      </c>
      <c r="C5" t="s">
        <v>15</v>
      </c>
      <c r="D5" t="s">
        <v>71</v>
      </c>
      <c r="E5">
        <v>0</v>
      </c>
      <c r="F5" t="s">
        <v>21</v>
      </c>
      <c r="G5" t="s">
        <v>16</v>
      </c>
      <c r="H5" t="s">
        <v>13</v>
      </c>
      <c r="I5" t="s">
        <v>71</v>
      </c>
      <c r="J5" t="s">
        <v>18</v>
      </c>
      <c r="K5" t="s">
        <v>17</v>
      </c>
      <c r="L5" t="s">
        <v>12</v>
      </c>
      <c r="M5" t="s">
        <v>18</v>
      </c>
    </row>
    <row r="6" spans="1:13" x14ac:dyDescent="0.3">
      <c r="A6" s="1" t="s">
        <v>4</v>
      </c>
      <c r="B6" t="s">
        <v>20</v>
      </c>
      <c r="C6" t="s">
        <v>17</v>
      </c>
      <c r="D6" t="s">
        <v>16</v>
      </c>
      <c r="E6" t="s">
        <v>24</v>
      </c>
      <c r="F6">
        <v>0</v>
      </c>
      <c r="G6" t="s">
        <v>13</v>
      </c>
      <c r="H6" t="s">
        <v>16</v>
      </c>
      <c r="I6" t="s">
        <v>16</v>
      </c>
      <c r="J6" t="s">
        <v>25</v>
      </c>
      <c r="K6" t="s">
        <v>25</v>
      </c>
      <c r="L6" t="s">
        <v>24</v>
      </c>
      <c r="M6" t="s">
        <v>16</v>
      </c>
    </row>
    <row r="7" spans="1:13" x14ac:dyDescent="0.3">
      <c r="A7" s="1" t="s">
        <v>5</v>
      </c>
      <c r="B7" t="s">
        <v>24</v>
      </c>
      <c r="C7" t="s">
        <v>24</v>
      </c>
      <c r="D7" t="s">
        <v>23</v>
      </c>
      <c r="E7" t="s">
        <v>20</v>
      </c>
      <c r="F7" t="s">
        <v>17</v>
      </c>
      <c r="G7">
        <v>0</v>
      </c>
      <c r="H7" t="s">
        <v>23</v>
      </c>
      <c r="I7" t="s">
        <v>71</v>
      </c>
      <c r="J7" t="s">
        <v>18</v>
      </c>
      <c r="K7" t="s">
        <v>24</v>
      </c>
      <c r="L7" t="s">
        <v>15</v>
      </c>
      <c r="M7" t="s">
        <v>20</v>
      </c>
    </row>
    <row r="8" spans="1:13" x14ac:dyDescent="0.3">
      <c r="A8" s="1" t="s">
        <v>6</v>
      </c>
      <c r="B8" t="s">
        <v>22</v>
      </c>
      <c r="C8" t="s">
        <v>16</v>
      </c>
      <c r="D8" t="s">
        <v>20</v>
      </c>
      <c r="E8" t="s">
        <v>15</v>
      </c>
      <c r="F8" t="s">
        <v>24</v>
      </c>
      <c r="G8" t="s">
        <v>16</v>
      </c>
      <c r="H8">
        <v>0</v>
      </c>
      <c r="I8" t="s">
        <v>23</v>
      </c>
      <c r="J8" t="s">
        <v>15</v>
      </c>
      <c r="K8" t="s">
        <v>22</v>
      </c>
      <c r="L8" t="s">
        <v>71</v>
      </c>
      <c r="M8" t="s">
        <v>71</v>
      </c>
    </row>
    <row r="9" spans="1:13" x14ac:dyDescent="0.3">
      <c r="A9" s="1" t="s">
        <v>7</v>
      </c>
      <c r="B9" t="s">
        <v>20</v>
      </c>
      <c r="C9" t="s">
        <v>16</v>
      </c>
      <c r="D9" t="s">
        <v>24</v>
      </c>
      <c r="E9" t="s">
        <v>24</v>
      </c>
      <c r="F9" t="s">
        <v>21</v>
      </c>
      <c r="G9" t="s">
        <v>20</v>
      </c>
      <c r="H9" t="s">
        <v>15</v>
      </c>
      <c r="I9">
        <v>0</v>
      </c>
      <c r="J9" t="s">
        <v>13</v>
      </c>
      <c r="K9" t="s">
        <v>13</v>
      </c>
      <c r="L9" t="s">
        <v>13</v>
      </c>
      <c r="M9" t="s">
        <v>12</v>
      </c>
    </row>
    <row r="10" spans="1:13" x14ac:dyDescent="0.3">
      <c r="A10" s="1" t="s">
        <v>8</v>
      </c>
      <c r="B10" t="s">
        <v>21</v>
      </c>
      <c r="C10" t="s">
        <v>16</v>
      </c>
      <c r="D10" t="s">
        <v>24</v>
      </c>
      <c r="E10" t="s">
        <v>23</v>
      </c>
      <c r="F10" t="s">
        <v>71</v>
      </c>
      <c r="G10" t="s">
        <v>16</v>
      </c>
      <c r="H10" t="s">
        <v>13</v>
      </c>
      <c r="I10" t="s">
        <v>24</v>
      </c>
      <c r="J10">
        <v>0</v>
      </c>
      <c r="K10" t="s">
        <v>25</v>
      </c>
      <c r="L10" t="s">
        <v>18</v>
      </c>
      <c r="M10" t="s">
        <v>13</v>
      </c>
    </row>
    <row r="11" spans="1:13" x14ac:dyDescent="0.3">
      <c r="A11" s="1" t="s">
        <v>9</v>
      </c>
      <c r="B11" t="s">
        <v>15</v>
      </c>
      <c r="C11" t="s">
        <v>15</v>
      </c>
      <c r="D11" t="s">
        <v>22</v>
      </c>
      <c r="E11" t="s">
        <v>62</v>
      </c>
      <c r="F11" t="s">
        <v>16</v>
      </c>
      <c r="G11" t="s">
        <v>15</v>
      </c>
      <c r="H11" t="s">
        <v>16</v>
      </c>
      <c r="I11" t="s">
        <v>16</v>
      </c>
      <c r="J11" t="s">
        <v>15</v>
      </c>
      <c r="K11">
        <v>0</v>
      </c>
      <c r="L11" t="s">
        <v>16</v>
      </c>
      <c r="M11" t="s">
        <v>20</v>
      </c>
    </row>
    <row r="12" spans="1:13" x14ac:dyDescent="0.3">
      <c r="A12" s="1" t="s">
        <v>10</v>
      </c>
      <c r="B12" t="s">
        <v>22</v>
      </c>
      <c r="C12" t="s">
        <v>17</v>
      </c>
      <c r="D12" t="s">
        <v>16</v>
      </c>
      <c r="E12" t="s">
        <v>22</v>
      </c>
      <c r="F12" t="s">
        <v>15</v>
      </c>
      <c r="G12" t="s">
        <v>15</v>
      </c>
      <c r="H12" t="s">
        <v>15</v>
      </c>
      <c r="I12" t="s">
        <v>20</v>
      </c>
      <c r="J12" t="s">
        <v>24</v>
      </c>
      <c r="K12" t="s">
        <v>16</v>
      </c>
      <c r="L12">
        <v>0</v>
      </c>
      <c r="M12" t="s">
        <v>13</v>
      </c>
    </row>
    <row r="13" spans="1:13" x14ac:dyDescent="0.3">
      <c r="A13" s="1" t="s">
        <v>11</v>
      </c>
      <c r="B13" t="s">
        <v>20</v>
      </c>
      <c r="C13" t="s">
        <v>15</v>
      </c>
      <c r="D13" t="s">
        <v>16</v>
      </c>
      <c r="E13" t="s">
        <v>17</v>
      </c>
      <c r="F13" t="s">
        <v>22</v>
      </c>
      <c r="G13" t="s">
        <v>16</v>
      </c>
      <c r="H13" t="s">
        <v>71</v>
      </c>
      <c r="I13" t="s">
        <v>22</v>
      </c>
      <c r="J13" t="s">
        <v>15</v>
      </c>
      <c r="K13" t="s">
        <v>24</v>
      </c>
      <c r="L13" t="s">
        <v>23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(0,1897; 0,2846; 0,3795)</v>
      </c>
      <c r="D16" t="str">
        <f>VLOOKUP(D2,'Thang đánh giá'!$C$2:$D$27,2,FALSE)</f>
        <v>(0,0837; 0,1673; 0,251)</v>
      </c>
      <c r="E16" t="str">
        <f>VLOOKUP(E2,'Thang đánh giá'!$C$2:$D$27,2,FALSE)</f>
        <v>(0; 0; 0,0707)</v>
      </c>
      <c r="F16" t="str">
        <f>VLOOKUP(F2,'Thang đánh giá'!$C$2:$D$27,2,FALSE)</f>
        <v>(0,0837; 0,1673; 0,251)</v>
      </c>
      <c r="G16" t="str">
        <f>VLOOKUP(G2,'Thang đánh giá'!$C$2:$D$27,2,FALSE)</f>
        <v>(0; 0,0548; 0,1095)</v>
      </c>
      <c r="H16" t="str">
        <f>VLOOKUP(H2,'Thang đánh giá'!$C$2:$D$27,2,FALSE)</f>
        <v>(0; 0,0707; 0,1414)</v>
      </c>
      <c r="I16" t="str">
        <f>VLOOKUP(I2,'Thang đánh giá'!$C$2:$D$27,2,FALSE)</f>
        <v>(0; 0; 0,0548)</v>
      </c>
      <c r="J16" t="str">
        <f>VLOOKUP(J2,'Thang đánh giá'!$C$2:$D$27,2,FALSE)</f>
        <v>(0,1897; 0,2846; 0,3795)</v>
      </c>
      <c r="K16" t="str">
        <f>VLOOKUP(K2,'Thang đánh giá'!$C$2:$D$27,2,FALSE)</f>
        <v>(0; 0; 0,0316)</v>
      </c>
      <c r="L16" t="str">
        <f>VLOOKUP(L2,'Thang đánh giá'!$C$2:$D$27,2,FALSE)</f>
        <v>(0; 0; 0,0707)</v>
      </c>
      <c r="M16" t="str">
        <f>VLOOKUP(M2,'Thang đánh giá'!$C$2:$D$27,2,FALSE)</f>
        <v>(0; 0,0707; 0,1414)</v>
      </c>
    </row>
    <row r="17" spans="1:13" x14ac:dyDescent="0.3">
      <c r="A17" t="s">
        <v>1</v>
      </c>
      <c r="B17" t="str">
        <f>VLOOKUP(B3,'Thang đánh giá'!$C$2:$D$27,2,FALSE)</f>
        <v>(0,0707; 0,1414; 0,2121)</v>
      </c>
      <c r="C17" t="str">
        <f>VLOOKUP(C3,'Thang đánh giá'!$C$2:$D$27,2,FALSE)</f>
        <v>(0; 0; 0)</v>
      </c>
      <c r="D17" t="str">
        <f>VLOOKUP(D3,'Thang đánh giá'!$C$2:$D$27,2,FALSE)</f>
        <v>(0,1897; 0,2846; 0,3795)</v>
      </c>
      <c r="E17" t="str">
        <f>VLOOKUP(E3,'Thang đánh giá'!$C$2:$D$27,2,FALSE)</f>
        <v>(0,2846; 0,3795; 0,3795)</v>
      </c>
      <c r="F17" t="str">
        <f>VLOOKUP(F3,'Thang đánh giá'!$C$2:$D$27,2,FALSE)</f>
        <v>(0; 0; 0,0548)</v>
      </c>
      <c r="G17" t="str">
        <f>VLOOKUP(G3,'Thang đánh giá'!$C$2:$D$27,2,FALSE)</f>
        <v>(0,2846; 0,3795; 0,3795)</v>
      </c>
      <c r="H17" t="str">
        <f>VLOOKUP(H3,'Thang đánh giá'!$C$2:$D$27,2,FALSE)</f>
        <v>(0,251; 0,3347; 0,3347)</v>
      </c>
      <c r="I17" t="str">
        <f>VLOOKUP(I3,'Thang đánh giá'!$C$2:$D$27,2,FALSE)</f>
        <v>(0,0707; 0,1414; 0,2121)</v>
      </c>
      <c r="J17" t="str">
        <f>VLOOKUP(J3,'Thang đánh giá'!$C$2:$D$27,2,FALSE)</f>
        <v>(0,2846; 0,3795; 0,3795)</v>
      </c>
      <c r="K17" t="str">
        <f>VLOOKUP(K3,'Thang đánh giá'!$C$2:$D$27,2,FALSE)</f>
        <v>(0,251; 0,3347; 0,3347)</v>
      </c>
      <c r="L17" t="str">
        <f>VLOOKUP(L3,'Thang đánh giá'!$C$2:$D$27,2,FALSE)</f>
        <v>(0; 0,0707; 0,1414)</v>
      </c>
      <c r="M17" t="str">
        <f>VLOOKUP(M3,'Thang đánh giá'!$C$2:$D$27,2,FALSE)</f>
        <v>(0,2846; 0,3795; 0,3795)</v>
      </c>
    </row>
    <row r="18" spans="1:13" x14ac:dyDescent="0.3">
      <c r="A18" t="s">
        <v>2</v>
      </c>
      <c r="B18" t="str">
        <f>VLOOKUP(B4,'Thang đánh giá'!$C$2:$D$27,2,FALSE)</f>
        <v>(0; 0; 0,0707)</v>
      </c>
      <c r="C18" t="str">
        <f>VLOOKUP(C4,'Thang đánh giá'!$C$2:$D$27,2,FALSE)</f>
        <v>(0; 0,0707; 0,1414)</v>
      </c>
      <c r="D18" t="str">
        <f>VLOOKUP(D4,'Thang đánh giá'!$C$2:$D$27,2,FALSE)</f>
        <v>(0; 0; 0)</v>
      </c>
      <c r="E18" t="str">
        <f>VLOOKUP(E4,'Thang đánh giá'!$C$2:$D$27,2,FALSE)</f>
        <v>(0,1673; 0,251; 0,3347)</v>
      </c>
      <c r="F18" t="str">
        <f>VLOOKUP(F4,'Thang đánh giá'!$C$2:$D$27,2,FALSE)</f>
        <v>(0; 0,0548; 0,1095)</v>
      </c>
      <c r="G18" t="str">
        <f>VLOOKUP(G4,'Thang đánh giá'!$C$2:$D$27,2,FALSE)</f>
        <v>(0,0707; 0,1414; 0,2121)</v>
      </c>
      <c r="H18" t="str">
        <f>VLOOKUP(H4,'Thang đánh giá'!$C$2:$D$27,2,FALSE)</f>
        <v>(0,1673; 0,251; 0,3347)</v>
      </c>
      <c r="I18" t="str">
        <f>VLOOKUP(I4,'Thang đánh giá'!$C$2:$D$27,2,FALSE)</f>
        <v>(0; 0,0707; 0,1414)</v>
      </c>
      <c r="J18" t="str">
        <f>VLOOKUP(J4,'Thang đánh giá'!$C$2:$D$27,2,FALSE)</f>
        <v>(0,2846; 0,3795; 0,3795)</v>
      </c>
      <c r="K18" t="str">
        <f>VLOOKUP(K4,'Thang đánh giá'!$C$2:$D$27,2,FALSE)</f>
        <v>(0,2846; 0,3795; 0,3795)</v>
      </c>
      <c r="L18" t="str">
        <f>VLOOKUP(L4,'Thang đánh giá'!$C$2:$D$27,2,FALSE)</f>
        <v>(0,1673; 0,251; 0,3347)</v>
      </c>
      <c r="M18" t="str">
        <f>VLOOKUP(M4,'Thang đánh giá'!$C$2:$D$27,2,FALSE)</f>
        <v>(0,2846; 0,3795; 0,3795)</v>
      </c>
    </row>
    <row r="19" spans="1:13" x14ac:dyDescent="0.3">
      <c r="A19" t="s">
        <v>3</v>
      </c>
      <c r="B19" t="str">
        <f>VLOOKUP(B5,'Thang đánh giá'!$C$2:$D$27,2,FALSE)</f>
        <v>(0; 0; 0,0548)</v>
      </c>
      <c r="C19" t="str">
        <f>VLOOKUP(C5,'Thang đánh giá'!$C$2:$D$27,2,FALSE)</f>
        <v>(0; 0,0707; 0,1414)</v>
      </c>
      <c r="D19" t="str">
        <f>VLOOKUP(D5,'Thang đánh giá'!$C$2:$D$27,2,FALSE)</f>
        <v>(0; 0; 0,0837)</v>
      </c>
      <c r="E19" t="str">
        <f>VLOOKUP(E5,'Thang đánh giá'!$C$2:$D$27,2,FALSE)</f>
        <v>(0; 0; 0)</v>
      </c>
      <c r="F19" t="str">
        <f>VLOOKUP(F5,'Thang đánh giá'!$C$2:$D$27,2,FALSE)</f>
        <v>(0,0837; 0,1673; 0,251)</v>
      </c>
      <c r="G19" t="str">
        <f>VLOOKUP(G5,'Thang đánh giá'!$C$2:$D$27,2,FALSE)</f>
        <v>(0; 0; 0,0707)</v>
      </c>
      <c r="H19" t="str">
        <f>VLOOKUP(H5,'Thang đánh giá'!$C$2:$D$27,2,FALSE)</f>
        <v>(0,1897; 0,2846; 0,3795)</v>
      </c>
      <c r="I19" t="str">
        <f>VLOOKUP(I5,'Thang đánh giá'!$C$2:$D$27,2,FALSE)</f>
        <v>(0; 0; 0,0837)</v>
      </c>
      <c r="J19" t="str">
        <f>VLOOKUP(J5,'Thang đánh giá'!$C$2:$D$27,2,FALSE)</f>
        <v>(0,2846; 0,3795; 0,3795)</v>
      </c>
      <c r="K19" t="str">
        <f>VLOOKUP(K5,'Thang đánh giá'!$C$2:$D$27,2,FALSE)</f>
        <v>(0; 0,0316; 0,0632)</v>
      </c>
      <c r="L19" t="str">
        <f>VLOOKUP(L5,'Thang đánh giá'!$C$2:$D$27,2,FALSE)</f>
        <v>(0,1673; 0,251; 0,3347)</v>
      </c>
      <c r="M19" t="str">
        <f>VLOOKUP(M5,'Thang đánh giá'!$C$2:$D$27,2,FALSE)</f>
        <v>(0,2846; 0,3795; 0,3795)</v>
      </c>
    </row>
    <row r="20" spans="1:13" x14ac:dyDescent="0.3">
      <c r="A20" t="s">
        <v>4</v>
      </c>
      <c r="B20" t="str">
        <f>VLOOKUP(B6,'Thang đánh giá'!$C$2:$D$27,2,FALSE)</f>
        <v>(0; 0,0548; 0,1095)</v>
      </c>
      <c r="C20" t="str">
        <f>VLOOKUP(C6,'Thang đánh giá'!$C$2:$D$27,2,FALSE)</f>
        <v>(0; 0,0316; 0,0632)</v>
      </c>
      <c r="D20" t="str">
        <f>VLOOKUP(D6,'Thang đánh giá'!$C$2:$D$27,2,FALSE)</f>
        <v>(0; 0; 0,0707)</v>
      </c>
      <c r="E20" t="str">
        <f>VLOOKUP(E6,'Thang đánh giá'!$C$2:$D$27,2,FALSE)</f>
        <v>(0; 0; 0,0548)</v>
      </c>
      <c r="F20" t="str">
        <f>VLOOKUP(F6,'Thang đánh giá'!$C$2:$D$27,2,FALSE)</f>
        <v>(0; 0; 0)</v>
      </c>
      <c r="G20" t="str">
        <f>VLOOKUP(G6,'Thang đánh giá'!$C$2:$D$27,2,FALSE)</f>
        <v>(0,1897; 0,2846; 0,3795)</v>
      </c>
      <c r="H20" t="str">
        <f>VLOOKUP(H6,'Thang đánh giá'!$C$2:$D$27,2,FALSE)</f>
        <v>(0; 0; 0,0707)</v>
      </c>
      <c r="I20" t="str">
        <f>VLOOKUP(I6,'Thang đánh giá'!$C$2:$D$27,2,FALSE)</f>
        <v>(0; 0; 0,0707)</v>
      </c>
      <c r="J20" t="str">
        <f>VLOOKUP(J6,'Thang đánh giá'!$C$2:$D$27,2,FALSE)</f>
        <v>(0,251; 0,3347; 0,3347)</v>
      </c>
      <c r="K20" t="str">
        <f>VLOOKUP(K6,'Thang đánh giá'!$C$2:$D$27,2,FALSE)</f>
        <v>(0,251; 0,3347; 0,3347)</v>
      </c>
      <c r="L20" t="str">
        <f>VLOOKUP(L6,'Thang đánh giá'!$C$2:$D$27,2,FALSE)</f>
        <v>(0; 0; 0,0548)</v>
      </c>
      <c r="M20" t="str">
        <f>VLOOKUP(M6,'Thang đánh giá'!$C$2:$D$27,2,FALSE)</f>
        <v>(0; 0; 0,0707)</v>
      </c>
    </row>
    <row r="21" spans="1:13" x14ac:dyDescent="0.3">
      <c r="A21" t="s">
        <v>5</v>
      </c>
      <c r="B21" t="str">
        <f>VLOOKUP(B7,'Thang đánh giá'!$C$2:$D$27,2,FALSE)</f>
        <v>(0; 0; 0,0548)</v>
      </c>
      <c r="C21" t="str">
        <f>VLOOKUP(C7,'Thang đánh giá'!$C$2:$D$27,2,FALSE)</f>
        <v>(0; 0; 0,0548)</v>
      </c>
      <c r="D21" t="str">
        <f>VLOOKUP(D7,'Thang đánh giá'!$C$2:$D$27,2,FALSE)</f>
        <v>(0; 0; 0,0316)</v>
      </c>
      <c r="E21" t="str">
        <f>VLOOKUP(E7,'Thang đánh giá'!$C$2:$D$27,2,FALSE)</f>
        <v>(0; 0,0548; 0,1095)</v>
      </c>
      <c r="F21" t="str">
        <f>VLOOKUP(F7,'Thang đánh giá'!$C$2:$D$27,2,FALSE)</f>
        <v>(0; 0,0316; 0,0632)</v>
      </c>
      <c r="G21" t="str">
        <f>VLOOKUP(G7,'Thang đánh giá'!$C$2:$D$27,2,FALSE)</f>
        <v>(0; 0; 0)</v>
      </c>
      <c r="H21" t="str">
        <f>VLOOKUP(H7,'Thang đánh giá'!$C$2:$D$27,2,FALSE)</f>
        <v>(0; 0; 0,0316)</v>
      </c>
      <c r="I21" t="str">
        <f>VLOOKUP(I7,'Thang đánh giá'!$C$2:$D$27,2,FALSE)</f>
        <v>(0; 0; 0,0837)</v>
      </c>
      <c r="J21" t="str">
        <f>VLOOKUP(J7,'Thang đánh giá'!$C$2:$D$27,2,FALSE)</f>
        <v>(0,2846; 0,3795; 0,3795)</v>
      </c>
      <c r="K21" t="str">
        <f>VLOOKUP(K7,'Thang đánh giá'!$C$2:$D$27,2,FALSE)</f>
        <v>(0; 0; 0,0548)</v>
      </c>
      <c r="L21" t="str">
        <f>VLOOKUP(L7,'Thang đánh giá'!$C$2:$D$27,2,FALSE)</f>
        <v>(0; 0,0707; 0,1414)</v>
      </c>
      <c r="M21" t="str">
        <f>VLOOKUP(M7,'Thang đánh giá'!$C$2:$D$27,2,FALSE)</f>
        <v>(0; 0,0548; 0,1095)</v>
      </c>
    </row>
    <row r="22" spans="1:13" x14ac:dyDescent="0.3">
      <c r="A22" t="s">
        <v>6</v>
      </c>
      <c r="B22" t="str">
        <f>VLOOKUP(B8,'Thang đánh giá'!$C$2:$D$27,2,FALSE)</f>
        <v>(0,0707; 0,1414; 0,2121)</v>
      </c>
      <c r="C22" t="str">
        <f>VLOOKUP(C8,'Thang đánh giá'!$C$2:$D$27,2,FALSE)</f>
        <v>(0; 0; 0,0707)</v>
      </c>
      <c r="D22" t="str">
        <f>VLOOKUP(D8,'Thang đánh giá'!$C$2:$D$27,2,FALSE)</f>
        <v>(0; 0,0548; 0,1095)</v>
      </c>
      <c r="E22" t="str">
        <f>VLOOKUP(E8,'Thang đánh giá'!$C$2:$D$27,2,FALSE)</f>
        <v>(0; 0,0707; 0,1414)</v>
      </c>
      <c r="F22" t="str">
        <f>VLOOKUP(F8,'Thang đánh giá'!$C$2:$D$27,2,FALSE)</f>
        <v>(0; 0; 0,0548)</v>
      </c>
      <c r="G22" t="str">
        <f>VLOOKUP(G8,'Thang đánh giá'!$C$2:$D$27,2,FALSE)</f>
        <v>(0; 0; 0,0707)</v>
      </c>
      <c r="H22" t="str">
        <f>VLOOKUP(H8,'Thang đánh giá'!$C$2:$D$27,2,FALSE)</f>
        <v>(0; 0; 0)</v>
      </c>
      <c r="I22" t="str">
        <f>VLOOKUP(I8,'Thang đánh giá'!$C$2:$D$27,2,FALSE)</f>
        <v>(0; 0; 0,0316)</v>
      </c>
      <c r="J22" t="str">
        <f>VLOOKUP(J8,'Thang đánh giá'!$C$2:$D$27,2,FALSE)</f>
        <v>(0; 0,0707; 0,1414)</v>
      </c>
      <c r="K22" t="str">
        <f>VLOOKUP(K8,'Thang đánh giá'!$C$2:$D$27,2,FALSE)</f>
        <v>(0,0707; 0,1414; 0,2121)</v>
      </c>
      <c r="L22" t="str">
        <f>VLOOKUP(L8,'Thang đánh giá'!$C$2:$D$27,2,FALSE)</f>
        <v>(0; 0; 0,0837)</v>
      </c>
      <c r="M22" t="str">
        <f>VLOOKUP(M8,'Thang đánh giá'!$C$2:$D$27,2,FALSE)</f>
        <v>(0; 0; 0,0837)</v>
      </c>
    </row>
    <row r="23" spans="1:13" x14ac:dyDescent="0.3">
      <c r="A23" t="s">
        <v>7</v>
      </c>
      <c r="B23" t="str">
        <f>VLOOKUP(B9,'Thang đánh giá'!$C$2:$D$27,2,FALSE)</f>
        <v>(0; 0,0548; 0,1095)</v>
      </c>
      <c r="C23" t="str">
        <f>VLOOKUP(C9,'Thang đánh giá'!$C$2:$D$27,2,FALSE)</f>
        <v>(0; 0; 0,0707)</v>
      </c>
      <c r="D23" t="str">
        <f>VLOOKUP(D9,'Thang đánh giá'!$C$2:$D$27,2,FALSE)</f>
        <v>(0; 0; 0,0548)</v>
      </c>
      <c r="E23" t="str">
        <f>VLOOKUP(E9,'Thang đánh giá'!$C$2:$D$27,2,FALSE)</f>
        <v>(0; 0; 0,0548)</v>
      </c>
      <c r="F23" t="str">
        <f>VLOOKUP(F9,'Thang đánh giá'!$C$2:$D$27,2,FALSE)</f>
        <v>(0,0837; 0,1673; 0,251)</v>
      </c>
      <c r="G23" t="str">
        <f>VLOOKUP(G9,'Thang đánh giá'!$C$2:$D$27,2,FALSE)</f>
        <v>(0; 0,0548; 0,1095)</v>
      </c>
      <c r="H23" t="str">
        <f>VLOOKUP(H9,'Thang đánh giá'!$C$2:$D$27,2,FALSE)</f>
        <v>(0; 0,0707; 0,1414)</v>
      </c>
      <c r="I23" t="str">
        <f>VLOOKUP(I9,'Thang đánh giá'!$C$2:$D$27,2,FALSE)</f>
        <v>(0; 0; 0)</v>
      </c>
      <c r="J23" t="str">
        <f>VLOOKUP(J9,'Thang đánh giá'!$C$2:$D$27,2,FALSE)</f>
        <v>(0,1897; 0,2846; 0,3795)</v>
      </c>
      <c r="K23" t="str">
        <f>VLOOKUP(K9,'Thang đánh giá'!$C$2:$D$27,2,FALSE)</f>
        <v>(0,1897; 0,2846; 0,3795)</v>
      </c>
      <c r="L23" t="str">
        <f>VLOOKUP(L9,'Thang đánh giá'!$C$2:$D$27,2,FALSE)</f>
        <v>(0,1897; 0,2846; 0,3795)</v>
      </c>
      <c r="M23" t="str">
        <f>VLOOKUP(M9,'Thang đánh giá'!$C$2:$D$27,2,FALSE)</f>
        <v>(0,1673; 0,251; 0,3347)</v>
      </c>
    </row>
    <row r="24" spans="1:13" x14ac:dyDescent="0.3">
      <c r="A24" t="s">
        <v>8</v>
      </c>
      <c r="B24" t="str">
        <f>VLOOKUP(B10,'Thang đánh giá'!$C$2:$D$27,2,FALSE)</f>
        <v>(0,0837; 0,1673; 0,251)</v>
      </c>
      <c r="C24" t="str">
        <f>VLOOKUP(C10,'Thang đánh giá'!$C$2:$D$27,2,FALSE)</f>
        <v>(0; 0; 0,0707)</v>
      </c>
      <c r="D24" t="str">
        <f>VLOOKUP(D10,'Thang đánh giá'!$C$2:$D$27,2,FALSE)</f>
        <v>(0; 0; 0,0548)</v>
      </c>
      <c r="E24" t="str">
        <f>VLOOKUP(E10,'Thang đánh giá'!$C$2:$D$27,2,FALSE)</f>
        <v>(0; 0; 0,0316)</v>
      </c>
      <c r="F24" t="str">
        <f>VLOOKUP(F10,'Thang đánh giá'!$C$2:$D$27,2,FALSE)</f>
        <v>(0; 0; 0,0837)</v>
      </c>
      <c r="G24" t="str">
        <f>VLOOKUP(G10,'Thang đánh giá'!$C$2:$D$27,2,FALSE)</f>
        <v>(0; 0; 0,0707)</v>
      </c>
      <c r="H24" t="str">
        <f>VLOOKUP(H10,'Thang đánh giá'!$C$2:$D$27,2,FALSE)</f>
        <v>(0,1897; 0,2846; 0,3795)</v>
      </c>
      <c r="I24" t="str">
        <f>VLOOKUP(I10,'Thang đánh giá'!$C$2:$D$27,2,FALSE)</f>
        <v>(0; 0; 0,0548)</v>
      </c>
      <c r="J24" t="str">
        <f>VLOOKUP(J10,'Thang đánh giá'!$C$2:$D$27,2,FALSE)</f>
        <v>(0; 0; 0)</v>
      </c>
      <c r="K24" t="str">
        <f>VLOOKUP(K10,'Thang đánh giá'!$C$2:$D$27,2,FALSE)</f>
        <v>(0,251; 0,3347; 0,3347)</v>
      </c>
      <c r="L24" t="str">
        <f>VLOOKUP(L10,'Thang đánh giá'!$C$2:$D$27,2,FALSE)</f>
        <v>(0,2846; 0,3795; 0,3795)</v>
      </c>
      <c r="M24" t="str">
        <f>VLOOKUP(M10,'Thang đánh giá'!$C$2:$D$27,2,FALSE)</f>
        <v>(0,1897; 0,2846; 0,3795)</v>
      </c>
    </row>
    <row r="25" spans="1:13" x14ac:dyDescent="0.3">
      <c r="A25" t="s">
        <v>9</v>
      </c>
      <c r="B25" t="str">
        <f>VLOOKUP(B11,'Thang đánh giá'!$C$2:$D$27,2,FALSE)</f>
        <v>(0; 0,0707; 0,1414)</v>
      </c>
      <c r="C25" t="str">
        <f>VLOOKUP(C11,'Thang đánh giá'!$C$2:$D$27,2,FALSE)</f>
        <v>(0; 0,0707; 0,1414)</v>
      </c>
      <c r="D25" t="str">
        <f>VLOOKUP(D11,'Thang đánh giá'!$C$2:$D$27,2,FALSE)</f>
        <v>(0,0707; 0,1414; 0,2121)</v>
      </c>
      <c r="E25" t="str">
        <f>VLOOKUP(E11,'Thang đánh giá'!$C$2:$D$27,2,FALSE)</f>
        <v>(0; 0,0837; 0,1673)</v>
      </c>
      <c r="F25" t="str">
        <f>VLOOKUP(F11,'Thang đánh giá'!$C$2:$D$27,2,FALSE)</f>
        <v>(0; 0; 0,0707)</v>
      </c>
      <c r="G25" t="str">
        <f>VLOOKUP(G11,'Thang đánh giá'!$C$2:$D$27,2,FALSE)</f>
        <v>(0; 0,0707; 0,1414)</v>
      </c>
      <c r="H25" t="str">
        <f>VLOOKUP(H11,'Thang đánh giá'!$C$2:$D$27,2,FALSE)</f>
        <v>(0; 0; 0,0707)</v>
      </c>
      <c r="I25" t="str">
        <f>VLOOKUP(I11,'Thang đánh giá'!$C$2:$D$27,2,FALSE)</f>
        <v>(0; 0; 0,0707)</v>
      </c>
      <c r="J25" t="str">
        <f>VLOOKUP(J11,'Thang đánh giá'!$C$2:$D$27,2,FALSE)</f>
        <v>(0; 0,0707; 0,1414)</v>
      </c>
      <c r="K25" t="str">
        <f>VLOOKUP(K11,'Thang đánh giá'!$C$2:$D$27,2,FALSE)</f>
        <v>(0; 0; 0)</v>
      </c>
      <c r="L25" t="str">
        <f>VLOOKUP(L11,'Thang đánh giá'!$C$2:$D$27,2,FALSE)</f>
        <v>(0; 0; 0,0707)</v>
      </c>
      <c r="M25" t="str">
        <f>VLOOKUP(M11,'Thang đánh giá'!$C$2:$D$27,2,FALSE)</f>
        <v>(0; 0,0548; 0,1095)</v>
      </c>
    </row>
    <row r="26" spans="1:13" x14ac:dyDescent="0.3">
      <c r="A26" t="s">
        <v>10</v>
      </c>
      <c r="B26" t="str">
        <f>VLOOKUP(B12,'Thang đánh giá'!$C$2:$D$27,2,FALSE)</f>
        <v>(0,0707; 0,1414; 0,2121)</v>
      </c>
      <c r="C26" t="str">
        <f>VLOOKUP(C12,'Thang đánh giá'!$C$2:$D$27,2,FALSE)</f>
        <v>(0; 0,0316; 0,0632)</v>
      </c>
      <c r="D26" t="str">
        <f>VLOOKUP(D12,'Thang đánh giá'!$C$2:$D$27,2,FALSE)</f>
        <v>(0; 0; 0,0707)</v>
      </c>
      <c r="E26" t="str">
        <f>VLOOKUP(E12,'Thang đánh giá'!$C$2:$D$27,2,FALSE)</f>
        <v>(0,0707; 0,1414; 0,2121)</v>
      </c>
      <c r="F26" t="str">
        <f>VLOOKUP(F12,'Thang đánh giá'!$C$2:$D$27,2,FALSE)</f>
        <v>(0; 0,0707; 0,1414)</v>
      </c>
      <c r="G26" t="str">
        <f>VLOOKUP(G12,'Thang đánh giá'!$C$2:$D$27,2,FALSE)</f>
        <v>(0; 0,0707; 0,1414)</v>
      </c>
      <c r="H26" t="str">
        <f>VLOOKUP(H12,'Thang đánh giá'!$C$2:$D$27,2,FALSE)</f>
        <v>(0; 0,0707; 0,1414)</v>
      </c>
      <c r="I26" t="str">
        <f>VLOOKUP(I12,'Thang đánh giá'!$C$2:$D$27,2,FALSE)</f>
        <v>(0; 0,0548; 0,1095)</v>
      </c>
      <c r="J26" t="str">
        <f>VLOOKUP(J12,'Thang đánh giá'!$C$2:$D$27,2,FALSE)</f>
        <v>(0; 0; 0,0548)</v>
      </c>
      <c r="K26" t="str">
        <f>VLOOKUP(K12,'Thang đánh giá'!$C$2:$D$27,2,FALSE)</f>
        <v>(0; 0; 0,0707)</v>
      </c>
      <c r="L26" t="str">
        <f>VLOOKUP(L12,'Thang đánh giá'!$C$2:$D$27,2,FALSE)</f>
        <v>(0; 0; 0)</v>
      </c>
      <c r="M26" t="str">
        <f>VLOOKUP(M12,'Thang đánh giá'!$C$2:$D$27,2,FALSE)</f>
        <v>(0,1897; 0,2846; 0,3795)</v>
      </c>
    </row>
    <row r="27" spans="1:13" x14ac:dyDescent="0.3">
      <c r="A27" t="s">
        <v>11</v>
      </c>
      <c r="B27" t="str">
        <f>VLOOKUP(B13,'Thang đánh giá'!$C$2:$D$27,2,FALSE)</f>
        <v>(0; 0,0548; 0,1095)</v>
      </c>
      <c r="C27" t="str">
        <f>VLOOKUP(C13,'Thang đánh giá'!$C$2:$D$27,2,FALSE)</f>
        <v>(0; 0,0707; 0,1414)</v>
      </c>
      <c r="D27" t="str">
        <f>VLOOKUP(D13,'Thang đánh giá'!$C$2:$D$27,2,FALSE)</f>
        <v>(0; 0; 0,0707)</v>
      </c>
      <c r="E27" t="str">
        <f>VLOOKUP(E13,'Thang đánh giá'!$C$2:$D$27,2,FALSE)</f>
        <v>(0; 0,0316; 0,0632)</v>
      </c>
      <c r="F27" t="str">
        <f>VLOOKUP(F13,'Thang đánh giá'!$C$2:$D$27,2,FALSE)</f>
        <v>(0,0707; 0,1414; 0,2121)</v>
      </c>
      <c r="G27" t="str">
        <f>VLOOKUP(G13,'Thang đánh giá'!$C$2:$D$27,2,FALSE)</f>
        <v>(0; 0; 0,0707)</v>
      </c>
      <c r="H27" t="str">
        <f>VLOOKUP(H13,'Thang đánh giá'!$C$2:$D$27,2,FALSE)</f>
        <v>(0; 0; 0,0837)</v>
      </c>
      <c r="I27" t="str">
        <f>VLOOKUP(I13,'Thang đánh giá'!$C$2:$D$27,2,FALSE)</f>
        <v>(0,0707; 0,1414; 0,2121)</v>
      </c>
      <c r="J27" t="str">
        <f>VLOOKUP(J13,'Thang đánh giá'!$C$2:$D$27,2,FALSE)</f>
        <v>(0; 0,0707; 0,1414)</v>
      </c>
      <c r="K27" t="str">
        <f>VLOOKUP(K13,'Thang đánh giá'!$C$2:$D$27,2,FALSE)</f>
        <v>(0; 0; 0,0548)</v>
      </c>
      <c r="L27" t="str">
        <f>VLOOKUP(L13,'Thang đánh giá'!$C$2:$D$27,2,FALSE)</f>
        <v>(0; 0; 0,0316)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0.18970000000000001</v>
      </c>
      <c r="D30">
        <f t="shared" si="0"/>
        <v>8.3699999999999997E-2</v>
      </c>
      <c r="E30">
        <f t="shared" si="0"/>
        <v>0</v>
      </c>
      <c r="F30">
        <f t="shared" si="0"/>
        <v>8.3699999999999997E-2</v>
      </c>
      <c r="G30">
        <f t="shared" si="0"/>
        <v>0</v>
      </c>
      <c r="H30">
        <f t="shared" si="0"/>
        <v>0</v>
      </c>
      <c r="I30">
        <f t="shared" si="0"/>
        <v>0</v>
      </c>
      <c r="J30">
        <f t="shared" si="0"/>
        <v>0.18970000000000001</v>
      </c>
      <c r="K30">
        <f t="shared" si="0"/>
        <v>0</v>
      </c>
      <c r="L30">
        <f t="shared" si="0"/>
        <v>0</v>
      </c>
      <c r="M30">
        <f t="shared" si="0"/>
        <v>0</v>
      </c>
    </row>
    <row r="31" spans="1:13" x14ac:dyDescent="0.3">
      <c r="A31" t="s">
        <v>1</v>
      </c>
      <c r="B31">
        <f t="shared" ref="B31:M41" si="1">_xlfn.NUMBERVALUE(MID(B17,2,FIND(";",B17,1)-2))</f>
        <v>7.0699999999999999E-2</v>
      </c>
      <c r="C31">
        <f t="shared" si="1"/>
        <v>0</v>
      </c>
      <c r="D31">
        <f t="shared" si="1"/>
        <v>0.18970000000000001</v>
      </c>
      <c r="E31">
        <f t="shared" si="1"/>
        <v>0.28460000000000002</v>
      </c>
      <c r="F31">
        <f t="shared" si="1"/>
        <v>0</v>
      </c>
      <c r="G31">
        <f t="shared" si="1"/>
        <v>0.28460000000000002</v>
      </c>
      <c r="H31">
        <f t="shared" si="1"/>
        <v>0.251</v>
      </c>
      <c r="I31">
        <f t="shared" si="1"/>
        <v>7.0699999999999999E-2</v>
      </c>
      <c r="J31">
        <f t="shared" si="1"/>
        <v>0.28460000000000002</v>
      </c>
      <c r="K31">
        <f t="shared" si="1"/>
        <v>0.251</v>
      </c>
      <c r="L31">
        <f t="shared" si="1"/>
        <v>0</v>
      </c>
      <c r="M31">
        <f t="shared" si="1"/>
        <v>0.28460000000000002</v>
      </c>
    </row>
    <row r="32" spans="1:13" x14ac:dyDescent="0.3">
      <c r="A32" t="s">
        <v>2</v>
      </c>
      <c r="B32">
        <f t="shared" si="1"/>
        <v>0</v>
      </c>
      <c r="C32">
        <f t="shared" si="1"/>
        <v>0</v>
      </c>
      <c r="D32">
        <f t="shared" si="1"/>
        <v>0</v>
      </c>
      <c r="E32">
        <f t="shared" si="1"/>
        <v>0.1673</v>
      </c>
      <c r="F32">
        <f t="shared" si="1"/>
        <v>0</v>
      </c>
      <c r="G32">
        <f t="shared" si="1"/>
        <v>7.0699999999999999E-2</v>
      </c>
      <c r="H32">
        <f t="shared" si="1"/>
        <v>0.1673</v>
      </c>
      <c r="I32">
        <f t="shared" si="1"/>
        <v>0</v>
      </c>
      <c r="J32">
        <f t="shared" si="1"/>
        <v>0.28460000000000002</v>
      </c>
      <c r="K32">
        <f t="shared" si="1"/>
        <v>0.28460000000000002</v>
      </c>
      <c r="L32">
        <f t="shared" si="1"/>
        <v>0.1673</v>
      </c>
      <c r="M32">
        <f t="shared" si="1"/>
        <v>0.28460000000000002</v>
      </c>
    </row>
    <row r="33" spans="1:13" x14ac:dyDescent="0.3">
      <c r="A33" t="s">
        <v>3</v>
      </c>
      <c r="B33">
        <f t="shared" si="1"/>
        <v>0</v>
      </c>
      <c r="C33">
        <f t="shared" si="1"/>
        <v>0</v>
      </c>
      <c r="D33">
        <f t="shared" si="1"/>
        <v>0</v>
      </c>
      <c r="E33">
        <f t="shared" si="1"/>
        <v>0</v>
      </c>
      <c r="F33">
        <f t="shared" si="1"/>
        <v>8.3699999999999997E-2</v>
      </c>
      <c r="G33">
        <f t="shared" si="1"/>
        <v>0</v>
      </c>
      <c r="H33">
        <f t="shared" si="1"/>
        <v>0.18970000000000001</v>
      </c>
      <c r="I33">
        <f t="shared" si="1"/>
        <v>0</v>
      </c>
      <c r="J33">
        <f t="shared" si="1"/>
        <v>0.28460000000000002</v>
      </c>
      <c r="K33">
        <f t="shared" si="1"/>
        <v>0</v>
      </c>
      <c r="L33">
        <f t="shared" si="1"/>
        <v>0.1673</v>
      </c>
      <c r="M33">
        <f t="shared" si="1"/>
        <v>0.28460000000000002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0</v>
      </c>
      <c r="D34">
        <f t="shared" si="2"/>
        <v>0</v>
      </c>
      <c r="E34">
        <f t="shared" si="2"/>
        <v>0</v>
      </c>
      <c r="F34">
        <f t="shared" si="2"/>
        <v>0</v>
      </c>
      <c r="G34">
        <f t="shared" si="2"/>
        <v>0.18970000000000001</v>
      </c>
      <c r="H34">
        <f t="shared" si="2"/>
        <v>0</v>
      </c>
      <c r="I34">
        <f t="shared" si="2"/>
        <v>0</v>
      </c>
      <c r="J34">
        <f t="shared" si="2"/>
        <v>0.251</v>
      </c>
      <c r="K34">
        <f t="shared" si="2"/>
        <v>0.251</v>
      </c>
      <c r="L34">
        <f t="shared" si="2"/>
        <v>0</v>
      </c>
      <c r="M34">
        <f t="shared" si="2"/>
        <v>0</v>
      </c>
    </row>
    <row r="35" spans="1:13" x14ac:dyDescent="0.3">
      <c r="A35" t="s">
        <v>5</v>
      </c>
      <c r="B35">
        <f t="shared" si="1"/>
        <v>0</v>
      </c>
      <c r="C35">
        <f t="shared" si="1"/>
        <v>0</v>
      </c>
      <c r="D35">
        <f t="shared" si="1"/>
        <v>0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0</v>
      </c>
      <c r="J35">
        <f t="shared" si="1"/>
        <v>0.28460000000000002</v>
      </c>
      <c r="K35">
        <f t="shared" si="1"/>
        <v>0</v>
      </c>
      <c r="L35">
        <f t="shared" si="1"/>
        <v>0</v>
      </c>
      <c r="M35">
        <f t="shared" si="1"/>
        <v>0</v>
      </c>
    </row>
    <row r="36" spans="1:13" x14ac:dyDescent="0.3">
      <c r="A36" t="s">
        <v>6</v>
      </c>
      <c r="B36">
        <f t="shared" si="1"/>
        <v>7.0699999999999999E-2</v>
      </c>
      <c r="C36">
        <f t="shared" si="1"/>
        <v>0</v>
      </c>
      <c r="D36">
        <f t="shared" si="1"/>
        <v>0</v>
      </c>
      <c r="E36">
        <f t="shared" si="1"/>
        <v>0</v>
      </c>
      <c r="F36">
        <f t="shared" si="1"/>
        <v>0</v>
      </c>
      <c r="G36">
        <f t="shared" si="1"/>
        <v>0</v>
      </c>
      <c r="H36">
        <f t="shared" si="1"/>
        <v>0</v>
      </c>
      <c r="I36">
        <f t="shared" si="1"/>
        <v>0</v>
      </c>
      <c r="J36">
        <f t="shared" si="1"/>
        <v>0</v>
      </c>
      <c r="K36">
        <f t="shared" si="1"/>
        <v>7.0699999999999999E-2</v>
      </c>
      <c r="L36">
        <f t="shared" si="1"/>
        <v>0</v>
      </c>
      <c r="M36">
        <f t="shared" si="1"/>
        <v>0</v>
      </c>
    </row>
    <row r="37" spans="1:13" x14ac:dyDescent="0.3">
      <c r="A37" t="s">
        <v>7</v>
      </c>
      <c r="B37">
        <f t="shared" si="1"/>
        <v>0</v>
      </c>
      <c r="C37">
        <f t="shared" si="1"/>
        <v>0</v>
      </c>
      <c r="D37">
        <f t="shared" si="1"/>
        <v>0</v>
      </c>
      <c r="E37">
        <f t="shared" si="1"/>
        <v>0</v>
      </c>
      <c r="F37">
        <f t="shared" si="1"/>
        <v>8.3699999999999997E-2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0.18970000000000001</v>
      </c>
      <c r="K37">
        <f t="shared" si="1"/>
        <v>0.18970000000000001</v>
      </c>
      <c r="L37">
        <f t="shared" si="1"/>
        <v>0.18970000000000001</v>
      </c>
      <c r="M37">
        <f t="shared" si="1"/>
        <v>0.1673</v>
      </c>
    </row>
    <row r="38" spans="1:13" x14ac:dyDescent="0.3">
      <c r="A38" t="s">
        <v>8</v>
      </c>
      <c r="B38">
        <f t="shared" si="1"/>
        <v>8.3699999999999997E-2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0.18970000000000001</v>
      </c>
      <c r="I38">
        <f t="shared" si="1"/>
        <v>0</v>
      </c>
      <c r="J38">
        <f t="shared" si="1"/>
        <v>0</v>
      </c>
      <c r="K38">
        <f t="shared" si="1"/>
        <v>0.251</v>
      </c>
      <c r="L38">
        <f t="shared" si="1"/>
        <v>0.28460000000000002</v>
      </c>
      <c r="M38">
        <f t="shared" si="1"/>
        <v>0.18970000000000001</v>
      </c>
    </row>
    <row r="39" spans="1:13" x14ac:dyDescent="0.3">
      <c r="A39" t="s">
        <v>9</v>
      </c>
      <c r="B39">
        <f t="shared" si="1"/>
        <v>0</v>
      </c>
      <c r="C39">
        <f t="shared" si="1"/>
        <v>0</v>
      </c>
      <c r="D39">
        <f t="shared" si="1"/>
        <v>7.0699999999999999E-2</v>
      </c>
      <c r="E39">
        <f t="shared" si="1"/>
        <v>0</v>
      </c>
      <c r="F39">
        <f t="shared" si="1"/>
        <v>0</v>
      </c>
      <c r="G39">
        <f t="shared" si="1"/>
        <v>0</v>
      </c>
      <c r="H39">
        <f t="shared" si="1"/>
        <v>0</v>
      </c>
      <c r="I39">
        <f t="shared" si="1"/>
        <v>0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0</v>
      </c>
    </row>
    <row r="40" spans="1:13" x14ac:dyDescent="0.3">
      <c r="A40" t="s">
        <v>10</v>
      </c>
      <c r="B40">
        <f t="shared" si="1"/>
        <v>7.0699999999999999E-2</v>
      </c>
      <c r="C40">
        <f t="shared" si="1"/>
        <v>0</v>
      </c>
      <c r="D40">
        <f t="shared" si="1"/>
        <v>0</v>
      </c>
      <c r="E40">
        <f t="shared" si="1"/>
        <v>7.0699999999999999E-2</v>
      </c>
      <c r="F40">
        <f t="shared" si="1"/>
        <v>0</v>
      </c>
      <c r="G40">
        <f t="shared" si="1"/>
        <v>0</v>
      </c>
      <c r="H40">
        <f t="shared" si="1"/>
        <v>0</v>
      </c>
      <c r="I40">
        <f t="shared" si="1"/>
        <v>0</v>
      </c>
      <c r="J40">
        <f t="shared" si="1"/>
        <v>0</v>
      </c>
      <c r="K40">
        <f t="shared" si="1"/>
        <v>0</v>
      </c>
      <c r="L40">
        <f t="shared" si="1"/>
        <v>0</v>
      </c>
      <c r="M40">
        <f t="shared" si="1"/>
        <v>0.18970000000000001</v>
      </c>
    </row>
    <row r="41" spans="1:13" x14ac:dyDescent="0.3">
      <c r="A41" t="s">
        <v>11</v>
      </c>
      <c r="B41">
        <f t="shared" si="1"/>
        <v>0</v>
      </c>
      <c r="C41">
        <f t="shared" si="1"/>
        <v>0</v>
      </c>
      <c r="D41">
        <f t="shared" si="1"/>
        <v>0</v>
      </c>
      <c r="E41">
        <f t="shared" si="1"/>
        <v>0</v>
      </c>
      <c r="F41">
        <f t="shared" si="1"/>
        <v>7.0699999999999999E-2</v>
      </c>
      <c r="G41">
        <f t="shared" si="1"/>
        <v>0</v>
      </c>
      <c r="H41">
        <f t="shared" si="1"/>
        <v>0</v>
      </c>
      <c r="I41">
        <f t="shared" si="1"/>
        <v>7.0699999999999999E-2</v>
      </c>
      <c r="J41">
        <f t="shared" si="1"/>
        <v>0</v>
      </c>
      <c r="K41">
        <f t="shared" si="1"/>
        <v>0</v>
      </c>
      <c r="L41">
        <f t="shared" si="1"/>
        <v>0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0.28460000000000002</v>
      </c>
      <c r="D44">
        <f t="shared" si="3"/>
        <v>0.1673</v>
      </c>
      <c r="E44">
        <f t="shared" si="3"/>
        <v>0</v>
      </c>
      <c r="F44">
        <f t="shared" si="3"/>
        <v>0.1673</v>
      </c>
      <c r="G44">
        <f t="shared" si="3"/>
        <v>5.4800000000000001E-2</v>
      </c>
      <c r="H44">
        <f t="shared" si="3"/>
        <v>7.0699999999999999E-2</v>
      </c>
      <c r="I44">
        <f t="shared" si="3"/>
        <v>0</v>
      </c>
      <c r="J44">
        <f t="shared" si="3"/>
        <v>0.28460000000000002</v>
      </c>
      <c r="K44">
        <f t="shared" si="3"/>
        <v>0</v>
      </c>
      <c r="L44">
        <f t="shared" si="3"/>
        <v>0</v>
      </c>
      <c r="M44">
        <f t="shared" si="3"/>
        <v>7.0699999999999999E-2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0.1414</v>
      </c>
      <c r="C45">
        <f t="shared" si="4"/>
        <v>0</v>
      </c>
      <c r="D45">
        <f t="shared" si="4"/>
        <v>0.28460000000000002</v>
      </c>
      <c r="E45">
        <f t="shared" si="4"/>
        <v>0.3795</v>
      </c>
      <c r="F45">
        <f t="shared" si="4"/>
        <v>0</v>
      </c>
      <c r="G45">
        <f t="shared" si="4"/>
        <v>0.3795</v>
      </c>
      <c r="H45">
        <f t="shared" si="4"/>
        <v>0.3347</v>
      </c>
      <c r="I45">
        <f t="shared" si="4"/>
        <v>0.1414</v>
      </c>
      <c r="J45">
        <f t="shared" si="4"/>
        <v>0.3795</v>
      </c>
      <c r="K45">
        <f t="shared" si="4"/>
        <v>0.3347</v>
      </c>
      <c r="L45">
        <f t="shared" si="4"/>
        <v>7.0699999999999999E-2</v>
      </c>
      <c r="M45">
        <f t="shared" si="4"/>
        <v>0.3795</v>
      </c>
    </row>
    <row r="46" spans="1:13" x14ac:dyDescent="0.3">
      <c r="A46" t="s">
        <v>2</v>
      </c>
      <c r="B46">
        <f t="shared" si="4"/>
        <v>0</v>
      </c>
      <c r="C46">
        <f t="shared" si="4"/>
        <v>7.0699999999999999E-2</v>
      </c>
      <c r="D46">
        <f t="shared" si="4"/>
        <v>0</v>
      </c>
      <c r="E46">
        <f t="shared" si="4"/>
        <v>0.251</v>
      </c>
      <c r="F46">
        <f t="shared" si="4"/>
        <v>5.4800000000000001E-2</v>
      </c>
      <c r="G46">
        <f t="shared" si="4"/>
        <v>0.1414</v>
      </c>
      <c r="H46">
        <f t="shared" si="4"/>
        <v>0.251</v>
      </c>
      <c r="I46">
        <f t="shared" si="4"/>
        <v>7.0699999999999999E-2</v>
      </c>
      <c r="J46">
        <f t="shared" si="4"/>
        <v>0.3795</v>
      </c>
      <c r="K46">
        <f t="shared" si="4"/>
        <v>0.3795</v>
      </c>
      <c r="L46">
        <f t="shared" si="4"/>
        <v>0.251</v>
      </c>
      <c r="M46">
        <f t="shared" si="4"/>
        <v>0.3795</v>
      </c>
    </row>
    <row r="47" spans="1:13" x14ac:dyDescent="0.3">
      <c r="A47" t="s">
        <v>3</v>
      </c>
      <c r="B47">
        <f t="shared" si="4"/>
        <v>0</v>
      </c>
      <c r="C47">
        <f t="shared" si="4"/>
        <v>7.0699999999999999E-2</v>
      </c>
      <c r="D47">
        <f t="shared" si="4"/>
        <v>0</v>
      </c>
      <c r="E47">
        <f t="shared" si="4"/>
        <v>0</v>
      </c>
      <c r="F47">
        <f t="shared" si="4"/>
        <v>0.1673</v>
      </c>
      <c r="G47">
        <f t="shared" si="4"/>
        <v>0</v>
      </c>
      <c r="H47">
        <f t="shared" si="4"/>
        <v>0.28460000000000002</v>
      </c>
      <c r="I47">
        <f t="shared" si="4"/>
        <v>0</v>
      </c>
      <c r="J47">
        <f t="shared" si="4"/>
        <v>0.3795</v>
      </c>
      <c r="K47">
        <f t="shared" si="4"/>
        <v>3.1600000000000003E-2</v>
      </c>
      <c r="L47">
        <f t="shared" si="4"/>
        <v>0.251</v>
      </c>
      <c r="M47">
        <f t="shared" si="4"/>
        <v>0.3795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5.4800000000000001E-2</v>
      </c>
      <c r="C48">
        <f t="shared" si="5"/>
        <v>3.1600000000000003E-2</v>
      </c>
      <c r="D48">
        <f t="shared" si="5"/>
        <v>0</v>
      </c>
      <c r="E48">
        <f t="shared" si="5"/>
        <v>0</v>
      </c>
      <c r="F48">
        <f t="shared" si="5"/>
        <v>0</v>
      </c>
      <c r="G48">
        <f t="shared" si="5"/>
        <v>0.28460000000000002</v>
      </c>
      <c r="H48">
        <f t="shared" si="5"/>
        <v>0</v>
      </c>
      <c r="I48">
        <f t="shared" si="5"/>
        <v>0</v>
      </c>
      <c r="J48">
        <f t="shared" si="5"/>
        <v>0.3347</v>
      </c>
      <c r="K48">
        <f t="shared" si="5"/>
        <v>0.3347</v>
      </c>
      <c r="L48">
        <f t="shared" si="5"/>
        <v>0</v>
      </c>
      <c r="M48">
        <f t="shared" si="5"/>
        <v>0</v>
      </c>
    </row>
    <row r="49" spans="1:13" x14ac:dyDescent="0.3">
      <c r="A49" t="s">
        <v>5</v>
      </c>
      <c r="B49">
        <f t="shared" si="4"/>
        <v>0</v>
      </c>
      <c r="C49">
        <f t="shared" si="4"/>
        <v>0</v>
      </c>
      <c r="D49">
        <f t="shared" si="4"/>
        <v>0</v>
      </c>
      <c r="E49">
        <f t="shared" si="4"/>
        <v>5.4800000000000001E-2</v>
      </c>
      <c r="F49">
        <f t="shared" si="4"/>
        <v>3.1600000000000003E-2</v>
      </c>
      <c r="G49">
        <f t="shared" si="4"/>
        <v>0</v>
      </c>
      <c r="H49">
        <f t="shared" si="4"/>
        <v>0</v>
      </c>
      <c r="I49">
        <f t="shared" si="4"/>
        <v>0</v>
      </c>
      <c r="J49">
        <f t="shared" si="4"/>
        <v>0.3795</v>
      </c>
      <c r="K49">
        <f t="shared" si="4"/>
        <v>0</v>
      </c>
      <c r="L49">
        <f t="shared" si="4"/>
        <v>7.0699999999999999E-2</v>
      </c>
      <c r="M49">
        <f t="shared" si="4"/>
        <v>5.4800000000000001E-2</v>
      </c>
    </row>
    <row r="50" spans="1:13" x14ac:dyDescent="0.3">
      <c r="A50" t="s">
        <v>6</v>
      </c>
      <c r="B50">
        <f t="shared" si="4"/>
        <v>0.1414</v>
      </c>
      <c r="C50">
        <f t="shared" si="4"/>
        <v>0</v>
      </c>
      <c r="D50">
        <f t="shared" si="4"/>
        <v>5.4800000000000001E-2</v>
      </c>
      <c r="E50">
        <f t="shared" si="4"/>
        <v>7.0699999999999999E-2</v>
      </c>
      <c r="F50">
        <f t="shared" si="4"/>
        <v>0</v>
      </c>
      <c r="G50">
        <f t="shared" si="4"/>
        <v>0</v>
      </c>
      <c r="H50">
        <f t="shared" si="4"/>
        <v>0</v>
      </c>
      <c r="I50">
        <f t="shared" si="4"/>
        <v>0</v>
      </c>
      <c r="J50">
        <f t="shared" si="4"/>
        <v>7.0699999999999999E-2</v>
      </c>
      <c r="K50">
        <f t="shared" si="4"/>
        <v>0.1414</v>
      </c>
      <c r="L50">
        <f t="shared" si="4"/>
        <v>0</v>
      </c>
      <c r="M50">
        <f t="shared" si="4"/>
        <v>0</v>
      </c>
    </row>
    <row r="51" spans="1:13" x14ac:dyDescent="0.3">
      <c r="A51" t="s">
        <v>7</v>
      </c>
      <c r="B51">
        <f t="shared" si="4"/>
        <v>5.4800000000000001E-2</v>
      </c>
      <c r="C51">
        <f t="shared" si="4"/>
        <v>0</v>
      </c>
      <c r="D51">
        <f t="shared" si="4"/>
        <v>0</v>
      </c>
      <c r="E51">
        <f t="shared" si="4"/>
        <v>0</v>
      </c>
      <c r="F51">
        <f t="shared" si="4"/>
        <v>0.1673</v>
      </c>
      <c r="G51">
        <f t="shared" si="4"/>
        <v>5.4800000000000001E-2</v>
      </c>
      <c r="H51">
        <f t="shared" si="4"/>
        <v>7.0699999999999999E-2</v>
      </c>
      <c r="I51">
        <f t="shared" si="4"/>
        <v>0</v>
      </c>
      <c r="J51">
        <f t="shared" si="4"/>
        <v>0.28460000000000002</v>
      </c>
      <c r="K51">
        <f t="shared" si="4"/>
        <v>0.28460000000000002</v>
      </c>
      <c r="L51">
        <f t="shared" si="4"/>
        <v>0.28460000000000002</v>
      </c>
      <c r="M51">
        <f t="shared" si="4"/>
        <v>0.251</v>
      </c>
    </row>
    <row r="52" spans="1:13" x14ac:dyDescent="0.3">
      <c r="A52" t="s">
        <v>8</v>
      </c>
      <c r="B52">
        <f t="shared" si="4"/>
        <v>0.1673</v>
      </c>
      <c r="C52">
        <f t="shared" si="4"/>
        <v>0</v>
      </c>
      <c r="D52">
        <f t="shared" si="4"/>
        <v>0</v>
      </c>
      <c r="E52">
        <f t="shared" si="4"/>
        <v>0</v>
      </c>
      <c r="F52">
        <f t="shared" si="4"/>
        <v>0</v>
      </c>
      <c r="G52">
        <f t="shared" si="4"/>
        <v>0</v>
      </c>
      <c r="H52">
        <f t="shared" si="4"/>
        <v>0.28460000000000002</v>
      </c>
      <c r="I52">
        <f t="shared" si="4"/>
        <v>0</v>
      </c>
      <c r="J52">
        <f t="shared" si="4"/>
        <v>0</v>
      </c>
      <c r="K52">
        <f t="shared" si="4"/>
        <v>0.3347</v>
      </c>
      <c r="L52">
        <f t="shared" si="4"/>
        <v>0.3795</v>
      </c>
      <c r="M52">
        <f t="shared" si="4"/>
        <v>0.28460000000000002</v>
      </c>
    </row>
    <row r="53" spans="1:13" x14ac:dyDescent="0.3">
      <c r="A53" t="s">
        <v>9</v>
      </c>
      <c r="B53">
        <f t="shared" si="4"/>
        <v>7.0699999999999999E-2</v>
      </c>
      <c r="C53">
        <f t="shared" si="4"/>
        <v>7.0699999999999999E-2</v>
      </c>
      <c r="D53">
        <f t="shared" si="4"/>
        <v>0.1414</v>
      </c>
      <c r="E53">
        <f t="shared" si="4"/>
        <v>8.3699999999999997E-2</v>
      </c>
      <c r="F53">
        <f t="shared" si="4"/>
        <v>0</v>
      </c>
      <c r="G53">
        <f t="shared" si="4"/>
        <v>7.0699999999999999E-2</v>
      </c>
      <c r="H53">
        <f t="shared" si="4"/>
        <v>0</v>
      </c>
      <c r="I53">
        <f t="shared" si="4"/>
        <v>0</v>
      </c>
      <c r="J53">
        <f t="shared" si="4"/>
        <v>7.0699999999999999E-2</v>
      </c>
      <c r="K53">
        <f t="shared" si="4"/>
        <v>0</v>
      </c>
      <c r="L53">
        <f t="shared" si="4"/>
        <v>0</v>
      </c>
      <c r="M53">
        <f t="shared" si="4"/>
        <v>5.4800000000000001E-2</v>
      </c>
    </row>
    <row r="54" spans="1:13" x14ac:dyDescent="0.3">
      <c r="A54" t="s">
        <v>10</v>
      </c>
      <c r="B54">
        <f t="shared" si="4"/>
        <v>0.1414</v>
      </c>
      <c r="C54">
        <f t="shared" si="4"/>
        <v>3.1600000000000003E-2</v>
      </c>
      <c r="D54">
        <f t="shared" si="4"/>
        <v>0</v>
      </c>
      <c r="E54">
        <f t="shared" si="4"/>
        <v>0.1414</v>
      </c>
      <c r="F54">
        <f t="shared" si="4"/>
        <v>7.0699999999999999E-2</v>
      </c>
      <c r="G54">
        <f t="shared" si="4"/>
        <v>7.0699999999999999E-2</v>
      </c>
      <c r="H54">
        <f t="shared" si="4"/>
        <v>7.0699999999999999E-2</v>
      </c>
      <c r="I54">
        <f t="shared" si="4"/>
        <v>5.4800000000000001E-2</v>
      </c>
      <c r="J54">
        <f t="shared" si="4"/>
        <v>0</v>
      </c>
      <c r="K54">
        <f t="shared" si="4"/>
        <v>0</v>
      </c>
      <c r="L54">
        <f t="shared" si="4"/>
        <v>0</v>
      </c>
      <c r="M54">
        <f t="shared" si="4"/>
        <v>0.28460000000000002</v>
      </c>
    </row>
    <row r="55" spans="1:13" x14ac:dyDescent="0.3">
      <c r="A55" t="s">
        <v>11</v>
      </c>
      <c r="B55">
        <f t="shared" si="4"/>
        <v>5.4800000000000001E-2</v>
      </c>
      <c r="C55">
        <f t="shared" si="4"/>
        <v>7.0699999999999999E-2</v>
      </c>
      <c r="D55">
        <f t="shared" si="4"/>
        <v>0</v>
      </c>
      <c r="E55">
        <f t="shared" si="4"/>
        <v>3.1600000000000003E-2</v>
      </c>
      <c r="F55">
        <f t="shared" si="4"/>
        <v>0.1414</v>
      </c>
      <c r="G55">
        <f t="shared" si="4"/>
        <v>0</v>
      </c>
      <c r="H55">
        <f t="shared" si="4"/>
        <v>0</v>
      </c>
      <c r="I55">
        <f t="shared" si="4"/>
        <v>0.1414</v>
      </c>
      <c r="J55">
        <f t="shared" si="4"/>
        <v>7.0699999999999999E-2</v>
      </c>
      <c r="K55">
        <f t="shared" si="4"/>
        <v>0</v>
      </c>
      <c r="L55">
        <f t="shared" si="4"/>
        <v>0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0.3795</v>
      </c>
      <c r="D58">
        <f t="shared" si="6"/>
        <v>0.251</v>
      </c>
      <c r="E58">
        <f t="shared" si="6"/>
        <v>7.0699999999999999E-2</v>
      </c>
      <c r="F58">
        <f t="shared" si="6"/>
        <v>0.251</v>
      </c>
      <c r="G58">
        <f t="shared" si="6"/>
        <v>0.1095</v>
      </c>
      <c r="H58">
        <f t="shared" si="6"/>
        <v>0.1414</v>
      </c>
      <c r="I58">
        <f t="shared" si="6"/>
        <v>5.4800000000000001E-2</v>
      </c>
      <c r="J58">
        <f t="shared" si="6"/>
        <v>0.3795</v>
      </c>
      <c r="K58">
        <f t="shared" si="6"/>
        <v>3.1600000000000003E-2</v>
      </c>
      <c r="L58">
        <f t="shared" si="6"/>
        <v>7.0699999999999999E-2</v>
      </c>
      <c r="M58">
        <f t="shared" si="6"/>
        <v>0.1414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0.21210000000000001</v>
      </c>
      <c r="C59">
        <f t="shared" si="7"/>
        <v>0</v>
      </c>
      <c r="D59">
        <f t="shared" si="7"/>
        <v>0.3795</v>
      </c>
      <c r="E59">
        <f t="shared" si="7"/>
        <v>0.3795</v>
      </c>
      <c r="F59">
        <f t="shared" si="7"/>
        <v>5.4800000000000001E-2</v>
      </c>
      <c r="G59">
        <f t="shared" si="7"/>
        <v>0.3795</v>
      </c>
      <c r="H59">
        <f t="shared" si="7"/>
        <v>0.3347</v>
      </c>
      <c r="I59">
        <f t="shared" si="7"/>
        <v>0.21210000000000001</v>
      </c>
      <c r="J59">
        <f t="shared" si="7"/>
        <v>0.3795</v>
      </c>
      <c r="K59">
        <f t="shared" si="7"/>
        <v>0.3347</v>
      </c>
      <c r="L59">
        <f t="shared" si="7"/>
        <v>0.1414</v>
      </c>
      <c r="M59">
        <f t="shared" si="7"/>
        <v>0.3795</v>
      </c>
    </row>
    <row r="60" spans="1:13" x14ac:dyDescent="0.3">
      <c r="A60" t="s">
        <v>2</v>
      </c>
      <c r="B60">
        <f t="shared" si="7"/>
        <v>7.0699999999999999E-2</v>
      </c>
      <c r="C60">
        <f t="shared" si="7"/>
        <v>0.1414</v>
      </c>
      <c r="D60">
        <f t="shared" si="7"/>
        <v>0</v>
      </c>
      <c r="E60">
        <f t="shared" si="7"/>
        <v>0.3347</v>
      </c>
      <c r="F60">
        <f t="shared" si="7"/>
        <v>0.1095</v>
      </c>
      <c r="G60">
        <f t="shared" si="7"/>
        <v>0.21210000000000001</v>
      </c>
      <c r="H60">
        <f t="shared" si="7"/>
        <v>0.3347</v>
      </c>
      <c r="I60">
        <f t="shared" si="7"/>
        <v>0.1414</v>
      </c>
      <c r="J60">
        <f t="shared" si="7"/>
        <v>0.3795</v>
      </c>
      <c r="K60">
        <f t="shared" si="7"/>
        <v>0.3795</v>
      </c>
      <c r="L60">
        <f t="shared" si="7"/>
        <v>0.3347</v>
      </c>
      <c r="M60">
        <f t="shared" si="7"/>
        <v>0.3795</v>
      </c>
    </row>
    <row r="61" spans="1:13" x14ac:dyDescent="0.3">
      <c r="A61" t="s">
        <v>3</v>
      </c>
      <c r="B61">
        <f t="shared" si="7"/>
        <v>5.4800000000000001E-2</v>
      </c>
      <c r="C61">
        <f t="shared" si="7"/>
        <v>0.1414</v>
      </c>
      <c r="D61">
        <f t="shared" si="7"/>
        <v>8.3699999999999997E-2</v>
      </c>
      <c r="E61">
        <f t="shared" si="7"/>
        <v>0</v>
      </c>
      <c r="F61">
        <f t="shared" si="7"/>
        <v>0.251</v>
      </c>
      <c r="G61">
        <f t="shared" si="7"/>
        <v>7.0699999999999999E-2</v>
      </c>
      <c r="H61">
        <f t="shared" si="7"/>
        <v>0.3795</v>
      </c>
      <c r="I61">
        <f t="shared" si="7"/>
        <v>8.3699999999999997E-2</v>
      </c>
      <c r="J61">
        <f t="shared" si="7"/>
        <v>0.3795</v>
      </c>
      <c r="K61">
        <f t="shared" si="7"/>
        <v>6.3200000000000006E-2</v>
      </c>
      <c r="L61">
        <f t="shared" si="7"/>
        <v>0.3347</v>
      </c>
      <c r="M61">
        <f t="shared" si="7"/>
        <v>0.3795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0.1095</v>
      </c>
      <c r="C62">
        <f t="shared" si="8"/>
        <v>6.3200000000000006E-2</v>
      </c>
      <c r="D62">
        <f t="shared" si="8"/>
        <v>7.0699999999999999E-2</v>
      </c>
      <c r="E62">
        <f t="shared" si="8"/>
        <v>5.4800000000000001E-2</v>
      </c>
      <c r="F62">
        <f t="shared" si="8"/>
        <v>0</v>
      </c>
      <c r="G62">
        <f t="shared" si="8"/>
        <v>0.3795</v>
      </c>
      <c r="H62">
        <f t="shared" si="8"/>
        <v>7.0699999999999999E-2</v>
      </c>
      <c r="I62">
        <f t="shared" si="8"/>
        <v>7.0699999999999999E-2</v>
      </c>
      <c r="J62">
        <f t="shared" si="8"/>
        <v>0.3347</v>
      </c>
      <c r="K62">
        <f t="shared" si="8"/>
        <v>0.3347</v>
      </c>
      <c r="L62">
        <f t="shared" si="8"/>
        <v>5.4800000000000001E-2</v>
      </c>
      <c r="M62">
        <f t="shared" si="8"/>
        <v>7.0699999999999999E-2</v>
      </c>
    </row>
    <row r="63" spans="1:13" x14ac:dyDescent="0.3">
      <c r="A63" t="s">
        <v>5</v>
      </c>
      <c r="B63">
        <f t="shared" si="7"/>
        <v>5.4800000000000001E-2</v>
      </c>
      <c r="C63">
        <f t="shared" si="7"/>
        <v>5.4800000000000001E-2</v>
      </c>
      <c r="D63">
        <f t="shared" si="7"/>
        <v>3.1600000000000003E-2</v>
      </c>
      <c r="E63">
        <f t="shared" si="7"/>
        <v>0.1095</v>
      </c>
      <c r="F63">
        <f t="shared" si="7"/>
        <v>6.3200000000000006E-2</v>
      </c>
      <c r="G63">
        <f t="shared" si="7"/>
        <v>0</v>
      </c>
      <c r="H63">
        <f t="shared" si="7"/>
        <v>3.1600000000000003E-2</v>
      </c>
      <c r="I63">
        <f t="shared" si="7"/>
        <v>8.3699999999999997E-2</v>
      </c>
      <c r="J63">
        <f t="shared" si="7"/>
        <v>0.3795</v>
      </c>
      <c r="K63">
        <f t="shared" si="7"/>
        <v>5.4800000000000001E-2</v>
      </c>
      <c r="L63">
        <f t="shared" si="7"/>
        <v>0.1414</v>
      </c>
      <c r="M63">
        <f t="shared" si="7"/>
        <v>0.1095</v>
      </c>
    </row>
    <row r="64" spans="1:13" x14ac:dyDescent="0.3">
      <c r="A64" t="s">
        <v>6</v>
      </c>
      <c r="B64">
        <f t="shared" si="7"/>
        <v>0.21210000000000001</v>
      </c>
      <c r="C64">
        <f t="shared" si="7"/>
        <v>7.0699999999999999E-2</v>
      </c>
      <c r="D64">
        <f t="shared" si="7"/>
        <v>0.1095</v>
      </c>
      <c r="E64">
        <f t="shared" si="7"/>
        <v>0.1414</v>
      </c>
      <c r="F64">
        <f t="shared" si="7"/>
        <v>5.4800000000000001E-2</v>
      </c>
      <c r="G64">
        <f t="shared" si="7"/>
        <v>7.0699999999999999E-2</v>
      </c>
      <c r="H64">
        <f t="shared" si="7"/>
        <v>0</v>
      </c>
      <c r="I64">
        <f t="shared" si="7"/>
        <v>3.1600000000000003E-2</v>
      </c>
      <c r="J64">
        <f t="shared" si="7"/>
        <v>0.1414</v>
      </c>
      <c r="K64">
        <f t="shared" si="7"/>
        <v>0.21210000000000001</v>
      </c>
      <c r="L64">
        <f t="shared" si="7"/>
        <v>8.3699999999999997E-2</v>
      </c>
      <c r="M64">
        <f t="shared" si="7"/>
        <v>8.3699999999999997E-2</v>
      </c>
    </row>
    <row r="65" spans="1:13" x14ac:dyDescent="0.3">
      <c r="A65" t="s">
        <v>7</v>
      </c>
      <c r="B65">
        <f t="shared" si="7"/>
        <v>0.1095</v>
      </c>
      <c r="C65">
        <f t="shared" si="7"/>
        <v>7.0699999999999999E-2</v>
      </c>
      <c r="D65">
        <f t="shared" si="7"/>
        <v>5.4800000000000001E-2</v>
      </c>
      <c r="E65">
        <f t="shared" si="7"/>
        <v>5.4800000000000001E-2</v>
      </c>
      <c r="F65">
        <f t="shared" si="7"/>
        <v>0.251</v>
      </c>
      <c r="G65">
        <f t="shared" si="7"/>
        <v>0.1095</v>
      </c>
      <c r="H65">
        <f t="shared" si="7"/>
        <v>0.1414</v>
      </c>
      <c r="I65">
        <f t="shared" si="7"/>
        <v>0</v>
      </c>
      <c r="J65">
        <f t="shared" si="7"/>
        <v>0.3795</v>
      </c>
      <c r="K65">
        <f t="shared" si="7"/>
        <v>0.3795</v>
      </c>
      <c r="L65">
        <f t="shared" si="7"/>
        <v>0.3795</v>
      </c>
      <c r="M65">
        <f t="shared" si="7"/>
        <v>0.3347</v>
      </c>
    </row>
    <row r="66" spans="1:13" x14ac:dyDescent="0.3">
      <c r="A66" t="s">
        <v>8</v>
      </c>
      <c r="B66">
        <f t="shared" si="7"/>
        <v>0.251</v>
      </c>
      <c r="C66">
        <f t="shared" si="7"/>
        <v>7.0699999999999999E-2</v>
      </c>
      <c r="D66">
        <f t="shared" si="7"/>
        <v>5.4800000000000001E-2</v>
      </c>
      <c r="E66">
        <f t="shared" si="7"/>
        <v>3.1600000000000003E-2</v>
      </c>
      <c r="F66">
        <f t="shared" si="7"/>
        <v>8.3699999999999997E-2</v>
      </c>
      <c r="G66">
        <f t="shared" si="7"/>
        <v>7.0699999999999999E-2</v>
      </c>
      <c r="H66">
        <f t="shared" si="7"/>
        <v>0.3795</v>
      </c>
      <c r="I66">
        <f t="shared" si="7"/>
        <v>5.4800000000000001E-2</v>
      </c>
      <c r="J66">
        <f t="shared" si="7"/>
        <v>0</v>
      </c>
      <c r="K66">
        <f t="shared" si="7"/>
        <v>0.3347</v>
      </c>
      <c r="L66">
        <f t="shared" si="7"/>
        <v>0.3795</v>
      </c>
      <c r="M66">
        <f t="shared" si="7"/>
        <v>0.3795</v>
      </c>
    </row>
    <row r="67" spans="1:13" x14ac:dyDescent="0.3">
      <c r="A67" t="s">
        <v>9</v>
      </c>
      <c r="B67">
        <f t="shared" si="7"/>
        <v>0.1414</v>
      </c>
      <c r="C67">
        <f t="shared" si="7"/>
        <v>0.1414</v>
      </c>
      <c r="D67">
        <f t="shared" si="7"/>
        <v>0.21210000000000001</v>
      </c>
      <c r="E67">
        <f t="shared" si="7"/>
        <v>0.1673</v>
      </c>
      <c r="F67">
        <f t="shared" si="7"/>
        <v>7.0699999999999999E-2</v>
      </c>
      <c r="G67">
        <f t="shared" si="7"/>
        <v>0.1414</v>
      </c>
      <c r="H67">
        <f t="shared" si="7"/>
        <v>7.0699999999999999E-2</v>
      </c>
      <c r="I67">
        <f t="shared" si="7"/>
        <v>7.0699999999999999E-2</v>
      </c>
      <c r="J67">
        <f t="shared" si="7"/>
        <v>0.1414</v>
      </c>
      <c r="K67">
        <f t="shared" si="7"/>
        <v>0</v>
      </c>
      <c r="L67">
        <f t="shared" si="7"/>
        <v>7.0699999999999999E-2</v>
      </c>
      <c r="M67">
        <f t="shared" si="7"/>
        <v>0.1095</v>
      </c>
    </row>
    <row r="68" spans="1:13" x14ac:dyDescent="0.3">
      <c r="A68" t="s">
        <v>10</v>
      </c>
      <c r="B68">
        <f t="shared" si="7"/>
        <v>0.21210000000000001</v>
      </c>
      <c r="C68">
        <f t="shared" si="7"/>
        <v>6.3200000000000006E-2</v>
      </c>
      <c r="D68">
        <f t="shared" si="7"/>
        <v>7.0699999999999999E-2</v>
      </c>
      <c r="E68">
        <f t="shared" si="7"/>
        <v>0.21210000000000001</v>
      </c>
      <c r="F68">
        <f t="shared" si="7"/>
        <v>0.1414</v>
      </c>
      <c r="G68">
        <f t="shared" si="7"/>
        <v>0.1414</v>
      </c>
      <c r="H68">
        <f t="shared" si="7"/>
        <v>0.1414</v>
      </c>
      <c r="I68">
        <f t="shared" si="7"/>
        <v>0.1095</v>
      </c>
      <c r="J68">
        <f t="shared" si="7"/>
        <v>5.4800000000000001E-2</v>
      </c>
      <c r="K68">
        <f t="shared" si="7"/>
        <v>7.0699999999999999E-2</v>
      </c>
      <c r="L68">
        <f t="shared" si="7"/>
        <v>0</v>
      </c>
      <c r="M68">
        <f t="shared" si="7"/>
        <v>0.3795</v>
      </c>
    </row>
    <row r="69" spans="1:13" x14ac:dyDescent="0.3">
      <c r="A69" t="s">
        <v>11</v>
      </c>
      <c r="B69">
        <f t="shared" si="7"/>
        <v>0.1095</v>
      </c>
      <c r="C69">
        <f t="shared" si="7"/>
        <v>0.1414</v>
      </c>
      <c r="D69">
        <f t="shared" si="7"/>
        <v>7.0699999999999999E-2</v>
      </c>
      <c r="E69">
        <f t="shared" si="7"/>
        <v>6.3200000000000006E-2</v>
      </c>
      <c r="F69">
        <f t="shared" si="7"/>
        <v>0.21210000000000001</v>
      </c>
      <c r="G69">
        <f t="shared" si="7"/>
        <v>7.0699999999999999E-2</v>
      </c>
      <c r="H69">
        <f t="shared" si="7"/>
        <v>8.3699999999999997E-2</v>
      </c>
      <c r="I69">
        <f t="shared" si="7"/>
        <v>0.21210000000000001</v>
      </c>
      <c r="J69">
        <f t="shared" si="7"/>
        <v>0.1414</v>
      </c>
      <c r="K69">
        <f t="shared" si="7"/>
        <v>5.4800000000000001E-2</v>
      </c>
      <c r="L69">
        <f t="shared" si="7"/>
        <v>3.1600000000000003E-2</v>
      </c>
      <c r="M69">
        <f t="shared" si="7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5"/>
  <dimension ref="A1:M69"/>
  <sheetViews>
    <sheetView workbookViewId="0">
      <selection activeCell="A15" sqref="A15:M69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12</v>
      </c>
      <c r="D2" t="s">
        <v>12</v>
      </c>
      <c r="E2" t="s">
        <v>16</v>
      </c>
      <c r="F2" t="s">
        <v>12</v>
      </c>
      <c r="G2" t="s">
        <v>21</v>
      </c>
      <c r="H2" t="s">
        <v>22</v>
      </c>
      <c r="I2" t="s">
        <v>22</v>
      </c>
      <c r="J2" t="s">
        <v>13</v>
      </c>
      <c r="K2" t="s">
        <v>62</v>
      </c>
      <c r="L2" t="s">
        <v>24</v>
      </c>
      <c r="M2" t="s">
        <v>23</v>
      </c>
    </row>
    <row r="3" spans="1:13" x14ac:dyDescent="0.3">
      <c r="A3" s="1" t="s">
        <v>1</v>
      </c>
      <c r="B3" t="s">
        <v>15</v>
      </c>
      <c r="C3">
        <v>0</v>
      </c>
      <c r="D3" t="s">
        <v>18</v>
      </c>
      <c r="E3" t="s">
        <v>25</v>
      </c>
      <c r="F3" t="s">
        <v>22</v>
      </c>
      <c r="G3" t="s">
        <v>12</v>
      </c>
      <c r="H3" t="s">
        <v>23</v>
      </c>
      <c r="I3" t="s">
        <v>22</v>
      </c>
      <c r="J3" t="s">
        <v>18</v>
      </c>
      <c r="K3" t="s">
        <v>25</v>
      </c>
      <c r="L3" t="s">
        <v>25</v>
      </c>
      <c r="M3" t="s">
        <v>13</v>
      </c>
    </row>
    <row r="4" spans="1:13" x14ac:dyDescent="0.3">
      <c r="A4" s="1" t="s">
        <v>2</v>
      </c>
      <c r="B4" t="s">
        <v>20</v>
      </c>
      <c r="C4" t="s">
        <v>24</v>
      </c>
      <c r="D4">
        <v>0</v>
      </c>
      <c r="E4" t="s">
        <v>15</v>
      </c>
      <c r="F4" t="s">
        <v>17</v>
      </c>
      <c r="G4" t="s">
        <v>19</v>
      </c>
      <c r="H4" t="s">
        <v>22</v>
      </c>
      <c r="I4" t="s">
        <v>23</v>
      </c>
      <c r="J4" t="s">
        <v>13</v>
      </c>
      <c r="K4" t="s">
        <v>18</v>
      </c>
      <c r="L4" t="s">
        <v>12</v>
      </c>
      <c r="M4" t="s">
        <v>13</v>
      </c>
    </row>
    <row r="5" spans="1:13" x14ac:dyDescent="0.3">
      <c r="A5" s="1" t="s">
        <v>3</v>
      </c>
      <c r="B5" t="s">
        <v>22</v>
      </c>
      <c r="C5" t="s">
        <v>20</v>
      </c>
      <c r="D5" t="s">
        <v>16</v>
      </c>
      <c r="E5">
        <v>0</v>
      </c>
      <c r="F5" t="s">
        <v>21</v>
      </c>
      <c r="G5" t="s">
        <v>22</v>
      </c>
      <c r="H5" t="s">
        <v>12</v>
      </c>
      <c r="I5" t="s">
        <v>15</v>
      </c>
      <c r="J5" t="s">
        <v>12</v>
      </c>
      <c r="K5" t="s">
        <v>23</v>
      </c>
      <c r="L5" t="s">
        <v>12</v>
      </c>
      <c r="M5" t="s">
        <v>15</v>
      </c>
    </row>
    <row r="6" spans="1:13" x14ac:dyDescent="0.3">
      <c r="A6" s="1" t="s">
        <v>4</v>
      </c>
      <c r="B6" t="s">
        <v>15</v>
      </c>
      <c r="C6" t="s">
        <v>15</v>
      </c>
      <c r="D6" t="s">
        <v>21</v>
      </c>
      <c r="E6" t="s">
        <v>17</v>
      </c>
      <c r="F6">
        <v>0</v>
      </c>
      <c r="G6" t="s">
        <v>21</v>
      </c>
      <c r="H6" t="s">
        <v>24</v>
      </c>
      <c r="I6" t="s">
        <v>15</v>
      </c>
      <c r="J6" t="s">
        <v>25</v>
      </c>
      <c r="K6" t="s">
        <v>25</v>
      </c>
      <c r="L6" t="s">
        <v>16</v>
      </c>
      <c r="M6" t="s">
        <v>15</v>
      </c>
    </row>
    <row r="7" spans="1:13" x14ac:dyDescent="0.3">
      <c r="A7" s="1" t="s">
        <v>5</v>
      </c>
      <c r="B7" t="s">
        <v>22</v>
      </c>
      <c r="C7" t="s">
        <v>16</v>
      </c>
      <c r="D7" t="s">
        <v>15</v>
      </c>
      <c r="E7" t="s">
        <v>22</v>
      </c>
      <c r="F7" t="s">
        <v>15</v>
      </c>
      <c r="G7">
        <v>0</v>
      </c>
      <c r="H7" t="s">
        <v>62</v>
      </c>
      <c r="I7" t="s">
        <v>15</v>
      </c>
      <c r="J7" t="s">
        <v>25</v>
      </c>
      <c r="K7" t="s">
        <v>15</v>
      </c>
      <c r="L7" s="6" t="s">
        <v>62</v>
      </c>
      <c r="M7" t="s">
        <v>22</v>
      </c>
    </row>
    <row r="8" spans="1:13" x14ac:dyDescent="0.3">
      <c r="A8" s="1" t="s">
        <v>6</v>
      </c>
      <c r="B8" t="s">
        <v>71</v>
      </c>
      <c r="C8" t="s">
        <v>22</v>
      </c>
      <c r="D8" t="s">
        <v>16</v>
      </c>
      <c r="E8" t="s">
        <v>23</v>
      </c>
      <c r="F8" t="s">
        <v>15</v>
      </c>
      <c r="G8" t="s">
        <v>23</v>
      </c>
      <c r="H8">
        <v>0</v>
      </c>
      <c r="I8" t="s">
        <v>23</v>
      </c>
      <c r="J8" t="s">
        <v>15</v>
      </c>
      <c r="K8" t="s">
        <v>15</v>
      </c>
      <c r="L8" s="6" t="s">
        <v>20</v>
      </c>
      <c r="M8" t="s">
        <v>17</v>
      </c>
    </row>
    <row r="9" spans="1:13" x14ac:dyDescent="0.3">
      <c r="A9" s="1" t="s">
        <v>7</v>
      </c>
      <c r="B9" t="s">
        <v>22</v>
      </c>
      <c r="C9" t="s">
        <v>15</v>
      </c>
      <c r="D9" t="s">
        <v>17</v>
      </c>
      <c r="E9" t="s">
        <v>20</v>
      </c>
      <c r="F9" t="s">
        <v>24</v>
      </c>
      <c r="G9" t="s">
        <v>15</v>
      </c>
      <c r="H9" t="s">
        <v>71</v>
      </c>
      <c r="I9">
        <v>0</v>
      </c>
      <c r="J9" t="s">
        <v>13</v>
      </c>
      <c r="K9" t="s">
        <v>18</v>
      </c>
      <c r="L9" s="6" t="s">
        <v>13</v>
      </c>
      <c r="M9" t="s">
        <v>13</v>
      </c>
    </row>
    <row r="10" spans="1:13" x14ac:dyDescent="0.3">
      <c r="A10" s="1" t="s">
        <v>8</v>
      </c>
      <c r="B10" t="s">
        <v>21</v>
      </c>
      <c r="C10" t="s">
        <v>23</v>
      </c>
      <c r="D10" t="s">
        <v>16</v>
      </c>
      <c r="E10" t="s">
        <v>20</v>
      </c>
      <c r="F10" t="s">
        <v>15</v>
      </c>
      <c r="G10" t="s">
        <v>21</v>
      </c>
      <c r="H10" t="s">
        <v>18</v>
      </c>
      <c r="I10" t="s">
        <v>16</v>
      </c>
      <c r="J10">
        <v>0</v>
      </c>
      <c r="K10" t="s">
        <v>18</v>
      </c>
      <c r="L10" s="6" t="s">
        <v>25</v>
      </c>
      <c r="M10" t="s">
        <v>18</v>
      </c>
    </row>
    <row r="11" spans="1:13" x14ac:dyDescent="0.3">
      <c r="A11" s="1" t="s">
        <v>9</v>
      </c>
      <c r="B11" t="s">
        <v>24</v>
      </c>
      <c r="C11" t="s">
        <v>62</v>
      </c>
      <c r="D11" t="s">
        <v>20</v>
      </c>
      <c r="E11" t="s">
        <v>15</v>
      </c>
      <c r="F11" t="s">
        <v>71</v>
      </c>
      <c r="G11" t="s">
        <v>20</v>
      </c>
      <c r="H11" t="s">
        <v>15</v>
      </c>
      <c r="I11" t="s">
        <v>22</v>
      </c>
      <c r="J11" t="s">
        <v>24</v>
      </c>
      <c r="K11">
        <v>0</v>
      </c>
      <c r="L11" s="6" t="s">
        <v>16</v>
      </c>
      <c r="M11" t="s">
        <v>16</v>
      </c>
    </row>
    <row r="12" spans="1:13" x14ac:dyDescent="0.3">
      <c r="A12" s="1" t="s">
        <v>10</v>
      </c>
      <c r="B12" t="s">
        <v>24</v>
      </c>
      <c r="C12" t="s">
        <v>24</v>
      </c>
      <c r="D12" t="s">
        <v>16</v>
      </c>
      <c r="E12" t="s">
        <v>20</v>
      </c>
      <c r="F12" t="s">
        <v>16</v>
      </c>
      <c r="G12" t="s">
        <v>15</v>
      </c>
      <c r="H12" t="s">
        <v>22</v>
      </c>
      <c r="I12" t="s">
        <v>16</v>
      </c>
      <c r="J12" t="s">
        <v>17</v>
      </c>
      <c r="K12" t="s">
        <v>17</v>
      </c>
      <c r="L12">
        <v>0</v>
      </c>
      <c r="M12" t="s">
        <v>18</v>
      </c>
    </row>
    <row r="13" spans="1:13" x14ac:dyDescent="0.3">
      <c r="A13" s="1" t="s">
        <v>11</v>
      </c>
      <c r="B13" t="s">
        <v>15</v>
      </c>
      <c r="C13" t="s">
        <v>15</v>
      </c>
      <c r="D13" t="s">
        <v>20</v>
      </c>
      <c r="E13" t="s">
        <v>16</v>
      </c>
      <c r="F13" t="s">
        <v>24</v>
      </c>
      <c r="G13" t="s">
        <v>15</v>
      </c>
      <c r="H13" t="s">
        <v>62</v>
      </c>
      <c r="I13" t="s">
        <v>71</v>
      </c>
      <c r="J13" t="s">
        <v>22</v>
      </c>
      <c r="K13" t="s">
        <v>22</v>
      </c>
      <c r="L13" t="s">
        <v>20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(0,1673; 0,251; 0,3347)</v>
      </c>
      <c r="D16" t="str">
        <f>VLOOKUP(D2,'Thang đánh giá'!$C$2:$D$27,2,FALSE)</f>
        <v>(0,1673; 0,251; 0,3347)</v>
      </c>
      <c r="E16" t="str">
        <f>VLOOKUP(E2,'Thang đánh giá'!$C$2:$D$27,2,FALSE)</f>
        <v>(0; 0; 0,0707)</v>
      </c>
      <c r="F16" t="str">
        <f>VLOOKUP(F2,'Thang đánh giá'!$C$2:$D$27,2,FALSE)</f>
        <v>(0,1673; 0,251; 0,3347)</v>
      </c>
      <c r="G16" t="str">
        <f>VLOOKUP(G2,'Thang đánh giá'!$C$2:$D$27,2,FALSE)</f>
        <v>(0,0837; 0,1673; 0,251)</v>
      </c>
      <c r="H16" t="str">
        <f>VLOOKUP(H2,'Thang đánh giá'!$C$2:$D$27,2,FALSE)</f>
        <v>(0,0707; 0,1414; 0,2121)</v>
      </c>
      <c r="I16" t="str">
        <f>VLOOKUP(I2,'Thang đánh giá'!$C$2:$D$27,2,FALSE)</f>
        <v>(0,0707; 0,1414; 0,2121)</v>
      </c>
      <c r="J16" t="str">
        <f>VLOOKUP(J2,'Thang đánh giá'!$C$2:$D$27,2,FALSE)</f>
        <v>(0,1897; 0,2846; 0,3795)</v>
      </c>
      <c r="K16" t="str">
        <f>VLOOKUP(K2,'Thang đánh giá'!$C$2:$D$27,2,FALSE)</f>
        <v>(0; 0,0837; 0,1673)</v>
      </c>
      <c r="L16" t="str">
        <f>VLOOKUP(L2,'Thang đánh giá'!$C$2:$D$27,2,FALSE)</f>
        <v>(0; 0; 0,0548)</v>
      </c>
      <c r="M16" t="str">
        <f>VLOOKUP(M2,'Thang đánh giá'!$C$2:$D$27,2,FALSE)</f>
        <v>(0; 0; 0,0316)</v>
      </c>
    </row>
    <row r="17" spans="1:13" x14ac:dyDescent="0.3">
      <c r="A17" t="s">
        <v>1</v>
      </c>
      <c r="B17" t="str">
        <f>VLOOKUP(B3,'Thang đánh giá'!$C$2:$D$27,2,FALSE)</f>
        <v>(0; 0,0707; 0,1414)</v>
      </c>
      <c r="C17" t="str">
        <f>VLOOKUP(C3,'Thang đánh giá'!$C$2:$D$27,2,FALSE)</f>
        <v>(0; 0; 0)</v>
      </c>
      <c r="D17" t="str">
        <f>VLOOKUP(D3,'Thang đánh giá'!$C$2:$D$27,2,FALSE)</f>
        <v>(0,2846; 0,3795; 0,3795)</v>
      </c>
      <c r="E17" t="str">
        <f>VLOOKUP(E3,'Thang đánh giá'!$C$2:$D$27,2,FALSE)</f>
        <v>(0,251; 0,3347; 0,3347)</v>
      </c>
      <c r="F17" t="str">
        <f>VLOOKUP(F3,'Thang đánh giá'!$C$2:$D$27,2,FALSE)</f>
        <v>(0,0707; 0,1414; 0,2121)</v>
      </c>
      <c r="G17" t="str">
        <f>VLOOKUP(G3,'Thang đánh giá'!$C$2:$D$27,2,FALSE)</f>
        <v>(0,1673; 0,251; 0,3347)</v>
      </c>
      <c r="H17" t="str">
        <f>VLOOKUP(H3,'Thang đánh giá'!$C$2:$D$27,2,FALSE)</f>
        <v>(0; 0; 0,0316)</v>
      </c>
      <c r="I17" t="str">
        <f>VLOOKUP(I3,'Thang đánh giá'!$C$2:$D$27,2,FALSE)</f>
        <v>(0,0707; 0,1414; 0,2121)</v>
      </c>
      <c r="J17" t="str">
        <f>VLOOKUP(J3,'Thang đánh giá'!$C$2:$D$27,2,FALSE)</f>
        <v>(0,2846; 0,3795; 0,3795)</v>
      </c>
      <c r="K17" t="str">
        <f>VLOOKUP(K3,'Thang đánh giá'!$C$2:$D$27,2,FALSE)</f>
        <v>(0,251; 0,3347; 0,3347)</v>
      </c>
      <c r="L17" t="str">
        <f>VLOOKUP(L3,'Thang đánh giá'!$C$2:$D$27,2,FALSE)</f>
        <v>(0,251; 0,3347; 0,3347)</v>
      </c>
      <c r="M17" t="str">
        <f>VLOOKUP(M3,'Thang đánh giá'!$C$2:$D$27,2,FALSE)</f>
        <v>(0,1897; 0,2846; 0,3795)</v>
      </c>
    </row>
    <row r="18" spans="1:13" x14ac:dyDescent="0.3">
      <c r="A18" t="s">
        <v>2</v>
      </c>
      <c r="B18" t="str">
        <f>VLOOKUP(B4,'Thang đánh giá'!$C$2:$D$27,2,FALSE)</f>
        <v>(0; 0,0548; 0,1095)</v>
      </c>
      <c r="C18" t="str">
        <f>VLOOKUP(C4,'Thang đánh giá'!$C$2:$D$27,2,FALSE)</f>
        <v>(0; 0; 0,0548)</v>
      </c>
      <c r="D18" t="str">
        <f>VLOOKUP(D4,'Thang đánh giá'!$C$2:$D$27,2,FALSE)</f>
        <v>(0; 0; 0)</v>
      </c>
      <c r="E18" t="str">
        <f>VLOOKUP(E4,'Thang đánh giá'!$C$2:$D$27,2,FALSE)</f>
        <v>(0; 0,0707; 0,1414)</v>
      </c>
      <c r="F18" t="str">
        <f>VLOOKUP(F4,'Thang đánh giá'!$C$2:$D$27,2,FALSE)</f>
        <v>(0; 0,0316; 0,0632)</v>
      </c>
      <c r="G18" t="str">
        <f>VLOOKUP(G4,'Thang đánh giá'!$C$2:$D$27,2,FALSE)</f>
        <v>(0,1414; 0,2121; 0,2828)</v>
      </c>
      <c r="H18" t="str">
        <f>VLOOKUP(H4,'Thang đánh giá'!$C$2:$D$27,2,FALSE)</f>
        <v>(0,0707; 0,1414; 0,2121)</v>
      </c>
      <c r="I18" t="str">
        <f>VLOOKUP(I4,'Thang đánh giá'!$C$2:$D$27,2,FALSE)</f>
        <v>(0; 0; 0,0316)</v>
      </c>
      <c r="J18" t="str">
        <f>VLOOKUP(J4,'Thang đánh giá'!$C$2:$D$27,2,FALSE)</f>
        <v>(0,1897; 0,2846; 0,3795)</v>
      </c>
      <c r="K18" t="str">
        <f>VLOOKUP(K4,'Thang đánh giá'!$C$2:$D$27,2,FALSE)</f>
        <v>(0,2846; 0,3795; 0,3795)</v>
      </c>
      <c r="L18" t="str">
        <f>VLOOKUP(L4,'Thang đánh giá'!$C$2:$D$27,2,FALSE)</f>
        <v>(0,1673; 0,251; 0,3347)</v>
      </c>
      <c r="M18" t="str">
        <f>VLOOKUP(M4,'Thang đánh giá'!$C$2:$D$27,2,FALSE)</f>
        <v>(0,1897; 0,2846; 0,3795)</v>
      </c>
    </row>
    <row r="19" spans="1:13" x14ac:dyDescent="0.3">
      <c r="A19" t="s">
        <v>3</v>
      </c>
      <c r="B19" t="str">
        <f>VLOOKUP(B5,'Thang đánh giá'!$C$2:$D$27,2,FALSE)</f>
        <v>(0,0707; 0,1414; 0,2121)</v>
      </c>
      <c r="C19" t="str">
        <f>VLOOKUP(C5,'Thang đánh giá'!$C$2:$D$27,2,FALSE)</f>
        <v>(0; 0,0548; 0,1095)</v>
      </c>
      <c r="D19" t="str">
        <f>VLOOKUP(D5,'Thang đánh giá'!$C$2:$D$27,2,FALSE)</f>
        <v>(0; 0; 0,0707)</v>
      </c>
      <c r="E19" t="str">
        <f>VLOOKUP(E5,'Thang đánh giá'!$C$2:$D$27,2,FALSE)</f>
        <v>(0; 0; 0)</v>
      </c>
      <c r="F19" t="str">
        <f>VLOOKUP(F5,'Thang đánh giá'!$C$2:$D$27,2,FALSE)</f>
        <v>(0,0837; 0,1673; 0,251)</v>
      </c>
      <c r="G19" t="str">
        <f>VLOOKUP(G5,'Thang đánh giá'!$C$2:$D$27,2,FALSE)</f>
        <v>(0,0707; 0,1414; 0,2121)</v>
      </c>
      <c r="H19" t="str">
        <f>VLOOKUP(H5,'Thang đánh giá'!$C$2:$D$27,2,FALSE)</f>
        <v>(0,1673; 0,251; 0,3347)</v>
      </c>
      <c r="I19" t="str">
        <f>VLOOKUP(I5,'Thang đánh giá'!$C$2:$D$27,2,FALSE)</f>
        <v>(0; 0,0707; 0,1414)</v>
      </c>
      <c r="J19" t="str">
        <f>VLOOKUP(J5,'Thang đánh giá'!$C$2:$D$27,2,FALSE)</f>
        <v>(0,1673; 0,251; 0,3347)</v>
      </c>
      <c r="K19" t="str">
        <f>VLOOKUP(K5,'Thang đánh giá'!$C$2:$D$27,2,FALSE)</f>
        <v>(0; 0; 0,0316)</v>
      </c>
      <c r="L19" t="str">
        <f>VLOOKUP(L5,'Thang đánh giá'!$C$2:$D$27,2,FALSE)</f>
        <v>(0,1673; 0,251; 0,3347)</v>
      </c>
      <c r="M19" t="str">
        <f>VLOOKUP(M5,'Thang đánh giá'!$C$2:$D$27,2,FALSE)</f>
        <v>(0; 0,0707; 0,1414)</v>
      </c>
    </row>
    <row r="20" spans="1:13" x14ac:dyDescent="0.3">
      <c r="A20" t="s">
        <v>4</v>
      </c>
      <c r="B20" t="str">
        <f>VLOOKUP(B6,'Thang đánh giá'!$C$2:$D$27,2,FALSE)</f>
        <v>(0; 0,0707; 0,1414)</v>
      </c>
      <c r="C20" t="str">
        <f>VLOOKUP(C6,'Thang đánh giá'!$C$2:$D$27,2,FALSE)</f>
        <v>(0; 0,0707; 0,1414)</v>
      </c>
      <c r="D20" t="str">
        <f>VLOOKUP(D6,'Thang đánh giá'!$C$2:$D$27,2,FALSE)</f>
        <v>(0,0837; 0,1673; 0,251)</v>
      </c>
      <c r="E20" t="str">
        <f>VLOOKUP(E6,'Thang đánh giá'!$C$2:$D$27,2,FALSE)</f>
        <v>(0; 0,0316; 0,0632)</v>
      </c>
      <c r="F20" t="str">
        <f>VLOOKUP(F6,'Thang đánh giá'!$C$2:$D$27,2,FALSE)</f>
        <v>(0; 0; 0)</v>
      </c>
      <c r="G20" t="str">
        <f>VLOOKUP(G6,'Thang đánh giá'!$C$2:$D$27,2,FALSE)</f>
        <v>(0,0837; 0,1673; 0,251)</v>
      </c>
      <c r="H20" t="str">
        <f>VLOOKUP(H6,'Thang đánh giá'!$C$2:$D$27,2,FALSE)</f>
        <v>(0; 0; 0,0548)</v>
      </c>
      <c r="I20" t="str">
        <f>VLOOKUP(I6,'Thang đánh giá'!$C$2:$D$27,2,FALSE)</f>
        <v>(0; 0,0707; 0,1414)</v>
      </c>
      <c r="J20" t="str">
        <f>VLOOKUP(J6,'Thang đánh giá'!$C$2:$D$27,2,FALSE)</f>
        <v>(0,251; 0,3347; 0,3347)</v>
      </c>
      <c r="K20" t="str">
        <f>VLOOKUP(K6,'Thang đánh giá'!$C$2:$D$27,2,FALSE)</f>
        <v>(0,251; 0,3347; 0,3347)</v>
      </c>
      <c r="L20" t="str">
        <f>VLOOKUP(L6,'Thang đánh giá'!$C$2:$D$27,2,FALSE)</f>
        <v>(0; 0; 0,0707)</v>
      </c>
      <c r="M20" t="str">
        <f>VLOOKUP(M6,'Thang đánh giá'!$C$2:$D$27,2,FALSE)</f>
        <v>(0; 0,0707; 0,1414)</v>
      </c>
    </row>
    <row r="21" spans="1:13" x14ac:dyDescent="0.3">
      <c r="A21" t="s">
        <v>5</v>
      </c>
      <c r="B21" t="str">
        <f>VLOOKUP(B7,'Thang đánh giá'!$C$2:$D$27,2,FALSE)</f>
        <v>(0,0707; 0,1414; 0,2121)</v>
      </c>
      <c r="C21" t="str">
        <f>VLOOKUP(C7,'Thang đánh giá'!$C$2:$D$27,2,FALSE)</f>
        <v>(0; 0; 0,0707)</v>
      </c>
      <c r="D21" t="str">
        <f>VLOOKUP(D7,'Thang đánh giá'!$C$2:$D$27,2,FALSE)</f>
        <v>(0; 0,0707; 0,1414)</v>
      </c>
      <c r="E21" t="str">
        <f>VLOOKUP(E7,'Thang đánh giá'!$C$2:$D$27,2,FALSE)</f>
        <v>(0,0707; 0,1414; 0,2121)</v>
      </c>
      <c r="F21" t="str">
        <f>VLOOKUP(F7,'Thang đánh giá'!$C$2:$D$27,2,FALSE)</f>
        <v>(0; 0,0707; 0,1414)</v>
      </c>
      <c r="G21" t="str">
        <f>VLOOKUP(G7,'Thang đánh giá'!$C$2:$D$27,2,FALSE)</f>
        <v>(0; 0; 0)</v>
      </c>
      <c r="H21" t="str">
        <f>VLOOKUP(H7,'Thang đánh giá'!$C$2:$D$27,2,FALSE)</f>
        <v>(0; 0,0837; 0,1673)</v>
      </c>
      <c r="I21" t="str">
        <f>VLOOKUP(I7,'Thang đánh giá'!$C$2:$D$27,2,FALSE)</f>
        <v>(0; 0,0707; 0,1414)</v>
      </c>
      <c r="J21" t="str">
        <f>VLOOKUP(J7,'Thang đánh giá'!$C$2:$D$27,2,FALSE)</f>
        <v>(0,251; 0,3347; 0,3347)</v>
      </c>
      <c r="K21" t="str">
        <f>VLOOKUP(K7,'Thang đánh giá'!$C$2:$D$27,2,FALSE)</f>
        <v>(0; 0,0707; 0,1414)</v>
      </c>
      <c r="L21" t="str">
        <f>VLOOKUP(L7,'Thang đánh giá'!$C$2:$D$27,2,FALSE)</f>
        <v>(0; 0,0837; 0,1673)</v>
      </c>
      <c r="M21" t="str">
        <f>VLOOKUP(M7,'Thang đánh giá'!$C$2:$D$27,2,FALSE)</f>
        <v>(0,0707; 0,1414; 0,2121)</v>
      </c>
    </row>
    <row r="22" spans="1:13" x14ac:dyDescent="0.3">
      <c r="A22" t="s">
        <v>6</v>
      </c>
      <c r="B22" t="str">
        <f>VLOOKUP(B8,'Thang đánh giá'!$C$2:$D$27,2,FALSE)</f>
        <v>(0; 0; 0,0837)</v>
      </c>
      <c r="C22" t="str">
        <f>VLOOKUP(C8,'Thang đánh giá'!$C$2:$D$27,2,FALSE)</f>
        <v>(0,0707; 0,1414; 0,2121)</v>
      </c>
      <c r="D22" t="str">
        <f>VLOOKUP(D8,'Thang đánh giá'!$C$2:$D$27,2,FALSE)</f>
        <v>(0; 0; 0,0707)</v>
      </c>
      <c r="E22" t="str">
        <f>VLOOKUP(E8,'Thang đánh giá'!$C$2:$D$27,2,FALSE)</f>
        <v>(0; 0; 0,0316)</v>
      </c>
      <c r="F22" t="str">
        <f>VLOOKUP(F8,'Thang đánh giá'!$C$2:$D$27,2,FALSE)</f>
        <v>(0; 0,0707; 0,1414)</v>
      </c>
      <c r="G22" t="str">
        <f>VLOOKUP(G8,'Thang đánh giá'!$C$2:$D$27,2,FALSE)</f>
        <v>(0; 0; 0,0316)</v>
      </c>
      <c r="H22" t="str">
        <f>VLOOKUP(H8,'Thang đánh giá'!$C$2:$D$27,2,FALSE)</f>
        <v>(0; 0; 0)</v>
      </c>
      <c r="I22" t="str">
        <f>VLOOKUP(I8,'Thang đánh giá'!$C$2:$D$27,2,FALSE)</f>
        <v>(0; 0; 0,0316)</v>
      </c>
      <c r="J22" t="str">
        <f>VLOOKUP(J8,'Thang đánh giá'!$C$2:$D$27,2,FALSE)</f>
        <v>(0; 0,0707; 0,1414)</v>
      </c>
      <c r="K22" t="str">
        <f>VLOOKUP(K8,'Thang đánh giá'!$C$2:$D$27,2,FALSE)</f>
        <v>(0; 0,0707; 0,1414)</v>
      </c>
      <c r="L22" t="str">
        <f>VLOOKUP(L8,'Thang đánh giá'!$C$2:$D$27,2,FALSE)</f>
        <v>(0; 0,0548; 0,1095)</v>
      </c>
      <c r="M22" t="str">
        <f>VLOOKUP(M8,'Thang đánh giá'!$C$2:$D$27,2,FALSE)</f>
        <v>(0; 0,0316; 0,0632)</v>
      </c>
    </row>
    <row r="23" spans="1:13" x14ac:dyDescent="0.3">
      <c r="A23" t="s">
        <v>7</v>
      </c>
      <c r="B23" t="str">
        <f>VLOOKUP(B9,'Thang đánh giá'!$C$2:$D$27,2,FALSE)</f>
        <v>(0,0707; 0,1414; 0,2121)</v>
      </c>
      <c r="C23" t="str">
        <f>VLOOKUP(C9,'Thang đánh giá'!$C$2:$D$27,2,FALSE)</f>
        <v>(0; 0,0707; 0,1414)</v>
      </c>
      <c r="D23" t="str">
        <f>VLOOKUP(D9,'Thang đánh giá'!$C$2:$D$27,2,FALSE)</f>
        <v>(0; 0,0316; 0,0632)</v>
      </c>
      <c r="E23" t="str">
        <f>VLOOKUP(E9,'Thang đánh giá'!$C$2:$D$27,2,FALSE)</f>
        <v>(0; 0,0548; 0,1095)</v>
      </c>
      <c r="F23" t="str">
        <f>VLOOKUP(F9,'Thang đánh giá'!$C$2:$D$27,2,FALSE)</f>
        <v>(0; 0; 0,0548)</v>
      </c>
      <c r="G23" t="str">
        <f>VLOOKUP(G9,'Thang đánh giá'!$C$2:$D$27,2,FALSE)</f>
        <v>(0; 0,0707; 0,1414)</v>
      </c>
      <c r="H23" t="str">
        <f>VLOOKUP(H9,'Thang đánh giá'!$C$2:$D$27,2,FALSE)</f>
        <v>(0; 0; 0,0837)</v>
      </c>
      <c r="I23" t="str">
        <f>VLOOKUP(I9,'Thang đánh giá'!$C$2:$D$27,2,FALSE)</f>
        <v>(0; 0; 0)</v>
      </c>
      <c r="J23" t="str">
        <f>VLOOKUP(J9,'Thang đánh giá'!$C$2:$D$27,2,FALSE)</f>
        <v>(0,1897; 0,2846; 0,3795)</v>
      </c>
      <c r="K23" t="str">
        <f>VLOOKUP(K9,'Thang đánh giá'!$C$2:$D$27,2,FALSE)</f>
        <v>(0,2846; 0,3795; 0,3795)</v>
      </c>
      <c r="L23" t="str">
        <f>VLOOKUP(L9,'Thang đánh giá'!$C$2:$D$27,2,FALSE)</f>
        <v>(0,1897; 0,2846; 0,3795)</v>
      </c>
      <c r="M23" t="str">
        <f>VLOOKUP(M9,'Thang đánh giá'!$C$2:$D$27,2,FALSE)</f>
        <v>(0,1897; 0,2846; 0,3795)</v>
      </c>
    </row>
    <row r="24" spans="1:13" x14ac:dyDescent="0.3">
      <c r="A24" t="s">
        <v>8</v>
      </c>
      <c r="B24" t="str">
        <f>VLOOKUP(B10,'Thang đánh giá'!$C$2:$D$27,2,FALSE)</f>
        <v>(0,0837; 0,1673; 0,251)</v>
      </c>
      <c r="C24" t="str">
        <f>VLOOKUP(C10,'Thang đánh giá'!$C$2:$D$27,2,FALSE)</f>
        <v>(0; 0; 0,0316)</v>
      </c>
      <c r="D24" t="str">
        <f>VLOOKUP(D10,'Thang đánh giá'!$C$2:$D$27,2,FALSE)</f>
        <v>(0; 0; 0,0707)</v>
      </c>
      <c r="E24" t="str">
        <f>VLOOKUP(E10,'Thang đánh giá'!$C$2:$D$27,2,FALSE)</f>
        <v>(0; 0,0548; 0,1095)</v>
      </c>
      <c r="F24" t="str">
        <f>VLOOKUP(F10,'Thang đánh giá'!$C$2:$D$27,2,FALSE)</f>
        <v>(0; 0,0707; 0,1414)</v>
      </c>
      <c r="G24" t="str">
        <f>VLOOKUP(G10,'Thang đánh giá'!$C$2:$D$27,2,FALSE)</f>
        <v>(0,0837; 0,1673; 0,251)</v>
      </c>
      <c r="H24" t="str">
        <f>VLOOKUP(H10,'Thang đánh giá'!$C$2:$D$27,2,FALSE)</f>
        <v>(0,2846; 0,3795; 0,3795)</v>
      </c>
      <c r="I24" t="str">
        <f>VLOOKUP(I10,'Thang đánh giá'!$C$2:$D$27,2,FALSE)</f>
        <v>(0; 0; 0,0707)</v>
      </c>
      <c r="J24" t="str">
        <f>VLOOKUP(J10,'Thang đánh giá'!$C$2:$D$27,2,FALSE)</f>
        <v>(0; 0; 0)</v>
      </c>
      <c r="K24" t="str">
        <f>VLOOKUP(K10,'Thang đánh giá'!$C$2:$D$27,2,FALSE)</f>
        <v>(0,2846; 0,3795; 0,3795)</v>
      </c>
      <c r="L24" t="str">
        <f>VLOOKUP(L10,'Thang đánh giá'!$C$2:$D$27,2,FALSE)</f>
        <v>(0,251; 0,3347; 0,3347)</v>
      </c>
      <c r="M24" t="str">
        <f>VLOOKUP(M10,'Thang đánh giá'!$C$2:$D$27,2,FALSE)</f>
        <v>(0,2846; 0,3795; 0,3795)</v>
      </c>
    </row>
    <row r="25" spans="1:13" x14ac:dyDescent="0.3">
      <c r="A25" t="s">
        <v>9</v>
      </c>
      <c r="B25" t="str">
        <f>VLOOKUP(B11,'Thang đánh giá'!$C$2:$D$27,2,FALSE)</f>
        <v>(0; 0; 0,0548)</v>
      </c>
      <c r="C25" t="str">
        <f>VLOOKUP(C11,'Thang đánh giá'!$C$2:$D$27,2,FALSE)</f>
        <v>(0; 0,0837; 0,1673)</v>
      </c>
      <c r="D25" t="str">
        <f>VLOOKUP(D11,'Thang đánh giá'!$C$2:$D$27,2,FALSE)</f>
        <v>(0; 0,0548; 0,1095)</v>
      </c>
      <c r="E25" t="str">
        <f>VLOOKUP(E11,'Thang đánh giá'!$C$2:$D$27,2,FALSE)</f>
        <v>(0; 0,0707; 0,1414)</v>
      </c>
      <c r="F25" t="str">
        <f>VLOOKUP(F11,'Thang đánh giá'!$C$2:$D$27,2,FALSE)</f>
        <v>(0; 0; 0,0837)</v>
      </c>
      <c r="G25" t="str">
        <f>VLOOKUP(G11,'Thang đánh giá'!$C$2:$D$27,2,FALSE)</f>
        <v>(0; 0,0548; 0,1095)</v>
      </c>
      <c r="H25" t="str">
        <f>VLOOKUP(H11,'Thang đánh giá'!$C$2:$D$27,2,FALSE)</f>
        <v>(0; 0,0707; 0,1414)</v>
      </c>
      <c r="I25" t="str">
        <f>VLOOKUP(I11,'Thang đánh giá'!$C$2:$D$27,2,FALSE)</f>
        <v>(0,0707; 0,1414; 0,2121)</v>
      </c>
      <c r="J25" t="str">
        <f>VLOOKUP(J11,'Thang đánh giá'!$C$2:$D$27,2,FALSE)</f>
        <v>(0; 0; 0,0548)</v>
      </c>
      <c r="K25" t="str">
        <f>VLOOKUP(K11,'Thang đánh giá'!$C$2:$D$27,2,FALSE)</f>
        <v>(0; 0; 0)</v>
      </c>
      <c r="L25" t="str">
        <f>VLOOKUP(L11,'Thang đánh giá'!$C$2:$D$27,2,FALSE)</f>
        <v>(0; 0; 0,0707)</v>
      </c>
      <c r="M25" t="str">
        <f>VLOOKUP(M11,'Thang đánh giá'!$C$2:$D$27,2,FALSE)</f>
        <v>(0; 0; 0,0707)</v>
      </c>
    </row>
    <row r="26" spans="1:13" x14ac:dyDescent="0.3">
      <c r="A26" t="s">
        <v>10</v>
      </c>
      <c r="B26" t="str">
        <f>VLOOKUP(B12,'Thang đánh giá'!$C$2:$D$27,2,FALSE)</f>
        <v>(0; 0; 0,0548)</v>
      </c>
      <c r="C26" t="str">
        <f>VLOOKUP(C12,'Thang đánh giá'!$C$2:$D$27,2,FALSE)</f>
        <v>(0; 0; 0,0548)</v>
      </c>
      <c r="D26" t="str">
        <f>VLOOKUP(D12,'Thang đánh giá'!$C$2:$D$27,2,FALSE)</f>
        <v>(0; 0; 0,0707)</v>
      </c>
      <c r="E26" t="str">
        <f>VLOOKUP(E12,'Thang đánh giá'!$C$2:$D$27,2,FALSE)</f>
        <v>(0; 0,0548; 0,1095)</v>
      </c>
      <c r="F26" t="str">
        <f>VLOOKUP(F12,'Thang đánh giá'!$C$2:$D$27,2,FALSE)</f>
        <v>(0; 0; 0,0707)</v>
      </c>
      <c r="G26" t="str">
        <f>VLOOKUP(G12,'Thang đánh giá'!$C$2:$D$27,2,FALSE)</f>
        <v>(0; 0,0707; 0,1414)</v>
      </c>
      <c r="H26" t="str">
        <f>VLOOKUP(H12,'Thang đánh giá'!$C$2:$D$27,2,FALSE)</f>
        <v>(0,0707; 0,1414; 0,2121)</v>
      </c>
      <c r="I26" t="str">
        <f>VLOOKUP(I12,'Thang đánh giá'!$C$2:$D$27,2,FALSE)</f>
        <v>(0; 0; 0,0707)</v>
      </c>
      <c r="J26" t="str">
        <f>VLOOKUP(J12,'Thang đánh giá'!$C$2:$D$27,2,FALSE)</f>
        <v>(0; 0,0316; 0,0632)</v>
      </c>
      <c r="K26" t="str">
        <f>VLOOKUP(K12,'Thang đánh giá'!$C$2:$D$27,2,FALSE)</f>
        <v>(0; 0,0316; 0,0632)</v>
      </c>
      <c r="L26" t="str">
        <f>VLOOKUP(L12,'Thang đánh giá'!$C$2:$D$27,2,FALSE)</f>
        <v>(0; 0; 0)</v>
      </c>
      <c r="M26" t="str">
        <f>VLOOKUP(M12,'Thang đánh giá'!$C$2:$D$27,2,FALSE)</f>
        <v>(0,2846; 0,3795; 0,3795)</v>
      </c>
    </row>
    <row r="27" spans="1:13" x14ac:dyDescent="0.3">
      <c r="A27" t="s">
        <v>11</v>
      </c>
      <c r="B27" t="str">
        <f>VLOOKUP(B13,'Thang đánh giá'!$C$2:$D$27,2,FALSE)</f>
        <v>(0; 0,0707; 0,1414)</v>
      </c>
      <c r="C27" t="str">
        <f>VLOOKUP(C13,'Thang đánh giá'!$C$2:$D$27,2,FALSE)</f>
        <v>(0; 0,0707; 0,1414)</v>
      </c>
      <c r="D27" t="str">
        <f>VLOOKUP(D13,'Thang đánh giá'!$C$2:$D$27,2,FALSE)</f>
        <v>(0; 0,0548; 0,1095)</v>
      </c>
      <c r="E27" t="str">
        <f>VLOOKUP(E13,'Thang đánh giá'!$C$2:$D$27,2,FALSE)</f>
        <v>(0; 0; 0,0707)</v>
      </c>
      <c r="F27" t="str">
        <f>VLOOKUP(F13,'Thang đánh giá'!$C$2:$D$27,2,FALSE)</f>
        <v>(0; 0; 0,0548)</v>
      </c>
      <c r="G27" t="str">
        <f>VLOOKUP(G13,'Thang đánh giá'!$C$2:$D$27,2,FALSE)</f>
        <v>(0; 0,0707; 0,1414)</v>
      </c>
      <c r="H27" t="str">
        <f>VLOOKUP(H13,'Thang đánh giá'!$C$2:$D$27,2,FALSE)</f>
        <v>(0; 0,0837; 0,1673)</v>
      </c>
      <c r="I27" t="str">
        <f>VLOOKUP(I13,'Thang đánh giá'!$C$2:$D$27,2,FALSE)</f>
        <v>(0; 0; 0,0837)</v>
      </c>
      <c r="J27" t="str">
        <f>VLOOKUP(J13,'Thang đánh giá'!$C$2:$D$27,2,FALSE)</f>
        <v>(0,0707; 0,1414; 0,2121)</v>
      </c>
      <c r="K27" t="str">
        <f>VLOOKUP(K13,'Thang đánh giá'!$C$2:$D$27,2,FALSE)</f>
        <v>(0,0707; 0,1414; 0,2121)</v>
      </c>
      <c r="L27" t="str">
        <f>VLOOKUP(L13,'Thang đánh giá'!$C$2:$D$27,2,FALSE)</f>
        <v>(0; 0,0548; 0,1095)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0.1673</v>
      </c>
      <c r="D30">
        <f t="shared" si="0"/>
        <v>0.1673</v>
      </c>
      <c r="E30">
        <f t="shared" si="0"/>
        <v>0</v>
      </c>
      <c r="F30">
        <f t="shared" si="0"/>
        <v>0.1673</v>
      </c>
      <c r="G30">
        <f t="shared" si="0"/>
        <v>8.3699999999999997E-2</v>
      </c>
      <c r="H30">
        <f t="shared" si="0"/>
        <v>7.0699999999999999E-2</v>
      </c>
      <c r="I30">
        <f t="shared" si="0"/>
        <v>7.0699999999999999E-2</v>
      </c>
      <c r="J30">
        <f t="shared" si="0"/>
        <v>0.18970000000000001</v>
      </c>
      <c r="K30">
        <f t="shared" si="0"/>
        <v>0</v>
      </c>
      <c r="L30">
        <f t="shared" si="0"/>
        <v>0</v>
      </c>
      <c r="M30">
        <f t="shared" si="0"/>
        <v>0</v>
      </c>
    </row>
    <row r="31" spans="1:13" x14ac:dyDescent="0.3">
      <c r="A31" t="s">
        <v>1</v>
      </c>
      <c r="B31">
        <f t="shared" ref="B31:M41" si="1">_xlfn.NUMBERVALUE(MID(B17,2,FIND(";",B17,1)-2))</f>
        <v>0</v>
      </c>
      <c r="C31">
        <f t="shared" si="1"/>
        <v>0</v>
      </c>
      <c r="D31">
        <f t="shared" si="1"/>
        <v>0.28460000000000002</v>
      </c>
      <c r="E31">
        <f t="shared" si="1"/>
        <v>0.251</v>
      </c>
      <c r="F31">
        <f t="shared" si="1"/>
        <v>7.0699999999999999E-2</v>
      </c>
      <c r="G31">
        <f t="shared" si="1"/>
        <v>0.1673</v>
      </c>
      <c r="H31">
        <f t="shared" si="1"/>
        <v>0</v>
      </c>
      <c r="I31">
        <f t="shared" si="1"/>
        <v>7.0699999999999999E-2</v>
      </c>
      <c r="J31">
        <f t="shared" si="1"/>
        <v>0.28460000000000002</v>
      </c>
      <c r="K31">
        <f t="shared" si="1"/>
        <v>0.251</v>
      </c>
      <c r="L31">
        <f t="shared" si="1"/>
        <v>0.251</v>
      </c>
      <c r="M31">
        <f t="shared" si="1"/>
        <v>0.18970000000000001</v>
      </c>
    </row>
    <row r="32" spans="1:13" x14ac:dyDescent="0.3">
      <c r="A32" t="s">
        <v>2</v>
      </c>
      <c r="B32">
        <f t="shared" si="1"/>
        <v>0</v>
      </c>
      <c r="C32">
        <f t="shared" si="1"/>
        <v>0</v>
      </c>
      <c r="D32">
        <f t="shared" si="1"/>
        <v>0</v>
      </c>
      <c r="E32">
        <f t="shared" si="1"/>
        <v>0</v>
      </c>
      <c r="F32">
        <f t="shared" si="1"/>
        <v>0</v>
      </c>
      <c r="G32">
        <f t="shared" si="1"/>
        <v>0.1414</v>
      </c>
      <c r="H32">
        <f t="shared" si="1"/>
        <v>7.0699999999999999E-2</v>
      </c>
      <c r="I32">
        <f t="shared" si="1"/>
        <v>0</v>
      </c>
      <c r="J32">
        <f t="shared" si="1"/>
        <v>0.18970000000000001</v>
      </c>
      <c r="K32">
        <f t="shared" si="1"/>
        <v>0.28460000000000002</v>
      </c>
      <c r="L32">
        <f t="shared" si="1"/>
        <v>0.1673</v>
      </c>
      <c r="M32">
        <f t="shared" si="1"/>
        <v>0.18970000000000001</v>
      </c>
    </row>
    <row r="33" spans="1:13" x14ac:dyDescent="0.3">
      <c r="A33" t="s">
        <v>3</v>
      </c>
      <c r="B33">
        <f t="shared" si="1"/>
        <v>7.0699999999999999E-2</v>
      </c>
      <c r="C33">
        <f t="shared" si="1"/>
        <v>0</v>
      </c>
      <c r="D33">
        <f t="shared" si="1"/>
        <v>0</v>
      </c>
      <c r="E33">
        <f t="shared" si="1"/>
        <v>0</v>
      </c>
      <c r="F33">
        <f t="shared" si="1"/>
        <v>8.3699999999999997E-2</v>
      </c>
      <c r="G33">
        <f t="shared" si="1"/>
        <v>7.0699999999999999E-2</v>
      </c>
      <c r="H33">
        <f t="shared" si="1"/>
        <v>0.1673</v>
      </c>
      <c r="I33">
        <f t="shared" si="1"/>
        <v>0</v>
      </c>
      <c r="J33">
        <f t="shared" si="1"/>
        <v>0.1673</v>
      </c>
      <c r="K33">
        <f t="shared" si="1"/>
        <v>0</v>
      </c>
      <c r="L33">
        <f t="shared" si="1"/>
        <v>0.1673</v>
      </c>
      <c r="M33">
        <f t="shared" si="1"/>
        <v>0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0</v>
      </c>
      <c r="D34">
        <f t="shared" si="2"/>
        <v>8.3699999999999997E-2</v>
      </c>
      <c r="E34">
        <f t="shared" si="2"/>
        <v>0</v>
      </c>
      <c r="F34">
        <f t="shared" si="2"/>
        <v>0</v>
      </c>
      <c r="G34">
        <f t="shared" si="2"/>
        <v>8.3699999999999997E-2</v>
      </c>
      <c r="H34">
        <f t="shared" si="2"/>
        <v>0</v>
      </c>
      <c r="I34">
        <f t="shared" si="2"/>
        <v>0</v>
      </c>
      <c r="J34">
        <f t="shared" si="2"/>
        <v>0.251</v>
      </c>
      <c r="K34">
        <f t="shared" si="2"/>
        <v>0.251</v>
      </c>
      <c r="L34">
        <f t="shared" si="2"/>
        <v>0</v>
      </c>
      <c r="M34">
        <f t="shared" si="2"/>
        <v>0</v>
      </c>
    </row>
    <row r="35" spans="1:13" x14ac:dyDescent="0.3">
      <c r="A35" t="s">
        <v>5</v>
      </c>
      <c r="B35">
        <f t="shared" si="1"/>
        <v>7.0699999999999999E-2</v>
      </c>
      <c r="C35">
        <f t="shared" si="1"/>
        <v>0</v>
      </c>
      <c r="D35">
        <f t="shared" si="1"/>
        <v>0</v>
      </c>
      <c r="E35">
        <f t="shared" si="1"/>
        <v>7.0699999999999999E-2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0</v>
      </c>
      <c r="J35">
        <f t="shared" si="1"/>
        <v>0.251</v>
      </c>
      <c r="K35">
        <f t="shared" si="1"/>
        <v>0</v>
      </c>
      <c r="L35">
        <f t="shared" si="1"/>
        <v>0</v>
      </c>
      <c r="M35">
        <f t="shared" si="1"/>
        <v>7.0699999999999999E-2</v>
      </c>
    </row>
    <row r="36" spans="1:13" x14ac:dyDescent="0.3">
      <c r="A36" t="s">
        <v>6</v>
      </c>
      <c r="B36">
        <f t="shared" si="1"/>
        <v>0</v>
      </c>
      <c r="C36">
        <f t="shared" si="1"/>
        <v>7.0699999999999999E-2</v>
      </c>
      <c r="D36">
        <f t="shared" si="1"/>
        <v>0</v>
      </c>
      <c r="E36">
        <f t="shared" si="1"/>
        <v>0</v>
      </c>
      <c r="F36">
        <f t="shared" si="1"/>
        <v>0</v>
      </c>
      <c r="G36">
        <f t="shared" si="1"/>
        <v>0</v>
      </c>
      <c r="H36">
        <f t="shared" si="1"/>
        <v>0</v>
      </c>
      <c r="I36">
        <f t="shared" si="1"/>
        <v>0</v>
      </c>
      <c r="J36">
        <f t="shared" si="1"/>
        <v>0</v>
      </c>
      <c r="K36">
        <f t="shared" si="1"/>
        <v>0</v>
      </c>
      <c r="L36">
        <f t="shared" si="1"/>
        <v>0</v>
      </c>
      <c r="M36">
        <f t="shared" si="1"/>
        <v>0</v>
      </c>
    </row>
    <row r="37" spans="1:13" x14ac:dyDescent="0.3">
      <c r="A37" t="s">
        <v>7</v>
      </c>
      <c r="B37">
        <f t="shared" si="1"/>
        <v>7.0699999999999999E-2</v>
      </c>
      <c r="C37">
        <f t="shared" si="1"/>
        <v>0</v>
      </c>
      <c r="D37">
        <f t="shared" si="1"/>
        <v>0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0.18970000000000001</v>
      </c>
      <c r="K37">
        <f t="shared" si="1"/>
        <v>0.28460000000000002</v>
      </c>
      <c r="L37">
        <f t="shared" si="1"/>
        <v>0.18970000000000001</v>
      </c>
      <c r="M37">
        <f t="shared" si="1"/>
        <v>0.18970000000000001</v>
      </c>
    </row>
    <row r="38" spans="1:13" x14ac:dyDescent="0.3">
      <c r="A38" t="s">
        <v>8</v>
      </c>
      <c r="B38">
        <f t="shared" si="1"/>
        <v>8.3699999999999997E-2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8.3699999999999997E-2</v>
      </c>
      <c r="H38">
        <f t="shared" si="1"/>
        <v>0.28460000000000002</v>
      </c>
      <c r="I38">
        <f t="shared" si="1"/>
        <v>0</v>
      </c>
      <c r="J38">
        <f t="shared" si="1"/>
        <v>0</v>
      </c>
      <c r="K38">
        <f t="shared" si="1"/>
        <v>0.28460000000000002</v>
      </c>
      <c r="L38">
        <f t="shared" si="1"/>
        <v>0.251</v>
      </c>
      <c r="M38">
        <f t="shared" si="1"/>
        <v>0.28460000000000002</v>
      </c>
    </row>
    <row r="39" spans="1:13" x14ac:dyDescent="0.3">
      <c r="A39" t="s">
        <v>9</v>
      </c>
      <c r="B39">
        <f t="shared" si="1"/>
        <v>0</v>
      </c>
      <c r="C39">
        <f t="shared" si="1"/>
        <v>0</v>
      </c>
      <c r="D39">
        <f t="shared" si="1"/>
        <v>0</v>
      </c>
      <c r="E39">
        <f t="shared" si="1"/>
        <v>0</v>
      </c>
      <c r="F39">
        <f t="shared" si="1"/>
        <v>0</v>
      </c>
      <c r="G39">
        <f t="shared" si="1"/>
        <v>0</v>
      </c>
      <c r="H39">
        <f t="shared" si="1"/>
        <v>0</v>
      </c>
      <c r="I39">
        <f t="shared" si="1"/>
        <v>7.0699999999999999E-2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0</v>
      </c>
    </row>
    <row r="40" spans="1:13" x14ac:dyDescent="0.3">
      <c r="A40" t="s">
        <v>10</v>
      </c>
      <c r="B40">
        <f t="shared" si="1"/>
        <v>0</v>
      </c>
      <c r="C40">
        <f t="shared" si="1"/>
        <v>0</v>
      </c>
      <c r="D40">
        <f t="shared" si="1"/>
        <v>0</v>
      </c>
      <c r="E40">
        <f t="shared" si="1"/>
        <v>0</v>
      </c>
      <c r="F40">
        <f t="shared" si="1"/>
        <v>0</v>
      </c>
      <c r="G40">
        <f t="shared" si="1"/>
        <v>0</v>
      </c>
      <c r="H40">
        <f t="shared" si="1"/>
        <v>7.0699999999999999E-2</v>
      </c>
      <c r="I40">
        <f t="shared" si="1"/>
        <v>0</v>
      </c>
      <c r="J40">
        <f t="shared" si="1"/>
        <v>0</v>
      </c>
      <c r="K40">
        <f t="shared" si="1"/>
        <v>0</v>
      </c>
      <c r="L40">
        <f t="shared" si="1"/>
        <v>0</v>
      </c>
      <c r="M40">
        <f t="shared" si="1"/>
        <v>0.28460000000000002</v>
      </c>
    </row>
    <row r="41" spans="1:13" x14ac:dyDescent="0.3">
      <c r="A41" t="s">
        <v>11</v>
      </c>
      <c r="B41">
        <f t="shared" si="1"/>
        <v>0</v>
      </c>
      <c r="C41">
        <f t="shared" si="1"/>
        <v>0</v>
      </c>
      <c r="D41">
        <f t="shared" si="1"/>
        <v>0</v>
      </c>
      <c r="E41">
        <f t="shared" si="1"/>
        <v>0</v>
      </c>
      <c r="F41">
        <f t="shared" si="1"/>
        <v>0</v>
      </c>
      <c r="G41">
        <f t="shared" si="1"/>
        <v>0</v>
      </c>
      <c r="H41">
        <f t="shared" si="1"/>
        <v>0</v>
      </c>
      <c r="I41">
        <f t="shared" si="1"/>
        <v>0</v>
      </c>
      <c r="J41">
        <f t="shared" si="1"/>
        <v>7.0699999999999999E-2</v>
      </c>
      <c r="K41">
        <f t="shared" si="1"/>
        <v>7.0699999999999999E-2</v>
      </c>
      <c r="L41">
        <f t="shared" si="1"/>
        <v>0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0.251</v>
      </c>
      <c r="D44">
        <f t="shared" si="3"/>
        <v>0.251</v>
      </c>
      <c r="E44">
        <f t="shared" si="3"/>
        <v>0</v>
      </c>
      <c r="F44">
        <f t="shared" si="3"/>
        <v>0.251</v>
      </c>
      <c r="G44">
        <f t="shared" si="3"/>
        <v>0.1673</v>
      </c>
      <c r="H44">
        <f t="shared" si="3"/>
        <v>0.1414</v>
      </c>
      <c r="I44">
        <f t="shared" si="3"/>
        <v>0.1414</v>
      </c>
      <c r="J44">
        <f t="shared" si="3"/>
        <v>0.28460000000000002</v>
      </c>
      <c r="K44">
        <f t="shared" si="3"/>
        <v>8.3699999999999997E-2</v>
      </c>
      <c r="L44">
        <f t="shared" si="3"/>
        <v>0</v>
      </c>
      <c r="M44">
        <f t="shared" si="3"/>
        <v>0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7.0699999999999999E-2</v>
      </c>
      <c r="C45">
        <f t="shared" si="4"/>
        <v>0</v>
      </c>
      <c r="D45">
        <f t="shared" si="4"/>
        <v>0.3795</v>
      </c>
      <c r="E45">
        <f t="shared" si="4"/>
        <v>0.3347</v>
      </c>
      <c r="F45">
        <f t="shared" si="4"/>
        <v>0.1414</v>
      </c>
      <c r="G45">
        <f t="shared" si="4"/>
        <v>0.251</v>
      </c>
      <c r="H45">
        <f t="shared" si="4"/>
        <v>0</v>
      </c>
      <c r="I45">
        <f t="shared" si="4"/>
        <v>0.1414</v>
      </c>
      <c r="J45">
        <f t="shared" si="4"/>
        <v>0.3795</v>
      </c>
      <c r="K45">
        <f t="shared" si="4"/>
        <v>0.3347</v>
      </c>
      <c r="L45">
        <f t="shared" si="4"/>
        <v>0.3347</v>
      </c>
      <c r="M45">
        <f t="shared" si="4"/>
        <v>0.28460000000000002</v>
      </c>
    </row>
    <row r="46" spans="1:13" x14ac:dyDescent="0.3">
      <c r="A46" t="s">
        <v>2</v>
      </c>
      <c r="B46">
        <f t="shared" si="4"/>
        <v>5.4800000000000001E-2</v>
      </c>
      <c r="C46">
        <f t="shared" si="4"/>
        <v>0</v>
      </c>
      <c r="D46">
        <f t="shared" si="4"/>
        <v>0</v>
      </c>
      <c r="E46">
        <f t="shared" si="4"/>
        <v>7.0699999999999999E-2</v>
      </c>
      <c r="F46">
        <f t="shared" si="4"/>
        <v>3.1600000000000003E-2</v>
      </c>
      <c r="G46">
        <f t="shared" si="4"/>
        <v>0.21210000000000001</v>
      </c>
      <c r="H46">
        <f t="shared" si="4"/>
        <v>0.1414</v>
      </c>
      <c r="I46">
        <f t="shared" si="4"/>
        <v>0</v>
      </c>
      <c r="J46">
        <f t="shared" si="4"/>
        <v>0.28460000000000002</v>
      </c>
      <c r="K46">
        <f t="shared" si="4"/>
        <v>0.3795</v>
      </c>
      <c r="L46">
        <f t="shared" si="4"/>
        <v>0.251</v>
      </c>
      <c r="M46">
        <f t="shared" si="4"/>
        <v>0.28460000000000002</v>
      </c>
    </row>
    <row r="47" spans="1:13" x14ac:dyDescent="0.3">
      <c r="A47" t="s">
        <v>3</v>
      </c>
      <c r="B47">
        <f t="shared" si="4"/>
        <v>0.1414</v>
      </c>
      <c r="C47">
        <f t="shared" si="4"/>
        <v>5.4800000000000001E-2</v>
      </c>
      <c r="D47">
        <f t="shared" si="4"/>
        <v>0</v>
      </c>
      <c r="E47">
        <f t="shared" si="4"/>
        <v>0</v>
      </c>
      <c r="F47">
        <f t="shared" si="4"/>
        <v>0.1673</v>
      </c>
      <c r="G47">
        <f t="shared" si="4"/>
        <v>0.1414</v>
      </c>
      <c r="H47">
        <f t="shared" si="4"/>
        <v>0.251</v>
      </c>
      <c r="I47">
        <f t="shared" si="4"/>
        <v>7.0699999999999999E-2</v>
      </c>
      <c r="J47">
        <f t="shared" si="4"/>
        <v>0.251</v>
      </c>
      <c r="K47">
        <f t="shared" si="4"/>
        <v>0</v>
      </c>
      <c r="L47">
        <f t="shared" si="4"/>
        <v>0.251</v>
      </c>
      <c r="M47">
        <f t="shared" si="4"/>
        <v>7.0699999999999999E-2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7.0699999999999999E-2</v>
      </c>
      <c r="C48">
        <f t="shared" si="5"/>
        <v>7.0699999999999999E-2</v>
      </c>
      <c r="D48">
        <f t="shared" si="5"/>
        <v>0.1673</v>
      </c>
      <c r="E48">
        <f t="shared" si="5"/>
        <v>3.1600000000000003E-2</v>
      </c>
      <c r="F48">
        <f t="shared" si="5"/>
        <v>0</v>
      </c>
      <c r="G48">
        <f t="shared" si="5"/>
        <v>0.1673</v>
      </c>
      <c r="H48">
        <f t="shared" si="5"/>
        <v>0</v>
      </c>
      <c r="I48">
        <f t="shared" si="5"/>
        <v>7.0699999999999999E-2</v>
      </c>
      <c r="J48">
        <f t="shared" si="5"/>
        <v>0.3347</v>
      </c>
      <c r="K48">
        <f t="shared" si="5"/>
        <v>0.3347</v>
      </c>
      <c r="L48">
        <f t="shared" si="5"/>
        <v>0</v>
      </c>
      <c r="M48">
        <f t="shared" si="5"/>
        <v>7.0699999999999999E-2</v>
      </c>
    </row>
    <row r="49" spans="1:13" x14ac:dyDescent="0.3">
      <c r="A49" t="s">
        <v>5</v>
      </c>
      <c r="B49">
        <f t="shared" si="4"/>
        <v>0.1414</v>
      </c>
      <c r="C49">
        <f t="shared" si="4"/>
        <v>0</v>
      </c>
      <c r="D49">
        <f t="shared" si="4"/>
        <v>7.0699999999999999E-2</v>
      </c>
      <c r="E49">
        <f t="shared" si="4"/>
        <v>0.1414</v>
      </c>
      <c r="F49">
        <f t="shared" si="4"/>
        <v>7.0699999999999999E-2</v>
      </c>
      <c r="G49">
        <f t="shared" si="4"/>
        <v>0</v>
      </c>
      <c r="H49">
        <f t="shared" si="4"/>
        <v>8.3699999999999997E-2</v>
      </c>
      <c r="I49">
        <f t="shared" si="4"/>
        <v>7.0699999999999999E-2</v>
      </c>
      <c r="J49">
        <f t="shared" si="4"/>
        <v>0.3347</v>
      </c>
      <c r="K49">
        <f t="shared" si="4"/>
        <v>7.0699999999999999E-2</v>
      </c>
      <c r="L49">
        <f t="shared" si="4"/>
        <v>8.3699999999999997E-2</v>
      </c>
      <c r="M49">
        <f t="shared" si="4"/>
        <v>0.1414</v>
      </c>
    </row>
    <row r="50" spans="1:13" x14ac:dyDescent="0.3">
      <c r="A50" t="s">
        <v>6</v>
      </c>
      <c r="B50">
        <f t="shared" si="4"/>
        <v>0</v>
      </c>
      <c r="C50">
        <f t="shared" si="4"/>
        <v>0.1414</v>
      </c>
      <c r="D50">
        <f t="shared" si="4"/>
        <v>0</v>
      </c>
      <c r="E50">
        <f t="shared" si="4"/>
        <v>0</v>
      </c>
      <c r="F50">
        <f t="shared" si="4"/>
        <v>7.0699999999999999E-2</v>
      </c>
      <c r="G50">
        <f t="shared" si="4"/>
        <v>0</v>
      </c>
      <c r="H50">
        <f t="shared" si="4"/>
        <v>0</v>
      </c>
      <c r="I50">
        <f t="shared" si="4"/>
        <v>0</v>
      </c>
      <c r="J50">
        <f t="shared" si="4"/>
        <v>7.0699999999999999E-2</v>
      </c>
      <c r="K50">
        <f t="shared" si="4"/>
        <v>7.0699999999999999E-2</v>
      </c>
      <c r="L50">
        <f t="shared" si="4"/>
        <v>5.4800000000000001E-2</v>
      </c>
      <c r="M50">
        <f t="shared" si="4"/>
        <v>3.1600000000000003E-2</v>
      </c>
    </row>
    <row r="51" spans="1:13" x14ac:dyDescent="0.3">
      <c r="A51" t="s">
        <v>7</v>
      </c>
      <c r="B51">
        <f t="shared" si="4"/>
        <v>0.1414</v>
      </c>
      <c r="C51">
        <f t="shared" si="4"/>
        <v>7.0699999999999999E-2</v>
      </c>
      <c r="D51">
        <f t="shared" si="4"/>
        <v>3.1600000000000003E-2</v>
      </c>
      <c r="E51">
        <f t="shared" si="4"/>
        <v>5.4800000000000001E-2</v>
      </c>
      <c r="F51">
        <f t="shared" si="4"/>
        <v>0</v>
      </c>
      <c r="G51">
        <f t="shared" si="4"/>
        <v>7.0699999999999999E-2</v>
      </c>
      <c r="H51">
        <f t="shared" si="4"/>
        <v>0</v>
      </c>
      <c r="I51">
        <f t="shared" si="4"/>
        <v>0</v>
      </c>
      <c r="J51">
        <f t="shared" si="4"/>
        <v>0.28460000000000002</v>
      </c>
      <c r="K51">
        <f t="shared" si="4"/>
        <v>0.3795</v>
      </c>
      <c r="L51">
        <f t="shared" si="4"/>
        <v>0.28460000000000002</v>
      </c>
      <c r="M51">
        <f t="shared" si="4"/>
        <v>0.28460000000000002</v>
      </c>
    </row>
    <row r="52" spans="1:13" x14ac:dyDescent="0.3">
      <c r="A52" t="s">
        <v>8</v>
      </c>
      <c r="B52">
        <f t="shared" si="4"/>
        <v>0.1673</v>
      </c>
      <c r="C52">
        <f t="shared" si="4"/>
        <v>0</v>
      </c>
      <c r="D52">
        <f t="shared" si="4"/>
        <v>0</v>
      </c>
      <c r="E52">
        <f t="shared" si="4"/>
        <v>5.4800000000000001E-2</v>
      </c>
      <c r="F52">
        <f t="shared" si="4"/>
        <v>7.0699999999999999E-2</v>
      </c>
      <c r="G52">
        <f t="shared" si="4"/>
        <v>0.1673</v>
      </c>
      <c r="H52">
        <f t="shared" si="4"/>
        <v>0.3795</v>
      </c>
      <c r="I52">
        <f t="shared" si="4"/>
        <v>0</v>
      </c>
      <c r="J52">
        <f t="shared" si="4"/>
        <v>0</v>
      </c>
      <c r="K52">
        <f t="shared" si="4"/>
        <v>0.3795</v>
      </c>
      <c r="L52">
        <f t="shared" si="4"/>
        <v>0.3347</v>
      </c>
      <c r="M52">
        <f t="shared" si="4"/>
        <v>0.3795</v>
      </c>
    </row>
    <row r="53" spans="1:13" x14ac:dyDescent="0.3">
      <c r="A53" t="s">
        <v>9</v>
      </c>
      <c r="B53">
        <f t="shared" si="4"/>
        <v>0</v>
      </c>
      <c r="C53">
        <f t="shared" si="4"/>
        <v>8.3699999999999997E-2</v>
      </c>
      <c r="D53">
        <f t="shared" si="4"/>
        <v>5.4800000000000001E-2</v>
      </c>
      <c r="E53">
        <f t="shared" si="4"/>
        <v>7.0699999999999999E-2</v>
      </c>
      <c r="F53">
        <f t="shared" si="4"/>
        <v>0</v>
      </c>
      <c r="G53">
        <f t="shared" si="4"/>
        <v>5.4800000000000001E-2</v>
      </c>
      <c r="H53">
        <f t="shared" si="4"/>
        <v>7.0699999999999999E-2</v>
      </c>
      <c r="I53">
        <f t="shared" si="4"/>
        <v>0.1414</v>
      </c>
      <c r="J53">
        <f t="shared" si="4"/>
        <v>0</v>
      </c>
      <c r="K53">
        <f t="shared" si="4"/>
        <v>0</v>
      </c>
      <c r="L53">
        <f t="shared" si="4"/>
        <v>0</v>
      </c>
      <c r="M53">
        <f t="shared" si="4"/>
        <v>0</v>
      </c>
    </row>
    <row r="54" spans="1:13" x14ac:dyDescent="0.3">
      <c r="A54" t="s">
        <v>10</v>
      </c>
      <c r="B54">
        <f t="shared" si="4"/>
        <v>0</v>
      </c>
      <c r="C54">
        <f t="shared" si="4"/>
        <v>0</v>
      </c>
      <c r="D54">
        <f t="shared" si="4"/>
        <v>0</v>
      </c>
      <c r="E54">
        <f t="shared" si="4"/>
        <v>5.4800000000000001E-2</v>
      </c>
      <c r="F54">
        <f t="shared" si="4"/>
        <v>0</v>
      </c>
      <c r="G54">
        <f t="shared" si="4"/>
        <v>7.0699999999999999E-2</v>
      </c>
      <c r="H54">
        <f t="shared" si="4"/>
        <v>0.1414</v>
      </c>
      <c r="I54">
        <f t="shared" si="4"/>
        <v>0</v>
      </c>
      <c r="J54">
        <f t="shared" si="4"/>
        <v>3.1600000000000003E-2</v>
      </c>
      <c r="K54">
        <f t="shared" si="4"/>
        <v>3.1600000000000003E-2</v>
      </c>
      <c r="L54">
        <f t="shared" si="4"/>
        <v>0</v>
      </c>
      <c r="M54">
        <f t="shared" si="4"/>
        <v>0.3795</v>
      </c>
    </row>
    <row r="55" spans="1:13" x14ac:dyDescent="0.3">
      <c r="A55" t="s">
        <v>11</v>
      </c>
      <c r="B55">
        <f t="shared" si="4"/>
        <v>7.0699999999999999E-2</v>
      </c>
      <c r="C55">
        <f t="shared" si="4"/>
        <v>7.0699999999999999E-2</v>
      </c>
      <c r="D55">
        <f t="shared" si="4"/>
        <v>5.4800000000000001E-2</v>
      </c>
      <c r="E55">
        <f t="shared" si="4"/>
        <v>0</v>
      </c>
      <c r="F55">
        <f t="shared" si="4"/>
        <v>0</v>
      </c>
      <c r="G55">
        <f t="shared" si="4"/>
        <v>7.0699999999999999E-2</v>
      </c>
      <c r="H55">
        <f t="shared" si="4"/>
        <v>8.3699999999999997E-2</v>
      </c>
      <c r="I55">
        <f t="shared" si="4"/>
        <v>0</v>
      </c>
      <c r="J55">
        <f t="shared" si="4"/>
        <v>0.1414</v>
      </c>
      <c r="K55">
        <f t="shared" si="4"/>
        <v>0.1414</v>
      </c>
      <c r="L55">
        <f t="shared" si="4"/>
        <v>5.4800000000000001E-2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0.3347</v>
      </c>
      <c r="D58">
        <f t="shared" si="6"/>
        <v>0.3347</v>
      </c>
      <c r="E58">
        <f t="shared" si="6"/>
        <v>7.0699999999999999E-2</v>
      </c>
      <c r="F58">
        <f t="shared" si="6"/>
        <v>0.3347</v>
      </c>
      <c r="G58">
        <f t="shared" si="6"/>
        <v>0.251</v>
      </c>
      <c r="H58">
        <f t="shared" si="6"/>
        <v>0.21210000000000001</v>
      </c>
      <c r="I58">
        <f t="shared" si="6"/>
        <v>0.21210000000000001</v>
      </c>
      <c r="J58">
        <f t="shared" si="6"/>
        <v>0.3795</v>
      </c>
      <c r="K58">
        <f t="shared" si="6"/>
        <v>0.1673</v>
      </c>
      <c r="L58">
        <f t="shared" si="6"/>
        <v>5.4800000000000001E-2</v>
      </c>
      <c r="M58">
        <f t="shared" si="6"/>
        <v>3.1600000000000003E-2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0.1414</v>
      </c>
      <c r="C59">
        <f t="shared" si="7"/>
        <v>0</v>
      </c>
      <c r="D59">
        <f t="shared" si="7"/>
        <v>0.3795</v>
      </c>
      <c r="E59">
        <f t="shared" si="7"/>
        <v>0.3347</v>
      </c>
      <c r="F59">
        <f t="shared" si="7"/>
        <v>0.21210000000000001</v>
      </c>
      <c r="G59">
        <f t="shared" si="7"/>
        <v>0.3347</v>
      </c>
      <c r="H59">
        <f t="shared" si="7"/>
        <v>3.1600000000000003E-2</v>
      </c>
      <c r="I59">
        <f t="shared" si="7"/>
        <v>0.21210000000000001</v>
      </c>
      <c r="J59">
        <f t="shared" si="7"/>
        <v>0.3795</v>
      </c>
      <c r="K59">
        <f t="shared" si="7"/>
        <v>0.3347</v>
      </c>
      <c r="L59">
        <f t="shared" si="7"/>
        <v>0.3347</v>
      </c>
      <c r="M59">
        <f t="shared" si="7"/>
        <v>0.3795</v>
      </c>
    </row>
    <row r="60" spans="1:13" x14ac:dyDescent="0.3">
      <c r="A60" t="s">
        <v>2</v>
      </c>
      <c r="B60">
        <f t="shared" si="7"/>
        <v>0.1095</v>
      </c>
      <c r="C60">
        <f t="shared" si="7"/>
        <v>5.4800000000000001E-2</v>
      </c>
      <c r="D60">
        <f t="shared" si="7"/>
        <v>0</v>
      </c>
      <c r="E60">
        <f t="shared" si="7"/>
        <v>0.1414</v>
      </c>
      <c r="F60">
        <f t="shared" si="7"/>
        <v>6.3200000000000006E-2</v>
      </c>
      <c r="G60">
        <f t="shared" si="7"/>
        <v>0.2828</v>
      </c>
      <c r="H60">
        <f t="shared" si="7"/>
        <v>0.21210000000000001</v>
      </c>
      <c r="I60">
        <f t="shared" si="7"/>
        <v>3.1600000000000003E-2</v>
      </c>
      <c r="J60">
        <f t="shared" si="7"/>
        <v>0.3795</v>
      </c>
      <c r="K60">
        <f t="shared" si="7"/>
        <v>0.3795</v>
      </c>
      <c r="L60">
        <f t="shared" si="7"/>
        <v>0.3347</v>
      </c>
      <c r="M60">
        <f t="shared" si="7"/>
        <v>0.3795</v>
      </c>
    </row>
    <row r="61" spans="1:13" x14ac:dyDescent="0.3">
      <c r="A61" t="s">
        <v>3</v>
      </c>
      <c r="B61">
        <f t="shared" si="7"/>
        <v>0.21210000000000001</v>
      </c>
      <c r="C61">
        <f t="shared" si="7"/>
        <v>0.1095</v>
      </c>
      <c r="D61">
        <f t="shared" si="7"/>
        <v>7.0699999999999999E-2</v>
      </c>
      <c r="E61">
        <f t="shared" si="7"/>
        <v>0</v>
      </c>
      <c r="F61">
        <f t="shared" si="7"/>
        <v>0.251</v>
      </c>
      <c r="G61">
        <f t="shared" si="7"/>
        <v>0.21210000000000001</v>
      </c>
      <c r="H61">
        <f t="shared" si="7"/>
        <v>0.3347</v>
      </c>
      <c r="I61">
        <f t="shared" si="7"/>
        <v>0.1414</v>
      </c>
      <c r="J61">
        <f t="shared" si="7"/>
        <v>0.3347</v>
      </c>
      <c r="K61">
        <f t="shared" si="7"/>
        <v>3.1600000000000003E-2</v>
      </c>
      <c r="L61">
        <f t="shared" si="7"/>
        <v>0.3347</v>
      </c>
      <c r="M61">
        <f t="shared" si="7"/>
        <v>0.1414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0.1414</v>
      </c>
      <c r="C62">
        <f t="shared" si="8"/>
        <v>0.1414</v>
      </c>
      <c r="D62">
        <f t="shared" si="8"/>
        <v>0.251</v>
      </c>
      <c r="E62">
        <f t="shared" si="8"/>
        <v>6.3200000000000006E-2</v>
      </c>
      <c r="F62">
        <f t="shared" si="8"/>
        <v>0</v>
      </c>
      <c r="G62">
        <f t="shared" si="8"/>
        <v>0.251</v>
      </c>
      <c r="H62">
        <f t="shared" si="8"/>
        <v>5.4800000000000001E-2</v>
      </c>
      <c r="I62">
        <f t="shared" si="8"/>
        <v>0.1414</v>
      </c>
      <c r="J62">
        <f t="shared" si="8"/>
        <v>0.3347</v>
      </c>
      <c r="K62">
        <f t="shared" si="8"/>
        <v>0.3347</v>
      </c>
      <c r="L62">
        <f t="shared" si="8"/>
        <v>7.0699999999999999E-2</v>
      </c>
      <c r="M62">
        <f t="shared" si="8"/>
        <v>0.1414</v>
      </c>
    </row>
    <row r="63" spans="1:13" x14ac:dyDescent="0.3">
      <c r="A63" t="s">
        <v>5</v>
      </c>
      <c r="B63">
        <f t="shared" si="7"/>
        <v>0.21210000000000001</v>
      </c>
      <c r="C63">
        <f t="shared" si="7"/>
        <v>7.0699999999999999E-2</v>
      </c>
      <c r="D63">
        <f t="shared" si="7"/>
        <v>0.1414</v>
      </c>
      <c r="E63">
        <f t="shared" si="7"/>
        <v>0.21210000000000001</v>
      </c>
      <c r="F63">
        <f t="shared" si="7"/>
        <v>0.1414</v>
      </c>
      <c r="G63">
        <f t="shared" si="7"/>
        <v>0</v>
      </c>
      <c r="H63">
        <f t="shared" si="7"/>
        <v>0.1673</v>
      </c>
      <c r="I63">
        <f t="shared" si="7"/>
        <v>0.1414</v>
      </c>
      <c r="J63">
        <f t="shared" si="7"/>
        <v>0.3347</v>
      </c>
      <c r="K63">
        <f t="shared" si="7"/>
        <v>0.1414</v>
      </c>
      <c r="L63">
        <f t="shared" si="7"/>
        <v>0.1673</v>
      </c>
      <c r="M63">
        <f t="shared" si="7"/>
        <v>0.21210000000000001</v>
      </c>
    </row>
    <row r="64" spans="1:13" x14ac:dyDescent="0.3">
      <c r="A64" t="s">
        <v>6</v>
      </c>
      <c r="B64">
        <f t="shared" si="7"/>
        <v>8.3699999999999997E-2</v>
      </c>
      <c r="C64">
        <f t="shared" si="7"/>
        <v>0.21210000000000001</v>
      </c>
      <c r="D64">
        <f t="shared" si="7"/>
        <v>7.0699999999999999E-2</v>
      </c>
      <c r="E64">
        <f t="shared" si="7"/>
        <v>3.1600000000000003E-2</v>
      </c>
      <c r="F64">
        <f t="shared" si="7"/>
        <v>0.1414</v>
      </c>
      <c r="G64">
        <f t="shared" si="7"/>
        <v>3.1600000000000003E-2</v>
      </c>
      <c r="H64">
        <f t="shared" si="7"/>
        <v>0</v>
      </c>
      <c r="I64">
        <f t="shared" si="7"/>
        <v>3.1600000000000003E-2</v>
      </c>
      <c r="J64">
        <f t="shared" si="7"/>
        <v>0.1414</v>
      </c>
      <c r="K64">
        <f t="shared" si="7"/>
        <v>0.1414</v>
      </c>
      <c r="L64">
        <f t="shared" si="7"/>
        <v>0.1095</v>
      </c>
      <c r="M64">
        <f t="shared" si="7"/>
        <v>6.3200000000000006E-2</v>
      </c>
    </row>
    <row r="65" spans="1:13" x14ac:dyDescent="0.3">
      <c r="A65" t="s">
        <v>7</v>
      </c>
      <c r="B65">
        <f t="shared" si="7"/>
        <v>0.21210000000000001</v>
      </c>
      <c r="C65">
        <f t="shared" si="7"/>
        <v>0.1414</v>
      </c>
      <c r="D65">
        <f t="shared" si="7"/>
        <v>6.3200000000000006E-2</v>
      </c>
      <c r="E65">
        <f t="shared" si="7"/>
        <v>0.1095</v>
      </c>
      <c r="F65">
        <f t="shared" si="7"/>
        <v>5.4800000000000001E-2</v>
      </c>
      <c r="G65">
        <f t="shared" si="7"/>
        <v>0.1414</v>
      </c>
      <c r="H65">
        <f t="shared" si="7"/>
        <v>8.3699999999999997E-2</v>
      </c>
      <c r="I65">
        <f t="shared" si="7"/>
        <v>0</v>
      </c>
      <c r="J65">
        <f t="shared" si="7"/>
        <v>0.3795</v>
      </c>
      <c r="K65">
        <f t="shared" si="7"/>
        <v>0.3795</v>
      </c>
      <c r="L65">
        <f t="shared" si="7"/>
        <v>0.3795</v>
      </c>
      <c r="M65">
        <f t="shared" si="7"/>
        <v>0.3795</v>
      </c>
    </row>
    <row r="66" spans="1:13" x14ac:dyDescent="0.3">
      <c r="A66" t="s">
        <v>8</v>
      </c>
      <c r="B66">
        <f t="shared" si="7"/>
        <v>0.251</v>
      </c>
      <c r="C66">
        <f t="shared" si="7"/>
        <v>3.1600000000000003E-2</v>
      </c>
      <c r="D66">
        <f t="shared" si="7"/>
        <v>7.0699999999999999E-2</v>
      </c>
      <c r="E66">
        <f t="shared" si="7"/>
        <v>0.1095</v>
      </c>
      <c r="F66">
        <f t="shared" si="7"/>
        <v>0.1414</v>
      </c>
      <c r="G66">
        <f t="shared" si="7"/>
        <v>0.251</v>
      </c>
      <c r="H66">
        <f t="shared" si="7"/>
        <v>0.3795</v>
      </c>
      <c r="I66">
        <f t="shared" si="7"/>
        <v>7.0699999999999999E-2</v>
      </c>
      <c r="J66">
        <f t="shared" si="7"/>
        <v>0</v>
      </c>
      <c r="K66">
        <f t="shared" si="7"/>
        <v>0.3795</v>
      </c>
      <c r="L66">
        <f t="shared" si="7"/>
        <v>0.3347</v>
      </c>
      <c r="M66">
        <f t="shared" si="7"/>
        <v>0.3795</v>
      </c>
    </row>
    <row r="67" spans="1:13" x14ac:dyDescent="0.3">
      <c r="A67" t="s">
        <v>9</v>
      </c>
      <c r="B67">
        <f t="shared" si="7"/>
        <v>5.4800000000000001E-2</v>
      </c>
      <c r="C67">
        <f t="shared" si="7"/>
        <v>0.1673</v>
      </c>
      <c r="D67">
        <f t="shared" si="7"/>
        <v>0.1095</v>
      </c>
      <c r="E67">
        <f t="shared" si="7"/>
        <v>0.1414</v>
      </c>
      <c r="F67">
        <f t="shared" si="7"/>
        <v>8.3699999999999997E-2</v>
      </c>
      <c r="G67">
        <f t="shared" si="7"/>
        <v>0.1095</v>
      </c>
      <c r="H67">
        <f t="shared" si="7"/>
        <v>0.1414</v>
      </c>
      <c r="I67">
        <f t="shared" si="7"/>
        <v>0.21210000000000001</v>
      </c>
      <c r="J67">
        <f t="shared" si="7"/>
        <v>5.4800000000000001E-2</v>
      </c>
      <c r="K67">
        <f t="shared" si="7"/>
        <v>0</v>
      </c>
      <c r="L67">
        <f t="shared" si="7"/>
        <v>7.0699999999999999E-2</v>
      </c>
      <c r="M67">
        <f t="shared" si="7"/>
        <v>7.0699999999999999E-2</v>
      </c>
    </row>
    <row r="68" spans="1:13" x14ac:dyDescent="0.3">
      <c r="A68" t="s">
        <v>10</v>
      </c>
      <c r="B68">
        <f t="shared" si="7"/>
        <v>5.4800000000000001E-2</v>
      </c>
      <c r="C68">
        <f t="shared" si="7"/>
        <v>5.4800000000000001E-2</v>
      </c>
      <c r="D68">
        <f t="shared" si="7"/>
        <v>7.0699999999999999E-2</v>
      </c>
      <c r="E68">
        <f t="shared" si="7"/>
        <v>0.1095</v>
      </c>
      <c r="F68">
        <f t="shared" si="7"/>
        <v>7.0699999999999999E-2</v>
      </c>
      <c r="G68">
        <f t="shared" si="7"/>
        <v>0.1414</v>
      </c>
      <c r="H68">
        <f t="shared" si="7"/>
        <v>0.21210000000000001</v>
      </c>
      <c r="I68">
        <f t="shared" si="7"/>
        <v>7.0699999999999999E-2</v>
      </c>
      <c r="J68">
        <f t="shared" si="7"/>
        <v>6.3200000000000006E-2</v>
      </c>
      <c r="K68">
        <f t="shared" si="7"/>
        <v>6.3200000000000006E-2</v>
      </c>
      <c r="L68">
        <f t="shared" si="7"/>
        <v>0</v>
      </c>
      <c r="M68">
        <f t="shared" si="7"/>
        <v>0.3795</v>
      </c>
    </row>
    <row r="69" spans="1:13" x14ac:dyDescent="0.3">
      <c r="A69" t="s">
        <v>11</v>
      </c>
      <c r="B69">
        <f t="shared" si="7"/>
        <v>0.1414</v>
      </c>
      <c r="C69">
        <f t="shared" si="7"/>
        <v>0.1414</v>
      </c>
      <c r="D69">
        <f t="shared" si="7"/>
        <v>0.1095</v>
      </c>
      <c r="E69">
        <f t="shared" si="7"/>
        <v>7.0699999999999999E-2</v>
      </c>
      <c r="F69">
        <f t="shared" si="7"/>
        <v>5.4800000000000001E-2</v>
      </c>
      <c r="G69">
        <f t="shared" si="7"/>
        <v>0.1414</v>
      </c>
      <c r="H69">
        <f t="shared" si="7"/>
        <v>0.1673</v>
      </c>
      <c r="I69">
        <f t="shared" si="7"/>
        <v>8.3699999999999997E-2</v>
      </c>
      <c r="J69">
        <f t="shared" si="7"/>
        <v>0.21210000000000001</v>
      </c>
      <c r="K69">
        <f t="shared" si="7"/>
        <v>0.21210000000000001</v>
      </c>
      <c r="L69">
        <f t="shared" si="7"/>
        <v>0.1095</v>
      </c>
      <c r="M69">
        <f t="shared" si="7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6"/>
  <dimension ref="A1:M69"/>
  <sheetViews>
    <sheetView workbookViewId="0">
      <selection activeCell="G19" sqref="G19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13</v>
      </c>
      <c r="D2" t="s">
        <v>13</v>
      </c>
      <c r="E2" t="s">
        <v>20</v>
      </c>
      <c r="F2" t="s">
        <v>12</v>
      </c>
      <c r="G2" t="s">
        <v>15</v>
      </c>
      <c r="H2" t="s">
        <v>16</v>
      </c>
      <c r="I2" t="s">
        <v>16</v>
      </c>
      <c r="J2" t="s">
        <v>13</v>
      </c>
      <c r="K2" t="s">
        <v>24</v>
      </c>
      <c r="L2" t="s">
        <v>24</v>
      </c>
      <c r="M2" t="s">
        <v>20</v>
      </c>
    </row>
    <row r="3" spans="1:13" x14ac:dyDescent="0.3">
      <c r="A3" s="1" t="s">
        <v>1</v>
      </c>
      <c r="B3" t="s">
        <v>22</v>
      </c>
      <c r="C3">
        <v>0</v>
      </c>
      <c r="D3" t="s">
        <v>25</v>
      </c>
      <c r="E3" t="s">
        <v>25</v>
      </c>
      <c r="F3" t="s">
        <v>22</v>
      </c>
      <c r="G3" t="s">
        <v>25</v>
      </c>
      <c r="H3" t="s">
        <v>20</v>
      </c>
      <c r="I3" t="s">
        <v>15</v>
      </c>
      <c r="J3" t="s">
        <v>12</v>
      </c>
      <c r="K3" t="s">
        <v>25</v>
      </c>
      <c r="L3" t="s">
        <v>25</v>
      </c>
      <c r="M3" t="s">
        <v>13</v>
      </c>
    </row>
    <row r="4" spans="1:13" x14ac:dyDescent="0.3">
      <c r="A4" s="1" t="s">
        <v>2</v>
      </c>
      <c r="B4" t="s">
        <v>22</v>
      </c>
      <c r="C4" t="s">
        <v>24</v>
      </c>
      <c r="D4">
        <v>0</v>
      </c>
      <c r="E4" t="s">
        <v>12</v>
      </c>
      <c r="F4" t="s">
        <v>16</v>
      </c>
      <c r="G4" t="s">
        <v>15</v>
      </c>
      <c r="H4" t="s">
        <v>22</v>
      </c>
      <c r="I4" t="s">
        <v>16</v>
      </c>
      <c r="J4" t="s">
        <v>18</v>
      </c>
      <c r="K4" t="s">
        <v>25</v>
      </c>
      <c r="L4" t="s">
        <v>13</v>
      </c>
      <c r="M4" t="s">
        <v>18</v>
      </c>
    </row>
    <row r="5" spans="1:13" x14ac:dyDescent="0.3">
      <c r="A5" s="1" t="s">
        <v>3</v>
      </c>
      <c r="B5" t="s">
        <v>18</v>
      </c>
      <c r="C5" t="s">
        <v>18</v>
      </c>
      <c r="D5" t="s">
        <v>18</v>
      </c>
      <c r="E5">
        <v>0</v>
      </c>
      <c r="F5" t="s">
        <v>21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</row>
    <row r="6" spans="1:13" x14ac:dyDescent="0.3">
      <c r="A6" s="1" t="s">
        <v>4</v>
      </c>
      <c r="B6" t="s">
        <v>16</v>
      </c>
      <c r="C6" t="s">
        <v>20</v>
      </c>
      <c r="D6" t="s">
        <v>15</v>
      </c>
      <c r="E6" t="s">
        <v>20</v>
      </c>
      <c r="F6">
        <v>0</v>
      </c>
      <c r="G6" t="s">
        <v>25</v>
      </c>
      <c r="H6" t="s">
        <v>15</v>
      </c>
      <c r="I6" t="s">
        <v>15</v>
      </c>
      <c r="J6" t="s">
        <v>25</v>
      </c>
      <c r="K6" t="s">
        <v>13</v>
      </c>
      <c r="L6" t="s">
        <v>22</v>
      </c>
      <c r="M6" t="s">
        <v>24</v>
      </c>
    </row>
    <row r="7" spans="1:13" x14ac:dyDescent="0.3">
      <c r="A7" s="1" t="s">
        <v>5</v>
      </c>
      <c r="B7" t="s">
        <v>22</v>
      </c>
      <c r="C7" t="s">
        <v>15</v>
      </c>
      <c r="D7" t="s">
        <v>16</v>
      </c>
      <c r="E7" t="s">
        <v>20</v>
      </c>
      <c r="F7" t="s">
        <v>20</v>
      </c>
      <c r="G7">
        <v>0</v>
      </c>
      <c r="H7" t="s">
        <v>20</v>
      </c>
      <c r="I7" t="s">
        <v>16</v>
      </c>
      <c r="J7" t="s">
        <v>13</v>
      </c>
      <c r="K7" t="s">
        <v>15</v>
      </c>
      <c r="L7" s="6" t="s">
        <v>23</v>
      </c>
      <c r="M7" t="s">
        <v>15</v>
      </c>
    </row>
    <row r="8" spans="1:13" x14ac:dyDescent="0.3">
      <c r="A8" s="1" t="s">
        <v>6</v>
      </c>
      <c r="B8" t="s">
        <v>16</v>
      </c>
      <c r="C8" t="s">
        <v>15</v>
      </c>
      <c r="D8" t="s">
        <v>20</v>
      </c>
      <c r="E8" t="s">
        <v>16</v>
      </c>
      <c r="F8" t="s">
        <v>15</v>
      </c>
      <c r="G8" t="s">
        <v>24</v>
      </c>
      <c r="H8">
        <v>0</v>
      </c>
      <c r="I8" t="s">
        <v>24</v>
      </c>
      <c r="J8" t="s">
        <v>23</v>
      </c>
      <c r="K8" t="s">
        <v>20</v>
      </c>
      <c r="L8" s="6" t="s">
        <v>23</v>
      </c>
      <c r="M8" t="s">
        <v>20</v>
      </c>
    </row>
    <row r="9" spans="1:13" x14ac:dyDescent="0.3">
      <c r="A9" s="1" t="s">
        <v>7</v>
      </c>
      <c r="B9" t="s">
        <v>23</v>
      </c>
      <c r="C9" t="s">
        <v>15</v>
      </c>
      <c r="D9" t="s">
        <v>23</v>
      </c>
      <c r="E9" t="s">
        <v>21</v>
      </c>
      <c r="F9" t="s">
        <v>20</v>
      </c>
      <c r="G9" t="s">
        <v>20</v>
      </c>
      <c r="H9" t="s">
        <v>62</v>
      </c>
      <c r="I9">
        <v>0</v>
      </c>
      <c r="J9" t="s">
        <v>16</v>
      </c>
      <c r="K9" t="s">
        <v>18</v>
      </c>
      <c r="L9" s="6" t="s">
        <v>13</v>
      </c>
      <c r="M9" t="s">
        <v>21</v>
      </c>
    </row>
    <row r="10" spans="1:13" x14ac:dyDescent="0.3">
      <c r="A10" s="1" t="s">
        <v>8</v>
      </c>
      <c r="B10" t="s">
        <v>12</v>
      </c>
      <c r="C10" t="s">
        <v>17</v>
      </c>
      <c r="D10" t="s">
        <v>24</v>
      </c>
      <c r="E10" t="s">
        <v>15</v>
      </c>
      <c r="F10" t="s">
        <v>24</v>
      </c>
      <c r="G10" t="s">
        <v>24</v>
      </c>
      <c r="H10" t="s">
        <v>13</v>
      </c>
      <c r="I10" t="s">
        <v>15</v>
      </c>
      <c r="J10">
        <v>0</v>
      </c>
      <c r="K10" t="s">
        <v>25</v>
      </c>
      <c r="L10" s="6" t="s">
        <v>25</v>
      </c>
      <c r="M10" t="s">
        <v>13</v>
      </c>
    </row>
    <row r="11" spans="1:13" x14ac:dyDescent="0.3">
      <c r="A11" s="1" t="s">
        <v>9</v>
      </c>
      <c r="B11" t="s">
        <v>22</v>
      </c>
      <c r="C11" t="s">
        <v>22</v>
      </c>
      <c r="D11" t="s">
        <v>20</v>
      </c>
      <c r="E11" t="s">
        <v>15</v>
      </c>
      <c r="F11" t="s">
        <v>20</v>
      </c>
      <c r="G11" t="s">
        <v>17</v>
      </c>
      <c r="H11" t="s">
        <v>16</v>
      </c>
      <c r="I11" t="s">
        <v>24</v>
      </c>
      <c r="J11" t="s">
        <v>20</v>
      </c>
      <c r="K11">
        <v>0</v>
      </c>
      <c r="L11" s="6" t="s">
        <v>20</v>
      </c>
      <c r="M11" t="s">
        <v>21</v>
      </c>
    </row>
    <row r="12" spans="1:13" x14ac:dyDescent="0.3">
      <c r="A12" s="1" t="s">
        <v>10</v>
      </c>
      <c r="B12" t="s">
        <v>15</v>
      </c>
      <c r="C12" t="s">
        <v>24</v>
      </c>
      <c r="D12" t="s">
        <v>17</v>
      </c>
      <c r="E12" t="s">
        <v>20</v>
      </c>
      <c r="F12" t="s">
        <v>20</v>
      </c>
      <c r="G12" t="s">
        <v>22</v>
      </c>
      <c r="H12" t="s">
        <v>24</v>
      </c>
      <c r="I12" t="s">
        <v>15</v>
      </c>
      <c r="J12" t="s">
        <v>24</v>
      </c>
      <c r="K12" t="s">
        <v>16</v>
      </c>
      <c r="L12">
        <v>0</v>
      </c>
      <c r="M12" t="s">
        <v>13</v>
      </c>
    </row>
    <row r="13" spans="1:13" x14ac:dyDescent="0.3">
      <c r="A13" s="1" t="s">
        <v>11</v>
      </c>
      <c r="B13" t="s">
        <v>22</v>
      </c>
      <c r="C13" t="s">
        <v>24</v>
      </c>
      <c r="D13" t="s">
        <v>16</v>
      </c>
      <c r="E13" t="s">
        <v>22</v>
      </c>
      <c r="F13" t="s">
        <v>24</v>
      </c>
      <c r="G13" t="s">
        <v>22</v>
      </c>
      <c r="H13" t="s">
        <v>23</v>
      </c>
      <c r="I13" t="s">
        <v>24</v>
      </c>
      <c r="J13" t="s">
        <v>16</v>
      </c>
      <c r="K13" t="s">
        <v>16</v>
      </c>
      <c r="L13" t="s">
        <v>16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(0,1897; 0,2846; 0,3795)</v>
      </c>
      <c r="D16" t="str">
        <f>VLOOKUP(D2,'Thang đánh giá'!$C$2:$D$27,2,FALSE)</f>
        <v>(0,1897; 0,2846; 0,3795)</v>
      </c>
      <c r="E16" t="str">
        <f>VLOOKUP(E2,'Thang đánh giá'!$C$2:$D$27,2,FALSE)</f>
        <v>(0; 0,0548; 0,1095)</v>
      </c>
      <c r="F16" t="str">
        <f>VLOOKUP(F2,'Thang đánh giá'!$C$2:$D$27,2,FALSE)</f>
        <v>(0,1673; 0,251; 0,3347)</v>
      </c>
      <c r="G16" t="str">
        <f>VLOOKUP(G2,'Thang đánh giá'!$C$2:$D$27,2,FALSE)</f>
        <v>(0; 0,0707; 0,1414)</v>
      </c>
      <c r="H16" t="str">
        <f>VLOOKUP(H2,'Thang đánh giá'!$C$2:$D$27,2,FALSE)</f>
        <v>(0; 0; 0,0707)</v>
      </c>
      <c r="I16" t="str">
        <f>VLOOKUP(I2,'Thang đánh giá'!$C$2:$D$27,2,FALSE)</f>
        <v>(0; 0; 0,0707)</v>
      </c>
      <c r="J16" t="str">
        <f>VLOOKUP(J2,'Thang đánh giá'!$C$2:$D$27,2,FALSE)</f>
        <v>(0,1897; 0,2846; 0,3795)</v>
      </c>
      <c r="K16" t="str">
        <f>VLOOKUP(K2,'Thang đánh giá'!$C$2:$D$27,2,FALSE)</f>
        <v>(0; 0; 0,0548)</v>
      </c>
      <c r="L16" t="str">
        <f>VLOOKUP(L2,'Thang đánh giá'!$C$2:$D$27,2,FALSE)</f>
        <v>(0; 0; 0,0548)</v>
      </c>
      <c r="M16" t="str">
        <f>VLOOKUP(M2,'Thang đánh giá'!$C$2:$D$27,2,FALSE)</f>
        <v>(0; 0,0548; 0,1095)</v>
      </c>
    </row>
    <row r="17" spans="1:13" x14ac:dyDescent="0.3">
      <c r="A17" t="s">
        <v>1</v>
      </c>
      <c r="B17" t="str">
        <f>VLOOKUP(B3,'Thang đánh giá'!$C$2:$D$27,2,FALSE)</f>
        <v>(0,0707; 0,1414; 0,2121)</v>
      </c>
      <c r="C17" t="str">
        <f>VLOOKUP(C3,'Thang đánh giá'!$C$2:$D$27,2,FALSE)</f>
        <v>(0; 0; 0)</v>
      </c>
      <c r="D17" t="str">
        <f>VLOOKUP(D3,'Thang đánh giá'!$C$2:$D$27,2,FALSE)</f>
        <v>(0,251; 0,3347; 0,3347)</v>
      </c>
      <c r="E17" t="str">
        <f>VLOOKUP(E3,'Thang đánh giá'!$C$2:$D$27,2,FALSE)</f>
        <v>(0,251; 0,3347; 0,3347)</v>
      </c>
      <c r="F17" t="str">
        <f>VLOOKUP(F3,'Thang đánh giá'!$C$2:$D$27,2,FALSE)</f>
        <v>(0,0707; 0,1414; 0,2121)</v>
      </c>
      <c r="G17" t="str">
        <f>VLOOKUP(G3,'Thang đánh giá'!$C$2:$D$27,2,FALSE)</f>
        <v>(0,251; 0,3347; 0,3347)</v>
      </c>
      <c r="H17" t="str">
        <f>VLOOKUP(H3,'Thang đánh giá'!$C$2:$D$27,2,FALSE)</f>
        <v>(0; 0,0548; 0,1095)</v>
      </c>
      <c r="I17" t="str">
        <f>VLOOKUP(I3,'Thang đánh giá'!$C$2:$D$27,2,FALSE)</f>
        <v>(0; 0,0707; 0,1414)</v>
      </c>
      <c r="J17" t="str">
        <f>VLOOKUP(J3,'Thang đánh giá'!$C$2:$D$27,2,FALSE)</f>
        <v>(0,1673; 0,251; 0,3347)</v>
      </c>
      <c r="K17" t="str">
        <f>VLOOKUP(K3,'Thang đánh giá'!$C$2:$D$27,2,FALSE)</f>
        <v>(0,251; 0,3347; 0,3347)</v>
      </c>
      <c r="L17" t="str">
        <f>VLOOKUP(L3,'Thang đánh giá'!$C$2:$D$27,2,FALSE)</f>
        <v>(0,251; 0,3347; 0,3347)</v>
      </c>
      <c r="M17" t="str">
        <f>VLOOKUP(M3,'Thang đánh giá'!$C$2:$D$27,2,FALSE)</f>
        <v>(0,1897; 0,2846; 0,3795)</v>
      </c>
    </row>
    <row r="18" spans="1:13" x14ac:dyDescent="0.3">
      <c r="A18" t="s">
        <v>2</v>
      </c>
      <c r="B18" t="str">
        <f>VLOOKUP(B4,'Thang đánh giá'!$C$2:$D$27,2,FALSE)</f>
        <v>(0,0707; 0,1414; 0,2121)</v>
      </c>
      <c r="C18" t="str">
        <f>VLOOKUP(C4,'Thang đánh giá'!$C$2:$D$27,2,FALSE)</f>
        <v>(0; 0; 0,0548)</v>
      </c>
      <c r="D18" t="str">
        <f>VLOOKUP(D4,'Thang đánh giá'!$C$2:$D$27,2,FALSE)</f>
        <v>(0; 0; 0)</v>
      </c>
      <c r="E18" t="str">
        <f>VLOOKUP(E4,'Thang đánh giá'!$C$2:$D$27,2,FALSE)</f>
        <v>(0,1673; 0,251; 0,3347)</v>
      </c>
      <c r="F18" t="str">
        <f>VLOOKUP(F4,'Thang đánh giá'!$C$2:$D$27,2,FALSE)</f>
        <v>(0; 0; 0,0707)</v>
      </c>
      <c r="G18" t="str">
        <f>VLOOKUP(G4,'Thang đánh giá'!$C$2:$D$27,2,FALSE)</f>
        <v>(0; 0,0707; 0,1414)</v>
      </c>
      <c r="H18" t="str">
        <f>VLOOKUP(H4,'Thang đánh giá'!$C$2:$D$27,2,FALSE)</f>
        <v>(0,0707; 0,1414; 0,2121)</v>
      </c>
      <c r="I18" t="str">
        <f>VLOOKUP(I4,'Thang đánh giá'!$C$2:$D$27,2,FALSE)</f>
        <v>(0; 0; 0,0707)</v>
      </c>
      <c r="J18" t="str">
        <f>VLOOKUP(J4,'Thang đánh giá'!$C$2:$D$27,2,FALSE)</f>
        <v>(0,2846; 0,3795; 0,3795)</v>
      </c>
      <c r="K18" t="str">
        <f>VLOOKUP(K4,'Thang đánh giá'!$C$2:$D$27,2,FALSE)</f>
        <v>(0,251; 0,3347; 0,3347)</v>
      </c>
      <c r="L18" t="str">
        <f>VLOOKUP(L4,'Thang đánh giá'!$C$2:$D$27,2,FALSE)</f>
        <v>(0,1897; 0,2846; 0,3795)</v>
      </c>
      <c r="M18" t="str">
        <f>VLOOKUP(M4,'Thang đánh giá'!$C$2:$D$27,2,FALSE)</f>
        <v>(0,2846; 0,3795; 0,3795)</v>
      </c>
    </row>
    <row r="19" spans="1:13" x14ac:dyDescent="0.3">
      <c r="A19" t="s">
        <v>3</v>
      </c>
      <c r="B19" t="str">
        <f>VLOOKUP(B5,'Thang đánh giá'!$C$2:$D$27,2,FALSE)</f>
        <v>(0,2846; 0,3795; 0,3795)</v>
      </c>
      <c r="C19" t="str">
        <f>VLOOKUP(C5,'Thang đánh giá'!$C$2:$D$27,2,FALSE)</f>
        <v>(0,2846; 0,3795; 0,3795)</v>
      </c>
      <c r="D19" t="str">
        <f>VLOOKUP(D5,'Thang đánh giá'!$C$2:$D$27,2,FALSE)</f>
        <v>(0,2846; 0,3795; 0,3795)</v>
      </c>
      <c r="E19" t="str">
        <f>VLOOKUP(E5,'Thang đánh giá'!$C$2:$D$27,2,FALSE)</f>
        <v>(0; 0; 0)</v>
      </c>
      <c r="F19" t="str">
        <f>VLOOKUP(F5,'Thang đánh giá'!$C$2:$D$27,2,FALSE)</f>
        <v>(0,0837; 0,1673; 0,251)</v>
      </c>
      <c r="G19" t="str">
        <f>VLOOKUP(G5,'Thang đánh giá'!$C$2:$D$27,2,FALSE)</f>
        <v>(0,2846; 0,3795; 0,3795)</v>
      </c>
      <c r="H19" t="str">
        <f>VLOOKUP(H5,'Thang đánh giá'!$C$2:$D$27,2,FALSE)</f>
        <v>(0,2846; 0,3795; 0,3795)</v>
      </c>
      <c r="I19" t="str">
        <f>VLOOKUP(I5,'Thang đánh giá'!$C$2:$D$27,2,FALSE)</f>
        <v>(0,2846; 0,3795; 0,3795)</v>
      </c>
      <c r="J19" t="str">
        <f>VLOOKUP(J5,'Thang đánh giá'!$C$2:$D$27,2,FALSE)</f>
        <v>(0,2846; 0,3795; 0,3795)</v>
      </c>
      <c r="K19" t="str">
        <f>VLOOKUP(K5,'Thang đánh giá'!$C$2:$D$27,2,FALSE)</f>
        <v>(0,2846; 0,3795; 0,3795)</v>
      </c>
      <c r="L19" t="str">
        <f>VLOOKUP(L5,'Thang đánh giá'!$C$2:$D$27,2,FALSE)</f>
        <v>(0,2846; 0,3795; 0,3795)</v>
      </c>
      <c r="M19" t="str">
        <f>VLOOKUP(M5,'Thang đánh giá'!$C$2:$D$27,2,FALSE)</f>
        <v>(0,2846; 0,3795; 0,3795)</v>
      </c>
    </row>
    <row r="20" spans="1:13" x14ac:dyDescent="0.3">
      <c r="A20" t="s">
        <v>4</v>
      </c>
      <c r="B20" t="str">
        <f>VLOOKUP(B6,'Thang đánh giá'!$C$2:$D$27,2,FALSE)</f>
        <v>(0; 0; 0,0707)</v>
      </c>
      <c r="C20" t="str">
        <f>VLOOKUP(C6,'Thang đánh giá'!$C$2:$D$27,2,FALSE)</f>
        <v>(0; 0,0548; 0,1095)</v>
      </c>
      <c r="D20" t="str">
        <f>VLOOKUP(D6,'Thang đánh giá'!$C$2:$D$27,2,FALSE)</f>
        <v>(0; 0,0707; 0,1414)</v>
      </c>
      <c r="E20" t="str">
        <f>VLOOKUP(E6,'Thang đánh giá'!$C$2:$D$27,2,FALSE)</f>
        <v>(0; 0,0548; 0,1095)</v>
      </c>
      <c r="F20" t="str">
        <f>VLOOKUP(F6,'Thang đánh giá'!$C$2:$D$27,2,FALSE)</f>
        <v>(0; 0; 0)</v>
      </c>
      <c r="G20" t="str">
        <f>VLOOKUP(G6,'Thang đánh giá'!$C$2:$D$27,2,FALSE)</f>
        <v>(0,251; 0,3347; 0,3347)</v>
      </c>
      <c r="H20" t="str">
        <f>VLOOKUP(H6,'Thang đánh giá'!$C$2:$D$27,2,FALSE)</f>
        <v>(0; 0,0707; 0,1414)</v>
      </c>
      <c r="I20" t="str">
        <f>VLOOKUP(I6,'Thang đánh giá'!$C$2:$D$27,2,FALSE)</f>
        <v>(0; 0,0707; 0,1414)</v>
      </c>
      <c r="J20" t="str">
        <f>VLOOKUP(J6,'Thang đánh giá'!$C$2:$D$27,2,FALSE)</f>
        <v>(0,251; 0,3347; 0,3347)</v>
      </c>
      <c r="K20" t="str">
        <f>VLOOKUP(K6,'Thang đánh giá'!$C$2:$D$27,2,FALSE)</f>
        <v>(0,1897; 0,2846; 0,3795)</v>
      </c>
      <c r="L20" t="str">
        <f>VLOOKUP(L6,'Thang đánh giá'!$C$2:$D$27,2,FALSE)</f>
        <v>(0,0707; 0,1414; 0,2121)</v>
      </c>
      <c r="M20" t="str">
        <f>VLOOKUP(M6,'Thang đánh giá'!$C$2:$D$27,2,FALSE)</f>
        <v>(0; 0; 0,0548)</v>
      </c>
    </row>
    <row r="21" spans="1:13" x14ac:dyDescent="0.3">
      <c r="A21" t="s">
        <v>5</v>
      </c>
      <c r="B21" t="str">
        <f>VLOOKUP(B7,'Thang đánh giá'!$C$2:$D$27,2,FALSE)</f>
        <v>(0,0707; 0,1414; 0,2121)</v>
      </c>
      <c r="C21" t="str">
        <f>VLOOKUP(C7,'Thang đánh giá'!$C$2:$D$27,2,FALSE)</f>
        <v>(0; 0,0707; 0,1414)</v>
      </c>
      <c r="D21" t="str">
        <f>VLOOKUP(D7,'Thang đánh giá'!$C$2:$D$27,2,FALSE)</f>
        <v>(0; 0; 0,0707)</v>
      </c>
      <c r="E21" t="str">
        <f>VLOOKUP(E7,'Thang đánh giá'!$C$2:$D$27,2,FALSE)</f>
        <v>(0; 0,0548; 0,1095)</v>
      </c>
      <c r="F21" t="str">
        <f>VLOOKUP(F7,'Thang đánh giá'!$C$2:$D$27,2,FALSE)</f>
        <v>(0; 0,0548; 0,1095)</v>
      </c>
      <c r="G21" t="str">
        <f>VLOOKUP(G7,'Thang đánh giá'!$C$2:$D$27,2,FALSE)</f>
        <v>(0; 0; 0)</v>
      </c>
      <c r="H21" t="str">
        <f>VLOOKUP(H7,'Thang đánh giá'!$C$2:$D$27,2,FALSE)</f>
        <v>(0; 0,0548; 0,1095)</v>
      </c>
      <c r="I21" t="str">
        <f>VLOOKUP(I7,'Thang đánh giá'!$C$2:$D$27,2,FALSE)</f>
        <v>(0; 0; 0,0707)</v>
      </c>
      <c r="J21" t="str">
        <f>VLOOKUP(J7,'Thang đánh giá'!$C$2:$D$27,2,FALSE)</f>
        <v>(0,1897; 0,2846; 0,3795)</v>
      </c>
      <c r="K21" t="str">
        <f>VLOOKUP(K7,'Thang đánh giá'!$C$2:$D$27,2,FALSE)</f>
        <v>(0; 0,0707; 0,1414)</v>
      </c>
      <c r="L21" t="str">
        <f>VLOOKUP(L7,'Thang đánh giá'!$C$2:$D$27,2,FALSE)</f>
        <v>(0; 0; 0,0316)</v>
      </c>
      <c r="M21" t="str">
        <f>VLOOKUP(M7,'Thang đánh giá'!$C$2:$D$27,2,FALSE)</f>
        <v>(0; 0,0707; 0,1414)</v>
      </c>
    </row>
    <row r="22" spans="1:13" x14ac:dyDescent="0.3">
      <c r="A22" t="s">
        <v>6</v>
      </c>
      <c r="B22" t="str">
        <f>VLOOKUP(B8,'Thang đánh giá'!$C$2:$D$27,2,FALSE)</f>
        <v>(0; 0; 0,0707)</v>
      </c>
      <c r="C22" t="str">
        <f>VLOOKUP(C8,'Thang đánh giá'!$C$2:$D$27,2,FALSE)</f>
        <v>(0; 0,0707; 0,1414)</v>
      </c>
      <c r="D22" t="str">
        <f>VLOOKUP(D8,'Thang đánh giá'!$C$2:$D$27,2,FALSE)</f>
        <v>(0; 0,0548; 0,1095)</v>
      </c>
      <c r="E22" t="str">
        <f>VLOOKUP(E8,'Thang đánh giá'!$C$2:$D$27,2,FALSE)</f>
        <v>(0; 0; 0,0707)</v>
      </c>
      <c r="F22" t="str">
        <f>VLOOKUP(F8,'Thang đánh giá'!$C$2:$D$27,2,FALSE)</f>
        <v>(0; 0,0707; 0,1414)</v>
      </c>
      <c r="G22" t="str">
        <f>VLOOKUP(G8,'Thang đánh giá'!$C$2:$D$27,2,FALSE)</f>
        <v>(0; 0; 0,0548)</v>
      </c>
      <c r="H22" t="str">
        <f>VLOOKUP(H8,'Thang đánh giá'!$C$2:$D$27,2,FALSE)</f>
        <v>(0; 0; 0)</v>
      </c>
      <c r="I22" t="str">
        <f>VLOOKUP(I8,'Thang đánh giá'!$C$2:$D$27,2,FALSE)</f>
        <v>(0; 0; 0,0548)</v>
      </c>
      <c r="J22" t="str">
        <f>VLOOKUP(J8,'Thang đánh giá'!$C$2:$D$27,2,FALSE)</f>
        <v>(0; 0; 0,0316)</v>
      </c>
      <c r="K22" t="str">
        <f>VLOOKUP(K8,'Thang đánh giá'!$C$2:$D$27,2,FALSE)</f>
        <v>(0; 0,0548; 0,1095)</v>
      </c>
      <c r="L22" t="str">
        <f>VLOOKUP(L8,'Thang đánh giá'!$C$2:$D$27,2,FALSE)</f>
        <v>(0; 0; 0,0316)</v>
      </c>
      <c r="M22" t="str">
        <f>VLOOKUP(M8,'Thang đánh giá'!$C$2:$D$27,2,FALSE)</f>
        <v>(0; 0,0548; 0,1095)</v>
      </c>
    </row>
    <row r="23" spans="1:13" x14ac:dyDescent="0.3">
      <c r="A23" t="s">
        <v>7</v>
      </c>
      <c r="B23" t="str">
        <f>VLOOKUP(B9,'Thang đánh giá'!$C$2:$D$27,2,FALSE)</f>
        <v>(0; 0; 0,0316)</v>
      </c>
      <c r="C23" t="str">
        <f>VLOOKUP(C9,'Thang đánh giá'!$C$2:$D$27,2,FALSE)</f>
        <v>(0; 0,0707; 0,1414)</v>
      </c>
      <c r="D23" t="str">
        <f>VLOOKUP(D9,'Thang đánh giá'!$C$2:$D$27,2,FALSE)</f>
        <v>(0; 0; 0,0316)</v>
      </c>
      <c r="E23" t="str">
        <f>VLOOKUP(E9,'Thang đánh giá'!$C$2:$D$27,2,FALSE)</f>
        <v>(0,0837; 0,1673; 0,251)</v>
      </c>
      <c r="F23" t="str">
        <f>VLOOKUP(F9,'Thang đánh giá'!$C$2:$D$27,2,FALSE)</f>
        <v>(0; 0,0548; 0,1095)</v>
      </c>
      <c r="G23" t="str">
        <f>VLOOKUP(G9,'Thang đánh giá'!$C$2:$D$27,2,FALSE)</f>
        <v>(0; 0,0548; 0,1095)</v>
      </c>
      <c r="H23" t="str">
        <f>VLOOKUP(H9,'Thang đánh giá'!$C$2:$D$27,2,FALSE)</f>
        <v>(0; 0,0837; 0,1673)</v>
      </c>
      <c r="I23" t="str">
        <f>VLOOKUP(I9,'Thang đánh giá'!$C$2:$D$27,2,FALSE)</f>
        <v>(0; 0; 0)</v>
      </c>
      <c r="J23" t="str">
        <f>VLOOKUP(J9,'Thang đánh giá'!$C$2:$D$27,2,FALSE)</f>
        <v>(0; 0; 0,0707)</v>
      </c>
      <c r="K23" t="str">
        <f>VLOOKUP(K9,'Thang đánh giá'!$C$2:$D$27,2,FALSE)</f>
        <v>(0,2846; 0,3795; 0,3795)</v>
      </c>
      <c r="L23" t="str">
        <f>VLOOKUP(L9,'Thang đánh giá'!$C$2:$D$27,2,FALSE)</f>
        <v>(0,1897; 0,2846; 0,3795)</v>
      </c>
      <c r="M23" t="str">
        <f>VLOOKUP(M9,'Thang đánh giá'!$C$2:$D$27,2,FALSE)</f>
        <v>(0,0837; 0,1673; 0,251)</v>
      </c>
    </row>
    <row r="24" spans="1:13" x14ac:dyDescent="0.3">
      <c r="A24" t="s">
        <v>8</v>
      </c>
      <c r="B24" t="str">
        <f>VLOOKUP(B10,'Thang đánh giá'!$C$2:$D$27,2,FALSE)</f>
        <v>(0,1673; 0,251; 0,3347)</v>
      </c>
      <c r="C24" t="str">
        <f>VLOOKUP(C10,'Thang đánh giá'!$C$2:$D$27,2,FALSE)</f>
        <v>(0; 0,0316; 0,0632)</v>
      </c>
      <c r="D24" t="str">
        <f>VLOOKUP(D10,'Thang đánh giá'!$C$2:$D$27,2,FALSE)</f>
        <v>(0; 0; 0,0548)</v>
      </c>
      <c r="E24" t="str">
        <f>VLOOKUP(E10,'Thang đánh giá'!$C$2:$D$27,2,FALSE)</f>
        <v>(0; 0,0707; 0,1414)</v>
      </c>
      <c r="F24" t="str">
        <f>VLOOKUP(F10,'Thang đánh giá'!$C$2:$D$27,2,FALSE)</f>
        <v>(0; 0; 0,0548)</v>
      </c>
      <c r="G24" t="str">
        <f>VLOOKUP(G10,'Thang đánh giá'!$C$2:$D$27,2,FALSE)</f>
        <v>(0; 0; 0,0548)</v>
      </c>
      <c r="H24" t="str">
        <f>VLOOKUP(H10,'Thang đánh giá'!$C$2:$D$27,2,FALSE)</f>
        <v>(0,1897; 0,2846; 0,3795)</v>
      </c>
      <c r="I24" t="str">
        <f>VLOOKUP(I10,'Thang đánh giá'!$C$2:$D$27,2,FALSE)</f>
        <v>(0; 0,0707; 0,1414)</v>
      </c>
      <c r="J24" t="str">
        <f>VLOOKUP(J10,'Thang đánh giá'!$C$2:$D$27,2,FALSE)</f>
        <v>(0; 0; 0)</v>
      </c>
      <c r="K24" t="str">
        <f>VLOOKUP(K10,'Thang đánh giá'!$C$2:$D$27,2,FALSE)</f>
        <v>(0,251; 0,3347; 0,3347)</v>
      </c>
      <c r="L24" t="str">
        <f>VLOOKUP(L10,'Thang đánh giá'!$C$2:$D$27,2,FALSE)</f>
        <v>(0,251; 0,3347; 0,3347)</v>
      </c>
      <c r="M24" t="str">
        <f>VLOOKUP(M10,'Thang đánh giá'!$C$2:$D$27,2,FALSE)</f>
        <v>(0,1897; 0,2846; 0,3795)</v>
      </c>
    </row>
    <row r="25" spans="1:13" x14ac:dyDescent="0.3">
      <c r="A25" t="s">
        <v>9</v>
      </c>
      <c r="B25" t="str">
        <f>VLOOKUP(B11,'Thang đánh giá'!$C$2:$D$27,2,FALSE)</f>
        <v>(0,0707; 0,1414; 0,2121)</v>
      </c>
      <c r="C25" t="str">
        <f>VLOOKUP(C11,'Thang đánh giá'!$C$2:$D$27,2,FALSE)</f>
        <v>(0,0707; 0,1414; 0,2121)</v>
      </c>
      <c r="D25" t="str">
        <f>VLOOKUP(D11,'Thang đánh giá'!$C$2:$D$27,2,FALSE)</f>
        <v>(0; 0,0548; 0,1095)</v>
      </c>
      <c r="E25" t="str">
        <f>VLOOKUP(E11,'Thang đánh giá'!$C$2:$D$27,2,FALSE)</f>
        <v>(0; 0,0707; 0,1414)</v>
      </c>
      <c r="F25" t="str">
        <f>VLOOKUP(F11,'Thang đánh giá'!$C$2:$D$27,2,FALSE)</f>
        <v>(0; 0,0548; 0,1095)</v>
      </c>
      <c r="G25" t="str">
        <f>VLOOKUP(G11,'Thang đánh giá'!$C$2:$D$27,2,FALSE)</f>
        <v>(0; 0,0316; 0,0632)</v>
      </c>
      <c r="H25" t="str">
        <f>VLOOKUP(H11,'Thang đánh giá'!$C$2:$D$27,2,FALSE)</f>
        <v>(0; 0; 0,0707)</v>
      </c>
      <c r="I25" t="str">
        <f>VLOOKUP(I11,'Thang đánh giá'!$C$2:$D$27,2,FALSE)</f>
        <v>(0; 0; 0,0548)</v>
      </c>
      <c r="J25" t="str">
        <f>VLOOKUP(J11,'Thang đánh giá'!$C$2:$D$27,2,FALSE)</f>
        <v>(0; 0,0548; 0,1095)</v>
      </c>
      <c r="K25" t="str">
        <f>VLOOKUP(K11,'Thang đánh giá'!$C$2:$D$27,2,FALSE)</f>
        <v>(0; 0; 0)</v>
      </c>
      <c r="L25" t="str">
        <f>VLOOKUP(L11,'Thang đánh giá'!$C$2:$D$27,2,FALSE)</f>
        <v>(0; 0,0548; 0,1095)</v>
      </c>
      <c r="M25" t="str">
        <f>VLOOKUP(M11,'Thang đánh giá'!$C$2:$D$27,2,FALSE)</f>
        <v>(0,0837; 0,1673; 0,251)</v>
      </c>
    </row>
    <row r="26" spans="1:13" x14ac:dyDescent="0.3">
      <c r="A26" t="s">
        <v>10</v>
      </c>
      <c r="B26" t="str">
        <f>VLOOKUP(B12,'Thang đánh giá'!$C$2:$D$27,2,FALSE)</f>
        <v>(0; 0,0707; 0,1414)</v>
      </c>
      <c r="C26" t="str">
        <f>VLOOKUP(C12,'Thang đánh giá'!$C$2:$D$27,2,FALSE)</f>
        <v>(0; 0; 0,0548)</v>
      </c>
      <c r="D26" t="str">
        <f>VLOOKUP(D12,'Thang đánh giá'!$C$2:$D$27,2,FALSE)</f>
        <v>(0; 0,0316; 0,0632)</v>
      </c>
      <c r="E26" t="str">
        <f>VLOOKUP(E12,'Thang đánh giá'!$C$2:$D$27,2,FALSE)</f>
        <v>(0; 0,0548; 0,1095)</v>
      </c>
      <c r="F26" t="str">
        <f>VLOOKUP(F12,'Thang đánh giá'!$C$2:$D$27,2,FALSE)</f>
        <v>(0; 0,0548; 0,1095)</v>
      </c>
      <c r="G26" t="str">
        <f>VLOOKUP(G12,'Thang đánh giá'!$C$2:$D$27,2,FALSE)</f>
        <v>(0,0707; 0,1414; 0,2121)</v>
      </c>
      <c r="H26" t="str">
        <f>VLOOKUP(H12,'Thang đánh giá'!$C$2:$D$27,2,FALSE)</f>
        <v>(0; 0; 0,0548)</v>
      </c>
      <c r="I26" t="str">
        <f>VLOOKUP(I12,'Thang đánh giá'!$C$2:$D$27,2,FALSE)</f>
        <v>(0; 0,0707; 0,1414)</v>
      </c>
      <c r="J26" t="str">
        <f>VLOOKUP(J12,'Thang đánh giá'!$C$2:$D$27,2,FALSE)</f>
        <v>(0; 0; 0,0548)</v>
      </c>
      <c r="K26" t="str">
        <f>VLOOKUP(K12,'Thang đánh giá'!$C$2:$D$27,2,FALSE)</f>
        <v>(0; 0; 0,0707)</v>
      </c>
      <c r="L26" t="str">
        <f>VLOOKUP(L12,'Thang đánh giá'!$C$2:$D$27,2,FALSE)</f>
        <v>(0; 0; 0)</v>
      </c>
      <c r="M26" t="str">
        <f>VLOOKUP(M12,'Thang đánh giá'!$C$2:$D$27,2,FALSE)</f>
        <v>(0,1897; 0,2846; 0,3795)</v>
      </c>
    </row>
    <row r="27" spans="1:13" x14ac:dyDescent="0.3">
      <c r="A27" t="s">
        <v>11</v>
      </c>
      <c r="B27" t="str">
        <f>VLOOKUP(B13,'Thang đánh giá'!$C$2:$D$27,2,FALSE)</f>
        <v>(0,0707; 0,1414; 0,2121)</v>
      </c>
      <c r="C27" t="str">
        <f>VLOOKUP(C13,'Thang đánh giá'!$C$2:$D$27,2,FALSE)</f>
        <v>(0; 0; 0,0548)</v>
      </c>
      <c r="D27" t="str">
        <f>VLOOKUP(D13,'Thang đánh giá'!$C$2:$D$27,2,FALSE)</f>
        <v>(0; 0; 0,0707)</v>
      </c>
      <c r="E27" t="str">
        <f>VLOOKUP(E13,'Thang đánh giá'!$C$2:$D$27,2,FALSE)</f>
        <v>(0,0707; 0,1414; 0,2121)</v>
      </c>
      <c r="F27" t="str">
        <f>VLOOKUP(F13,'Thang đánh giá'!$C$2:$D$27,2,FALSE)</f>
        <v>(0; 0; 0,0548)</v>
      </c>
      <c r="G27" t="str">
        <f>VLOOKUP(G13,'Thang đánh giá'!$C$2:$D$27,2,FALSE)</f>
        <v>(0,0707; 0,1414; 0,2121)</v>
      </c>
      <c r="H27" t="str">
        <f>VLOOKUP(H13,'Thang đánh giá'!$C$2:$D$27,2,FALSE)</f>
        <v>(0; 0; 0,0316)</v>
      </c>
      <c r="I27" t="str">
        <f>VLOOKUP(I13,'Thang đánh giá'!$C$2:$D$27,2,FALSE)</f>
        <v>(0; 0; 0,0548)</v>
      </c>
      <c r="J27" t="str">
        <f>VLOOKUP(J13,'Thang đánh giá'!$C$2:$D$27,2,FALSE)</f>
        <v>(0; 0; 0,0707)</v>
      </c>
      <c r="K27" t="str">
        <f>VLOOKUP(K13,'Thang đánh giá'!$C$2:$D$27,2,FALSE)</f>
        <v>(0; 0; 0,0707)</v>
      </c>
      <c r="L27" t="str">
        <f>VLOOKUP(L13,'Thang đánh giá'!$C$2:$D$27,2,FALSE)</f>
        <v>(0; 0; 0,0707)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0.18970000000000001</v>
      </c>
      <c r="D30">
        <f t="shared" si="0"/>
        <v>0.18970000000000001</v>
      </c>
      <c r="E30">
        <f t="shared" si="0"/>
        <v>0</v>
      </c>
      <c r="F30">
        <f t="shared" si="0"/>
        <v>0.1673</v>
      </c>
      <c r="G30">
        <f t="shared" si="0"/>
        <v>0</v>
      </c>
      <c r="H30">
        <f t="shared" si="0"/>
        <v>0</v>
      </c>
      <c r="I30">
        <f t="shared" si="0"/>
        <v>0</v>
      </c>
      <c r="J30">
        <f t="shared" si="0"/>
        <v>0.18970000000000001</v>
      </c>
      <c r="K30">
        <f t="shared" si="0"/>
        <v>0</v>
      </c>
      <c r="L30">
        <f t="shared" si="0"/>
        <v>0</v>
      </c>
      <c r="M30">
        <f t="shared" si="0"/>
        <v>0</v>
      </c>
    </row>
    <row r="31" spans="1:13" x14ac:dyDescent="0.3">
      <c r="A31" t="s">
        <v>1</v>
      </c>
      <c r="B31">
        <f t="shared" ref="B31:M41" si="1">_xlfn.NUMBERVALUE(MID(B17,2,FIND(";",B17,1)-2))</f>
        <v>7.0699999999999999E-2</v>
      </c>
      <c r="C31">
        <f t="shared" si="1"/>
        <v>0</v>
      </c>
      <c r="D31">
        <f t="shared" si="1"/>
        <v>0.251</v>
      </c>
      <c r="E31">
        <f t="shared" si="1"/>
        <v>0.251</v>
      </c>
      <c r="F31">
        <f t="shared" si="1"/>
        <v>7.0699999999999999E-2</v>
      </c>
      <c r="G31">
        <f t="shared" si="1"/>
        <v>0.251</v>
      </c>
      <c r="H31">
        <f t="shared" si="1"/>
        <v>0</v>
      </c>
      <c r="I31">
        <f t="shared" si="1"/>
        <v>0</v>
      </c>
      <c r="J31">
        <f t="shared" si="1"/>
        <v>0.1673</v>
      </c>
      <c r="K31">
        <f t="shared" si="1"/>
        <v>0.251</v>
      </c>
      <c r="L31">
        <f t="shared" si="1"/>
        <v>0.251</v>
      </c>
      <c r="M31">
        <f t="shared" si="1"/>
        <v>0.18970000000000001</v>
      </c>
    </row>
    <row r="32" spans="1:13" x14ac:dyDescent="0.3">
      <c r="A32" t="s">
        <v>2</v>
      </c>
      <c r="B32">
        <f t="shared" si="1"/>
        <v>7.0699999999999999E-2</v>
      </c>
      <c r="C32">
        <f t="shared" si="1"/>
        <v>0</v>
      </c>
      <c r="D32">
        <f t="shared" si="1"/>
        <v>0</v>
      </c>
      <c r="E32">
        <f t="shared" si="1"/>
        <v>0.1673</v>
      </c>
      <c r="F32">
        <f t="shared" si="1"/>
        <v>0</v>
      </c>
      <c r="G32">
        <f t="shared" si="1"/>
        <v>0</v>
      </c>
      <c r="H32">
        <f t="shared" si="1"/>
        <v>7.0699999999999999E-2</v>
      </c>
      <c r="I32">
        <f t="shared" si="1"/>
        <v>0</v>
      </c>
      <c r="J32">
        <f t="shared" si="1"/>
        <v>0.28460000000000002</v>
      </c>
      <c r="K32">
        <f t="shared" si="1"/>
        <v>0.251</v>
      </c>
      <c r="L32">
        <f t="shared" si="1"/>
        <v>0.18970000000000001</v>
      </c>
      <c r="M32">
        <f t="shared" si="1"/>
        <v>0.28460000000000002</v>
      </c>
    </row>
    <row r="33" spans="1:13" x14ac:dyDescent="0.3">
      <c r="A33" t="s">
        <v>3</v>
      </c>
      <c r="B33">
        <f t="shared" si="1"/>
        <v>0.28460000000000002</v>
      </c>
      <c r="C33">
        <f t="shared" si="1"/>
        <v>0.28460000000000002</v>
      </c>
      <c r="D33">
        <f t="shared" si="1"/>
        <v>0.28460000000000002</v>
      </c>
      <c r="E33">
        <f t="shared" si="1"/>
        <v>0</v>
      </c>
      <c r="F33">
        <f t="shared" si="1"/>
        <v>8.3699999999999997E-2</v>
      </c>
      <c r="G33">
        <f t="shared" si="1"/>
        <v>0.28460000000000002</v>
      </c>
      <c r="H33">
        <f t="shared" si="1"/>
        <v>0.28460000000000002</v>
      </c>
      <c r="I33">
        <f t="shared" si="1"/>
        <v>0.28460000000000002</v>
      </c>
      <c r="J33">
        <f t="shared" si="1"/>
        <v>0.28460000000000002</v>
      </c>
      <c r="K33">
        <f t="shared" si="1"/>
        <v>0.28460000000000002</v>
      </c>
      <c r="L33">
        <f t="shared" si="1"/>
        <v>0.28460000000000002</v>
      </c>
      <c r="M33">
        <f t="shared" si="1"/>
        <v>0.28460000000000002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0</v>
      </c>
      <c r="D34">
        <f t="shared" si="2"/>
        <v>0</v>
      </c>
      <c r="E34">
        <f t="shared" si="2"/>
        <v>0</v>
      </c>
      <c r="F34">
        <f t="shared" si="2"/>
        <v>0</v>
      </c>
      <c r="G34">
        <f t="shared" si="2"/>
        <v>0.251</v>
      </c>
      <c r="H34">
        <f t="shared" si="2"/>
        <v>0</v>
      </c>
      <c r="I34">
        <f t="shared" si="2"/>
        <v>0</v>
      </c>
      <c r="J34">
        <f t="shared" si="2"/>
        <v>0.251</v>
      </c>
      <c r="K34">
        <f t="shared" si="2"/>
        <v>0.18970000000000001</v>
      </c>
      <c r="L34">
        <f t="shared" si="2"/>
        <v>7.0699999999999999E-2</v>
      </c>
      <c r="M34">
        <f t="shared" si="2"/>
        <v>0</v>
      </c>
    </row>
    <row r="35" spans="1:13" x14ac:dyDescent="0.3">
      <c r="A35" t="s">
        <v>5</v>
      </c>
      <c r="B35">
        <f t="shared" si="1"/>
        <v>7.0699999999999999E-2</v>
      </c>
      <c r="C35">
        <f t="shared" si="1"/>
        <v>0</v>
      </c>
      <c r="D35">
        <f t="shared" si="1"/>
        <v>0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0</v>
      </c>
      <c r="J35">
        <f t="shared" si="1"/>
        <v>0.18970000000000001</v>
      </c>
      <c r="K35">
        <f t="shared" si="1"/>
        <v>0</v>
      </c>
      <c r="L35">
        <f t="shared" si="1"/>
        <v>0</v>
      </c>
      <c r="M35">
        <f t="shared" si="1"/>
        <v>0</v>
      </c>
    </row>
    <row r="36" spans="1:13" x14ac:dyDescent="0.3">
      <c r="A36" t="s">
        <v>6</v>
      </c>
      <c r="B36">
        <f t="shared" si="1"/>
        <v>0</v>
      </c>
      <c r="C36">
        <f t="shared" si="1"/>
        <v>0</v>
      </c>
      <c r="D36">
        <f t="shared" si="1"/>
        <v>0</v>
      </c>
      <c r="E36">
        <f t="shared" si="1"/>
        <v>0</v>
      </c>
      <c r="F36">
        <f t="shared" si="1"/>
        <v>0</v>
      </c>
      <c r="G36">
        <f t="shared" si="1"/>
        <v>0</v>
      </c>
      <c r="H36">
        <f t="shared" si="1"/>
        <v>0</v>
      </c>
      <c r="I36">
        <f t="shared" si="1"/>
        <v>0</v>
      </c>
      <c r="J36">
        <f t="shared" si="1"/>
        <v>0</v>
      </c>
      <c r="K36">
        <f t="shared" si="1"/>
        <v>0</v>
      </c>
      <c r="L36">
        <f t="shared" si="1"/>
        <v>0</v>
      </c>
      <c r="M36">
        <f t="shared" si="1"/>
        <v>0</v>
      </c>
    </row>
    <row r="37" spans="1:13" x14ac:dyDescent="0.3">
      <c r="A37" t="s">
        <v>7</v>
      </c>
      <c r="B37">
        <f t="shared" si="1"/>
        <v>0</v>
      </c>
      <c r="C37">
        <f t="shared" si="1"/>
        <v>0</v>
      </c>
      <c r="D37">
        <f t="shared" si="1"/>
        <v>0</v>
      </c>
      <c r="E37">
        <f t="shared" si="1"/>
        <v>8.3699999999999997E-2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0</v>
      </c>
      <c r="K37">
        <f t="shared" si="1"/>
        <v>0.28460000000000002</v>
      </c>
      <c r="L37">
        <f t="shared" si="1"/>
        <v>0.18970000000000001</v>
      </c>
      <c r="M37">
        <f t="shared" si="1"/>
        <v>8.3699999999999997E-2</v>
      </c>
    </row>
    <row r="38" spans="1:13" x14ac:dyDescent="0.3">
      <c r="A38" t="s">
        <v>8</v>
      </c>
      <c r="B38">
        <f t="shared" si="1"/>
        <v>0.1673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0.18970000000000001</v>
      </c>
      <c r="I38">
        <f t="shared" si="1"/>
        <v>0</v>
      </c>
      <c r="J38">
        <f t="shared" si="1"/>
        <v>0</v>
      </c>
      <c r="K38">
        <f t="shared" si="1"/>
        <v>0.251</v>
      </c>
      <c r="L38">
        <f t="shared" si="1"/>
        <v>0.251</v>
      </c>
      <c r="M38">
        <f t="shared" si="1"/>
        <v>0.18970000000000001</v>
      </c>
    </row>
    <row r="39" spans="1:13" x14ac:dyDescent="0.3">
      <c r="A39" t="s">
        <v>9</v>
      </c>
      <c r="B39">
        <f t="shared" si="1"/>
        <v>7.0699999999999999E-2</v>
      </c>
      <c r="C39">
        <f t="shared" si="1"/>
        <v>7.0699999999999999E-2</v>
      </c>
      <c r="D39">
        <f t="shared" si="1"/>
        <v>0</v>
      </c>
      <c r="E39">
        <f t="shared" si="1"/>
        <v>0</v>
      </c>
      <c r="F39">
        <f t="shared" si="1"/>
        <v>0</v>
      </c>
      <c r="G39">
        <f t="shared" si="1"/>
        <v>0</v>
      </c>
      <c r="H39">
        <f t="shared" si="1"/>
        <v>0</v>
      </c>
      <c r="I39">
        <f t="shared" si="1"/>
        <v>0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8.3699999999999997E-2</v>
      </c>
    </row>
    <row r="40" spans="1:13" x14ac:dyDescent="0.3">
      <c r="A40" t="s">
        <v>10</v>
      </c>
      <c r="B40">
        <f t="shared" si="1"/>
        <v>0</v>
      </c>
      <c r="C40">
        <f t="shared" si="1"/>
        <v>0</v>
      </c>
      <c r="D40">
        <f t="shared" si="1"/>
        <v>0</v>
      </c>
      <c r="E40">
        <f t="shared" si="1"/>
        <v>0</v>
      </c>
      <c r="F40">
        <f t="shared" si="1"/>
        <v>0</v>
      </c>
      <c r="G40">
        <f t="shared" si="1"/>
        <v>7.0699999999999999E-2</v>
      </c>
      <c r="H40">
        <f t="shared" si="1"/>
        <v>0</v>
      </c>
      <c r="I40">
        <f t="shared" si="1"/>
        <v>0</v>
      </c>
      <c r="J40">
        <f t="shared" si="1"/>
        <v>0</v>
      </c>
      <c r="K40">
        <f t="shared" si="1"/>
        <v>0</v>
      </c>
      <c r="L40">
        <f t="shared" si="1"/>
        <v>0</v>
      </c>
      <c r="M40">
        <f t="shared" si="1"/>
        <v>0.18970000000000001</v>
      </c>
    </row>
    <row r="41" spans="1:13" x14ac:dyDescent="0.3">
      <c r="A41" t="s">
        <v>11</v>
      </c>
      <c r="B41">
        <f t="shared" si="1"/>
        <v>7.0699999999999999E-2</v>
      </c>
      <c r="C41">
        <f t="shared" si="1"/>
        <v>0</v>
      </c>
      <c r="D41">
        <f t="shared" si="1"/>
        <v>0</v>
      </c>
      <c r="E41">
        <f t="shared" si="1"/>
        <v>7.0699999999999999E-2</v>
      </c>
      <c r="F41">
        <f t="shared" si="1"/>
        <v>0</v>
      </c>
      <c r="G41">
        <f t="shared" si="1"/>
        <v>7.0699999999999999E-2</v>
      </c>
      <c r="H41">
        <f t="shared" si="1"/>
        <v>0</v>
      </c>
      <c r="I41">
        <f t="shared" si="1"/>
        <v>0</v>
      </c>
      <c r="J41">
        <f t="shared" si="1"/>
        <v>0</v>
      </c>
      <c r="K41">
        <f t="shared" si="1"/>
        <v>0</v>
      </c>
      <c r="L41">
        <f t="shared" si="1"/>
        <v>0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0.28460000000000002</v>
      </c>
      <c r="D44">
        <f t="shared" si="3"/>
        <v>0.28460000000000002</v>
      </c>
      <c r="E44">
        <f t="shared" si="3"/>
        <v>5.4800000000000001E-2</v>
      </c>
      <c r="F44">
        <f t="shared" si="3"/>
        <v>0.251</v>
      </c>
      <c r="G44">
        <f t="shared" si="3"/>
        <v>7.0699999999999999E-2</v>
      </c>
      <c r="H44">
        <f t="shared" si="3"/>
        <v>0</v>
      </c>
      <c r="I44">
        <f t="shared" si="3"/>
        <v>0</v>
      </c>
      <c r="J44">
        <f t="shared" si="3"/>
        <v>0.28460000000000002</v>
      </c>
      <c r="K44">
        <f t="shared" si="3"/>
        <v>0</v>
      </c>
      <c r="L44">
        <f t="shared" si="3"/>
        <v>0</v>
      </c>
      <c r="M44">
        <f t="shared" si="3"/>
        <v>5.4800000000000001E-2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0.1414</v>
      </c>
      <c r="C45">
        <f t="shared" si="4"/>
        <v>0</v>
      </c>
      <c r="D45">
        <f t="shared" si="4"/>
        <v>0.3347</v>
      </c>
      <c r="E45">
        <f t="shared" si="4"/>
        <v>0.3347</v>
      </c>
      <c r="F45">
        <f t="shared" si="4"/>
        <v>0.1414</v>
      </c>
      <c r="G45">
        <f t="shared" si="4"/>
        <v>0.3347</v>
      </c>
      <c r="H45">
        <f t="shared" si="4"/>
        <v>5.4800000000000001E-2</v>
      </c>
      <c r="I45">
        <f t="shared" si="4"/>
        <v>7.0699999999999999E-2</v>
      </c>
      <c r="J45">
        <f t="shared" si="4"/>
        <v>0.251</v>
      </c>
      <c r="K45">
        <f t="shared" si="4"/>
        <v>0.3347</v>
      </c>
      <c r="L45">
        <f t="shared" si="4"/>
        <v>0.3347</v>
      </c>
      <c r="M45">
        <f t="shared" si="4"/>
        <v>0.28460000000000002</v>
      </c>
    </row>
    <row r="46" spans="1:13" x14ac:dyDescent="0.3">
      <c r="A46" t="s">
        <v>2</v>
      </c>
      <c r="B46">
        <f t="shared" si="4"/>
        <v>0.1414</v>
      </c>
      <c r="C46">
        <f t="shared" si="4"/>
        <v>0</v>
      </c>
      <c r="D46">
        <f t="shared" si="4"/>
        <v>0</v>
      </c>
      <c r="E46">
        <f t="shared" si="4"/>
        <v>0.251</v>
      </c>
      <c r="F46">
        <f t="shared" si="4"/>
        <v>0</v>
      </c>
      <c r="G46">
        <f t="shared" si="4"/>
        <v>7.0699999999999999E-2</v>
      </c>
      <c r="H46">
        <f t="shared" si="4"/>
        <v>0.1414</v>
      </c>
      <c r="I46">
        <f t="shared" si="4"/>
        <v>0</v>
      </c>
      <c r="J46">
        <f t="shared" si="4"/>
        <v>0.3795</v>
      </c>
      <c r="K46">
        <f t="shared" si="4"/>
        <v>0.3347</v>
      </c>
      <c r="L46">
        <f t="shared" si="4"/>
        <v>0.28460000000000002</v>
      </c>
      <c r="M46">
        <f t="shared" si="4"/>
        <v>0.3795</v>
      </c>
    </row>
    <row r="47" spans="1:13" x14ac:dyDescent="0.3">
      <c r="A47" t="s">
        <v>3</v>
      </c>
      <c r="B47">
        <f t="shared" si="4"/>
        <v>0.3795</v>
      </c>
      <c r="C47">
        <f t="shared" si="4"/>
        <v>0.3795</v>
      </c>
      <c r="D47">
        <f t="shared" si="4"/>
        <v>0.3795</v>
      </c>
      <c r="E47">
        <f t="shared" si="4"/>
        <v>0</v>
      </c>
      <c r="F47">
        <f t="shared" si="4"/>
        <v>0.1673</v>
      </c>
      <c r="G47">
        <f t="shared" si="4"/>
        <v>0.3795</v>
      </c>
      <c r="H47">
        <f t="shared" si="4"/>
        <v>0.3795</v>
      </c>
      <c r="I47">
        <f t="shared" si="4"/>
        <v>0.3795</v>
      </c>
      <c r="J47">
        <f t="shared" si="4"/>
        <v>0.3795</v>
      </c>
      <c r="K47">
        <f t="shared" si="4"/>
        <v>0.3795</v>
      </c>
      <c r="L47">
        <f t="shared" si="4"/>
        <v>0.3795</v>
      </c>
      <c r="M47">
        <f t="shared" si="4"/>
        <v>0.3795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0</v>
      </c>
      <c r="C48">
        <f t="shared" si="5"/>
        <v>5.4800000000000001E-2</v>
      </c>
      <c r="D48">
        <f t="shared" si="5"/>
        <v>7.0699999999999999E-2</v>
      </c>
      <c r="E48">
        <f t="shared" si="5"/>
        <v>5.4800000000000001E-2</v>
      </c>
      <c r="F48">
        <f t="shared" si="5"/>
        <v>0</v>
      </c>
      <c r="G48">
        <f t="shared" si="5"/>
        <v>0.3347</v>
      </c>
      <c r="H48">
        <f t="shared" si="5"/>
        <v>7.0699999999999999E-2</v>
      </c>
      <c r="I48">
        <f t="shared" si="5"/>
        <v>7.0699999999999999E-2</v>
      </c>
      <c r="J48">
        <f t="shared" si="5"/>
        <v>0.3347</v>
      </c>
      <c r="K48">
        <f t="shared" si="5"/>
        <v>0.28460000000000002</v>
      </c>
      <c r="L48">
        <f t="shared" si="5"/>
        <v>0.1414</v>
      </c>
      <c r="M48">
        <f t="shared" si="5"/>
        <v>0</v>
      </c>
    </row>
    <row r="49" spans="1:13" x14ac:dyDescent="0.3">
      <c r="A49" t="s">
        <v>5</v>
      </c>
      <c r="B49">
        <f t="shared" si="4"/>
        <v>0.1414</v>
      </c>
      <c r="C49">
        <f t="shared" si="4"/>
        <v>7.0699999999999999E-2</v>
      </c>
      <c r="D49">
        <f t="shared" si="4"/>
        <v>0</v>
      </c>
      <c r="E49">
        <f t="shared" si="4"/>
        <v>5.4800000000000001E-2</v>
      </c>
      <c r="F49">
        <f t="shared" si="4"/>
        <v>5.4800000000000001E-2</v>
      </c>
      <c r="G49">
        <f t="shared" si="4"/>
        <v>0</v>
      </c>
      <c r="H49">
        <f t="shared" si="4"/>
        <v>5.4800000000000001E-2</v>
      </c>
      <c r="I49">
        <f t="shared" si="4"/>
        <v>0</v>
      </c>
      <c r="J49">
        <f t="shared" si="4"/>
        <v>0.28460000000000002</v>
      </c>
      <c r="K49">
        <f t="shared" si="4"/>
        <v>7.0699999999999999E-2</v>
      </c>
      <c r="L49">
        <f t="shared" si="4"/>
        <v>0</v>
      </c>
      <c r="M49">
        <f t="shared" si="4"/>
        <v>7.0699999999999999E-2</v>
      </c>
    </row>
    <row r="50" spans="1:13" x14ac:dyDescent="0.3">
      <c r="A50" t="s">
        <v>6</v>
      </c>
      <c r="B50">
        <f t="shared" si="4"/>
        <v>0</v>
      </c>
      <c r="C50">
        <f t="shared" si="4"/>
        <v>7.0699999999999999E-2</v>
      </c>
      <c r="D50">
        <f t="shared" si="4"/>
        <v>5.4800000000000001E-2</v>
      </c>
      <c r="E50">
        <f t="shared" si="4"/>
        <v>0</v>
      </c>
      <c r="F50">
        <f t="shared" si="4"/>
        <v>7.0699999999999999E-2</v>
      </c>
      <c r="G50">
        <f t="shared" si="4"/>
        <v>0</v>
      </c>
      <c r="H50">
        <f t="shared" si="4"/>
        <v>0</v>
      </c>
      <c r="I50">
        <f t="shared" si="4"/>
        <v>0</v>
      </c>
      <c r="J50">
        <f t="shared" si="4"/>
        <v>0</v>
      </c>
      <c r="K50">
        <f t="shared" si="4"/>
        <v>5.4800000000000001E-2</v>
      </c>
      <c r="L50">
        <f t="shared" si="4"/>
        <v>0</v>
      </c>
      <c r="M50">
        <f t="shared" si="4"/>
        <v>5.4800000000000001E-2</v>
      </c>
    </row>
    <row r="51" spans="1:13" x14ac:dyDescent="0.3">
      <c r="A51" t="s">
        <v>7</v>
      </c>
      <c r="B51">
        <f t="shared" si="4"/>
        <v>0</v>
      </c>
      <c r="C51">
        <f t="shared" si="4"/>
        <v>7.0699999999999999E-2</v>
      </c>
      <c r="D51">
        <f t="shared" si="4"/>
        <v>0</v>
      </c>
      <c r="E51">
        <f t="shared" si="4"/>
        <v>0.1673</v>
      </c>
      <c r="F51">
        <f t="shared" si="4"/>
        <v>5.4800000000000001E-2</v>
      </c>
      <c r="G51">
        <f t="shared" si="4"/>
        <v>5.4800000000000001E-2</v>
      </c>
      <c r="H51">
        <f t="shared" si="4"/>
        <v>8.3699999999999997E-2</v>
      </c>
      <c r="I51">
        <f t="shared" si="4"/>
        <v>0</v>
      </c>
      <c r="J51">
        <f t="shared" si="4"/>
        <v>0</v>
      </c>
      <c r="K51">
        <f t="shared" si="4"/>
        <v>0.3795</v>
      </c>
      <c r="L51">
        <f t="shared" si="4"/>
        <v>0.28460000000000002</v>
      </c>
      <c r="M51">
        <f t="shared" si="4"/>
        <v>0.1673</v>
      </c>
    </row>
    <row r="52" spans="1:13" x14ac:dyDescent="0.3">
      <c r="A52" t="s">
        <v>8</v>
      </c>
      <c r="B52">
        <f t="shared" si="4"/>
        <v>0.251</v>
      </c>
      <c r="C52">
        <f t="shared" si="4"/>
        <v>3.1600000000000003E-2</v>
      </c>
      <c r="D52">
        <f t="shared" si="4"/>
        <v>0</v>
      </c>
      <c r="E52">
        <f t="shared" si="4"/>
        <v>7.0699999999999999E-2</v>
      </c>
      <c r="F52">
        <f t="shared" si="4"/>
        <v>0</v>
      </c>
      <c r="G52">
        <f t="shared" si="4"/>
        <v>0</v>
      </c>
      <c r="H52">
        <f t="shared" si="4"/>
        <v>0.28460000000000002</v>
      </c>
      <c r="I52">
        <f t="shared" si="4"/>
        <v>7.0699999999999999E-2</v>
      </c>
      <c r="J52">
        <f t="shared" si="4"/>
        <v>0</v>
      </c>
      <c r="K52">
        <f t="shared" si="4"/>
        <v>0.3347</v>
      </c>
      <c r="L52">
        <f t="shared" si="4"/>
        <v>0.3347</v>
      </c>
      <c r="M52">
        <f t="shared" si="4"/>
        <v>0.28460000000000002</v>
      </c>
    </row>
    <row r="53" spans="1:13" x14ac:dyDescent="0.3">
      <c r="A53" t="s">
        <v>9</v>
      </c>
      <c r="B53">
        <f t="shared" si="4"/>
        <v>0.1414</v>
      </c>
      <c r="C53">
        <f t="shared" si="4"/>
        <v>0.1414</v>
      </c>
      <c r="D53">
        <f t="shared" si="4"/>
        <v>5.4800000000000001E-2</v>
      </c>
      <c r="E53">
        <f t="shared" si="4"/>
        <v>7.0699999999999999E-2</v>
      </c>
      <c r="F53">
        <f t="shared" si="4"/>
        <v>5.4800000000000001E-2</v>
      </c>
      <c r="G53">
        <f t="shared" si="4"/>
        <v>3.1600000000000003E-2</v>
      </c>
      <c r="H53">
        <f t="shared" si="4"/>
        <v>0</v>
      </c>
      <c r="I53">
        <f t="shared" si="4"/>
        <v>0</v>
      </c>
      <c r="J53">
        <f t="shared" si="4"/>
        <v>5.4800000000000001E-2</v>
      </c>
      <c r="K53">
        <f t="shared" si="4"/>
        <v>0</v>
      </c>
      <c r="L53">
        <f t="shared" si="4"/>
        <v>5.4800000000000001E-2</v>
      </c>
      <c r="M53">
        <f t="shared" si="4"/>
        <v>0.1673</v>
      </c>
    </row>
    <row r="54" spans="1:13" x14ac:dyDescent="0.3">
      <c r="A54" t="s">
        <v>10</v>
      </c>
      <c r="B54">
        <f t="shared" si="4"/>
        <v>7.0699999999999999E-2</v>
      </c>
      <c r="C54">
        <f t="shared" si="4"/>
        <v>0</v>
      </c>
      <c r="D54">
        <f t="shared" si="4"/>
        <v>3.1600000000000003E-2</v>
      </c>
      <c r="E54">
        <f t="shared" si="4"/>
        <v>5.4800000000000001E-2</v>
      </c>
      <c r="F54">
        <f t="shared" si="4"/>
        <v>5.4800000000000001E-2</v>
      </c>
      <c r="G54">
        <f t="shared" si="4"/>
        <v>0.1414</v>
      </c>
      <c r="H54">
        <f t="shared" si="4"/>
        <v>0</v>
      </c>
      <c r="I54">
        <f t="shared" si="4"/>
        <v>7.0699999999999999E-2</v>
      </c>
      <c r="J54">
        <f t="shared" si="4"/>
        <v>0</v>
      </c>
      <c r="K54">
        <f t="shared" si="4"/>
        <v>0</v>
      </c>
      <c r="L54">
        <f t="shared" si="4"/>
        <v>0</v>
      </c>
      <c r="M54">
        <f t="shared" si="4"/>
        <v>0.28460000000000002</v>
      </c>
    </row>
    <row r="55" spans="1:13" x14ac:dyDescent="0.3">
      <c r="A55" t="s">
        <v>11</v>
      </c>
      <c r="B55">
        <f t="shared" si="4"/>
        <v>0.1414</v>
      </c>
      <c r="C55">
        <f t="shared" si="4"/>
        <v>0</v>
      </c>
      <c r="D55">
        <f t="shared" si="4"/>
        <v>0</v>
      </c>
      <c r="E55">
        <f t="shared" si="4"/>
        <v>0.1414</v>
      </c>
      <c r="F55">
        <f t="shared" si="4"/>
        <v>0</v>
      </c>
      <c r="G55">
        <f t="shared" si="4"/>
        <v>0.1414</v>
      </c>
      <c r="H55">
        <f t="shared" si="4"/>
        <v>0</v>
      </c>
      <c r="I55">
        <f t="shared" si="4"/>
        <v>0</v>
      </c>
      <c r="J55">
        <f t="shared" si="4"/>
        <v>0</v>
      </c>
      <c r="K55">
        <f t="shared" si="4"/>
        <v>0</v>
      </c>
      <c r="L55">
        <f t="shared" si="4"/>
        <v>0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0.3795</v>
      </c>
      <c r="D58">
        <f t="shared" si="6"/>
        <v>0.3795</v>
      </c>
      <c r="E58">
        <f t="shared" si="6"/>
        <v>0.1095</v>
      </c>
      <c r="F58">
        <f t="shared" si="6"/>
        <v>0.3347</v>
      </c>
      <c r="G58">
        <f t="shared" si="6"/>
        <v>0.1414</v>
      </c>
      <c r="H58">
        <f t="shared" si="6"/>
        <v>7.0699999999999999E-2</v>
      </c>
      <c r="I58">
        <f t="shared" si="6"/>
        <v>7.0699999999999999E-2</v>
      </c>
      <c r="J58">
        <f t="shared" si="6"/>
        <v>0.3795</v>
      </c>
      <c r="K58">
        <f t="shared" si="6"/>
        <v>5.4800000000000001E-2</v>
      </c>
      <c r="L58">
        <f t="shared" si="6"/>
        <v>5.4800000000000001E-2</v>
      </c>
      <c r="M58">
        <f t="shared" si="6"/>
        <v>0.1095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0.21210000000000001</v>
      </c>
      <c r="C59">
        <f t="shared" si="7"/>
        <v>0</v>
      </c>
      <c r="D59">
        <f t="shared" si="7"/>
        <v>0.3347</v>
      </c>
      <c r="E59">
        <f t="shared" si="7"/>
        <v>0.3347</v>
      </c>
      <c r="F59">
        <f t="shared" si="7"/>
        <v>0.21210000000000001</v>
      </c>
      <c r="G59">
        <f t="shared" si="7"/>
        <v>0.3347</v>
      </c>
      <c r="H59">
        <f t="shared" si="7"/>
        <v>0.1095</v>
      </c>
      <c r="I59">
        <f t="shared" si="7"/>
        <v>0.1414</v>
      </c>
      <c r="J59">
        <f t="shared" si="7"/>
        <v>0.3347</v>
      </c>
      <c r="K59">
        <f t="shared" si="7"/>
        <v>0.3347</v>
      </c>
      <c r="L59">
        <f t="shared" si="7"/>
        <v>0.3347</v>
      </c>
      <c r="M59">
        <f t="shared" si="7"/>
        <v>0.3795</v>
      </c>
    </row>
    <row r="60" spans="1:13" x14ac:dyDescent="0.3">
      <c r="A60" t="s">
        <v>2</v>
      </c>
      <c r="B60">
        <f t="shared" si="7"/>
        <v>0.21210000000000001</v>
      </c>
      <c r="C60">
        <f t="shared" si="7"/>
        <v>5.4800000000000001E-2</v>
      </c>
      <c r="D60">
        <f t="shared" si="7"/>
        <v>0</v>
      </c>
      <c r="E60">
        <f t="shared" si="7"/>
        <v>0.3347</v>
      </c>
      <c r="F60">
        <f t="shared" si="7"/>
        <v>7.0699999999999999E-2</v>
      </c>
      <c r="G60">
        <f t="shared" si="7"/>
        <v>0.1414</v>
      </c>
      <c r="H60">
        <f t="shared" si="7"/>
        <v>0.21210000000000001</v>
      </c>
      <c r="I60">
        <f t="shared" si="7"/>
        <v>7.0699999999999999E-2</v>
      </c>
      <c r="J60">
        <f t="shared" si="7"/>
        <v>0.3795</v>
      </c>
      <c r="K60">
        <f t="shared" si="7"/>
        <v>0.3347</v>
      </c>
      <c r="L60">
        <f t="shared" si="7"/>
        <v>0.3795</v>
      </c>
      <c r="M60">
        <f t="shared" si="7"/>
        <v>0.3795</v>
      </c>
    </row>
    <row r="61" spans="1:13" x14ac:dyDescent="0.3">
      <c r="A61" t="s">
        <v>3</v>
      </c>
      <c r="B61">
        <f t="shared" si="7"/>
        <v>0.3795</v>
      </c>
      <c r="C61">
        <f t="shared" si="7"/>
        <v>0.3795</v>
      </c>
      <c r="D61">
        <f t="shared" si="7"/>
        <v>0.3795</v>
      </c>
      <c r="E61">
        <f t="shared" si="7"/>
        <v>0</v>
      </c>
      <c r="F61">
        <f t="shared" si="7"/>
        <v>0.251</v>
      </c>
      <c r="G61">
        <f t="shared" si="7"/>
        <v>0.3795</v>
      </c>
      <c r="H61">
        <f t="shared" si="7"/>
        <v>0.3795</v>
      </c>
      <c r="I61">
        <f t="shared" si="7"/>
        <v>0.3795</v>
      </c>
      <c r="J61">
        <f t="shared" si="7"/>
        <v>0.3795</v>
      </c>
      <c r="K61">
        <f t="shared" si="7"/>
        <v>0.3795</v>
      </c>
      <c r="L61">
        <f t="shared" si="7"/>
        <v>0.3795</v>
      </c>
      <c r="M61">
        <f t="shared" si="7"/>
        <v>0.3795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7.0699999999999999E-2</v>
      </c>
      <c r="C62">
        <f t="shared" si="8"/>
        <v>0.1095</v>
      </c>
      <c r="D62">
        <f t="shared" si="8"/>
        <v>0.1414</v>
      </c>
      <c r="E62">
        <f t="shared" si="8"/>
        <v>0.1095</v>
      </c>
      <c r="F62">
        <f t="shared" si="8"/>
        <v>0</v>
      </c>
      <c r="G62">
        <f t="shared" si="8"/>
        <v>0.3347</v>
      </c>
      <c r="H62">
        <f t="shared" si="8"/>
        <v>0.1414</v>
      </c>
      <c r="I62">
        <f t="shared" si="8"/>
        <v>0.1414</v>
      </c>
      <c r="J62">
        <f t="shared" si="8"/>
        <v>0.3347</v>
      </c>
      <c r="K62">
        <f t="shared" si="8"/>
        <v>0.3795</v>
      </c>
      <c r="L62">
        <f t="shared" si="8"/>
        <v>0.21210000000000001</v>
      </c>
      <c r="M62">
        <f t="shared" si="8"/>
        <v>5.4800000000000001E-2</v>
      </c>
    </row>
    <row r="63" spans="1:13" x14ac:dyDescent="0.3">
      <c r="A63" t="s">
        <v>5</v>
      </c>
      <c r="B63">
        <f t="shared" si="7"/>
        <v>0.21210000000000001</v>
      </c>
      <c r="C63">
        <f t="shared" si="7"/>
        <v>0.1414</v>
      </c>
      <c r="D63">
        <f t="shared" si="7"/>
        <v>7.0699999999999999E-2</v>
      </c>
      <c r="E63">
        <f t="shared" si="7"/>
        <v>0.1095</v>
      </c>
      <c r="F63">
        <f t="shared" si="7"/>
        <v>0.1095</v>
      </c>
      <c r="G63">
        <f t="shared" si="7"/>
        <v>0</v>
      </c>
      <c r="H63">
        <f t="shared" si="7"/>
        <v>0.1095</v>
      </c>
      <c r="I63">
        <f t="shared" si="7"/>
        <v>7.0699999999999999E-2</v>
      </c>
      <c r="J63">
        <f t="shared" si="7"/>
        <v>0.3795</v>
      </c>
      <c r="K63">
        <f t="shared" si="7"/>
        <v>0.1414</v>
      </c>
      <c r="L63">
        <f t="shared" si="7"/>
        <v>3.1600000000000003E-2</v>
      </c>
      <c r="M63">
        <f t="shared" si="7"/>
        <v>0.1414</v>
      </c>
    </row>
    <row r="64" spans="1:13" x14ac:dyDescent="0.3">
      <c r="A64" t="s">
        <v>6</v>
      </c>
      <c r="B64">
        <f t="shared" si="7"/>
        <v>7.0699999999999999E-2</v>
      </c>
      <c r="C64">
        <f t="shared" si="7"/>
        <v>0.1414</v>
      </c>
      <c r="D64">
        <f t="shared" si="7"/>
        <v>0.1095</v>
      </c>
      <c r="E64">
        <f t="shared" si="7"/>
        <v>7.0699999999999999E-2</v>
      </c>
      <c r="F64">
        <f t="shared" si="7"/>
        <v>0.1414</v>
      </c>
      <c r="G64">
        <f t="shared" si="7"/>
        <v>5.4800000000000001E-2</v>
      </c>
      <c r="H64">
        <f t="shared" si="7"/>
        <v>0</v>
      </c>
      <c r="I64">
        <f t="shared" si="7"/>
        <v>5.4800000000000001E-2</v>
      </c>
      <c r="J64">
        <f t="shared" si="7"/>
        <v>3.1600000000000003E-2</v>
      </c>
      <c r="K64">
        <f t="shared" si="7"/>
        <v>0.1095</v>
      </c>
      <c r="L64">
        <f t="shared" si="7"/>
        <v>3.1600000000000003E-2</v>
      </c>
      <c r="M64">
        <f t="shared" si="7"/>
        <v>0.1095</v>
      </c>
    </row>
    <row r="65" spans="1:13" x14ac:dyDescent="0.3">
      <c r="A65" t="s">
        <v>7</v>
      </c>
      <c r="B65">
        <f t="shared" si="7"/>
        <v>3.1600000000000003E-2</v>
      </c>
      <c r="C65">
        <f t="shared" si="7"/>
        <v>0.1414</v>
      </c>
      <c r="D65">
        <f t="shared" si="7"/>
        <v>3.1600000000000003E-2</v>
      </c>
      <c r="E65">
        <f t="shared" si="7"/>
        <v>0.251</v>
      </c>
      <c r="F65">
        <f t="shared" si="7"/>
        <v>0.1095</v>
      </c>
      <c r="G65">
        <f t="shared" si="7"/>
        <v>0.1095</v>
      </c>
      <c r="H65">
        <f t="shared" si="7"/>
        <v>0.1673</v>
      </c>
      <c r="I65">
        <f t="shared" si="7"/>
        <v>0</v>
      </c>
      <c r="J65">
        <f t="shared" si="7"/>
        <v>7.0699999999999999E-2</v>
      </c>
      <c r="K65">
        <f t="shared" si="7"/>
        <v>0.3795</v>
      </c>
      <c r="L65">
        <f t="shared" si="7"/>
        <v>0.3795</v>
      </c>
      <c r="M65">
        <f t="shared" si="7"/>
        <v>0.251</v>
      </c>
    </row>
    <row r="66" spans="1:13" x14ac:dyDescent="0.3">
      <c r="A66" t="s">
        <v>8</v>
      </c>
      <c r="B66">
        <f t="shared" si="7"/>
        <v>0.3347</v>
      </c>
      <c r="C66">
        <f t="shared" si="7"/>
        <v>6.3200000000000006E-2</v>
      </c>
      <c r="D66">
        <f t="shared" si="7"/>
        <v>5.4800000000000001E-2</v>
      </c>
      <c r="E66">
        <f t="shared" si="7"/>
        <v>0.1414</v>
      </c>
      <c r="F66">
        <f t="shared" si="7"/>
        <v>5.4800000000000001E-2</v>
      </c>
      <c r="G66">
        <f t="shared" si="7"/>
        <v>5.4800000000000001E-2</v>
      </c>
      <c r="H66">
        <f t="shared" si="7"/>
        <v>0.3795</v>
      </c>
      <c r="I66">
        <f t="shared" si="7"/>
        <v>0.1414</v>
      </c>
      <c r="J66">
        <f t="shared" si="7"/>
        <v>0</v>
      </c>
      <c r="K66">
        <f t="shared" si="7"/>
        <v>0.3347</v>
      </c>
      <c r="L66">
        <f t="shared" si="7"/>
        <v>0.3347</v>
      </c>
      <c r="M66">
        <f t="shared" si="7"/>
        <v>0.3795</v>
      </c>
    </row>
    <row r="67" spans="1:13" x14ac:dyDescent="0.3">
      <c r="A67" t="s">
        <v>9</v>
      </c>
      <c r="B67">
        <f t="shared" si="7"/>
        <v>0.21210000000000001</v>
      </c>
      <c r="C67">
        <f t="shared" si="7"/>
        <v>0.21210000000000001</v>
      </c>
      <c r="D67">
        <f t="shared" si="7"/>
        <v>0.1095</v>
      </c>
      <c r="E67">
        <f t="shared" si="7"/>
        <v>0.1414</v>
      </c>
      <c r="F67">
        <f t="shared" si="7"/>
        <v>0.1095</v>
      </c>
      <c r="G67">
        <f t="shared" si="7"/>
        <v>6.3200000000000006E-2</v>
      </c>
      <c r="H67">
        <f t="shared" si="7"/>
        <v>7.0699999999999999E-2</v>
      </c>
      <c r="I67">
        <f t="shared" si="7"/>
        <v>5.4800000000000001E-2</v>
      </c>
      <c r="J67">
        <f t="shared" si="7"/>
        <v>0.1095</v>
      </c>
      <c r="K67">
        <f t="shared" si="7"/>
        <v>0</v>
      </c>
      <c r="L67">
        <f t="shared" si="7"/>
        <v>0.1095</v>
      </c>
      <c r="M67">
        <f t="shared" si="7"/>
        <v>0.251</v>
      </c>
    </row>
    <row r="68" spans="1:13" x14ac:dyDescent="0.3">
      <c r="A68" t="s">
        <v>10</v>
      </c>
      <c r="B68">
        <f t="shared" si="7"/>
        <v>0.1414</v>
      </c>
      <c r="C68">
        <f t="shared" si="7"/>
        <v>5.4800000000000001E-2</v>
      </c>
      <c r="D68">
        <f t="shared" si="7"/>
        <v>6.3200000000000006E-2</v>
      </c>
      <c r="E68">
        <f t="shared" si="7"/>
        <v>0.1095</v>
      </c>
      <c r="F68">
        <f t="shared" si="7"/>
        <v>0.1095</v>
      </c>
      <c r="G68">
        <f t="shared" si="7"/>
        <v>0.21210000000000001</v>
      </c>
      <c r="H68">
        <f t="shared" si="7"/>
        <v>5.4800000000000001E-2</v>
      </c>
      <c r="I68">
        <f t="shared" si="7"/>
        <v>0.1414</v>
      </c>
      <c r="J68">
        <f t="shared" si="7"/>
        <v>5.4800000000000001E-2</v>
      </c>
      <c r="K68">
        <f t="shared" si="7"/>
        <v>7.0699999999999999E-2</v>
      </c>
      <c r="L68">
        <f t="shared" si="7"/>
        <v>0</v>
      </c>
      <c r="M68">
        <f t="shared" si="7"/>
        <v>0.3795</v>
      </c>
    </row>
    <row r="69" spans="1:13" x14ac:dyDescent="0.3">
      <c r="A69" t="s">
        <v>11</v>
      </c>
      <c r="B69">
        <f t="shared" si="7"/>
        <v>0.21210000000000001</v>
      </c>
      <c r="C69">
        <f t="shared" si="7"/>
        <v>5.4800000000000001E-2</v>
      </c>
      <c r="D69">
        <f t="shared" si="7"/>
        <v>7.0699999999999999E-2</v>
      </c>
      <c r="E69">
        <f t="shared" si="7"/>
        <v>0.21210000000000001</v>
      </c>
      <c r="F69">
        <f t="shared" si="7"/>
        <v>5.4800000000000001E-2</v>
      </c>
      <c r="G69">
        <f t="shared" si="7"/>
        <v>0.21210000000000001</v>
      </c>
      <c r="H69">
        <f t="shared" si="7"/>
        <v>3.1600000000000003E-2</v>
      </c>
      <c r="I69">
        <f t="shared" si="7"/>
        <v>5.4800000000000001E-2</v>
      </c>
      <c r="J69">
        <f t="shared" si="7"/>
        <v>7.0699999999999999E-2</v>
      </c>
      <c r="K69">
        <f t="shared" si="7"/>
        <v>7.0699999999999999E-2</v>
      </c>
      <c r="L69">
        <f t="shared" si="7"/>
        <v>7.0699999999999999E-2</v>
      </c>
      <c r="M69">
        <f t="shared" si="7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7"/>
  <dimension ref="A1:M69"/>
  <sheetViews>
    <sheetView workbookViewId="0">
      <selection activeCell="A15" sqref="A15:M69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13</v>
      </c>
      <c r="D2" t="s">
        <v>13</v>
      </c>
      <c r="E2" t="s">
        <v>22</v>
      </c>
      <c r="F2" t="s">
        <v>20</v>
      </c>
      <c r="G2" t="s">
        <v>17</v>
      </c>
      <c r="H2" t="s">
        <v>16</v>
      </c>
      <c r="I2" t="s">
        <v>23</v>
      </c>
      <c r="J2" t="s">
        <v>13</v>
      </c>
      <c r="K2" t="s">
        <v>15</v>
      </c>
      <c r="L2" t="s">
        <v>20</v>
      </c>
      <c r="M2" t="s">
        <v>15</v>
      </c>
    </row>
    <row r="3" spans="1:13" x14ac:dyDescent="0.3">
      <c r="A3" s="1" t="s">
        <v>1</v>
      </c>
      <c r="B3" t="s">
        <v>22</v>
      </c>
      <c r="C3">
        <v>0</v>
      </c>
      <c r="D3" t="s">
        <v>18</v>
      </c>
      <c r="E3" t="s">
        <v>25</v>
      </c>
      <c r="F3" t="s">
        <v>12</v>
      </c>
      <c r="G3" t="s">
        <v>13</v>
      </c>
      <c r="H3" t="s">
        <v>12</v>
      </c>
      <c r="I3" t="s">
        <v>22</v>
      </c>
      <c r="J3" t="s">
        <v>15</v>
      </c>
      <c r="K3" t="s">
        <v>18</v>
      </c>
      <c r="L3" t="s">
        <v>22</v>
      </c>
      <c r="M3" t="s">
        <v>13</v>
      </c>
    </row>
    <row r="4" spans="1:13" x14ac:dyDescent="0.3">
      <c r="A4" s="1" t="s">
        <v>2</v>
      </c>
      <c r="B4" t="s">
        <v>21</v>
      </c>
      <c r="C4" t="s">
        <v>15</v>
      </c>
      <c r="D4">
        <v>0</v>
      </c>
      <c r="E4" t="s">
        <v>24</v>
      </c>
      <c r="F4" t="s">
        <v>20</v>
      </c>
      <c r="G4" t="s">
        <v>24</v>
      </c>
      <c r="H4" t="s">
        <v>19</v>
      </c>
      <c r="I4" t="s">
        <v>15</v>
      </c>
      <c r="J4" t="s">
        <v>13</v>
      </c>
      <c r="K4" t="s">
        <v>25</v>
      </c>
      <c r="L4" t="s">
        <v>13</v>
      </c>
      <c r="M4" t="s">
        <v>13</v>
      </c>
    </row>
    <row r="5" spans="1:13" x14ac:dyDescent="0.3">
      <c r="A5" s="1" t="s">
        <v>3</v>
      </c>
      <c r="B5" t="s">
        <v>22</v>
      </c>
      <c r="C5" t="s">
        <v>24</v>
      </c>
      <c r="D5" t="s">
        <v>15</v>
      </c>
      <c r="E5">
        <v>0</v>
      </c>
      <c r="F5" t="s">
        <v>15</v>
      </c>
      <c r="G5" t="s">
        <v>24</v>
      </c>
      <c r="H5" t="s">
        <v>13</v>
      </c>
      <c r="I5" t="s">
        <v>71</v>
      </c>
      <c r="J5" t="s">
        <v>13</v>
      </c>
      <c r="K5" t="s">
        <v>16</v>
      </c>
      <c r="L5" t="s">
        <v>12</v>
      </c>
      <c r="M5" t="s">
        <v>24</v>
      </c>
    </row>
    <row r="6" spans="1:13" x14ac:dyDescent="0.3">
      <c r="A6" s="1" t="s">
        <v>4</v>
      </c>
      <c r="B6" t="s">
        <v>20</v>
      </c>
      <c r="C6" t="s">
        <v>22</v>
      </c>
      <c r="D6" t="s">
        <v>24</v>
      </c>
      <c r="E6" t="s">
        <v>24</v>
      </c>
      <c r="F6">
        <v>0</v>
      </c>
      <c r="G6" t="s">
        <v>25</v>
      </c>
      <c r="H6" t="s">
        <v>23</v>
      </c>
      <c r="I6" t="s">
        <v>20</v>
      </c>
      <c r="J6" t="s">
        <v>25</v>
      </c>
      <c r="K6" t="s">
        <v>25</v>
      </c>
      <c r="L6" t="s">
        <v>24</v>
      </c>
      <c r="M6" t="s">
        <v>22</v>
      </c>
    </row>
    <row r="7" spans="1:13" x14ac:dyDescent="0.3">
      <c r="A7" s="1" t="s">
        <v>5</v>
      </c>
      <c r="B7" t="s">
        <v>20</v>
      </c>
      <c r="C7" t="s">
        <v>15</v>
      </c>
      <c r="D7" t="s">
        <v>17</v>
      </c>
      <c r="E7" t="s">
        <v>24</v>
      </c>
      <c r="F7" t="s">
        <v>20</v>
      </c>
      <c r="G7">
        <v>0</v>
      </c>
      <c r="H7" t="s">
        <v>17</v>
      </c>
      <c r="I7" t="s">
        <v>16</v>
      </c>
      <c r="J7" t="s">
        <v>18</v>
      </c>
      <c r="K7" t="s">
        <v>16</v>
      </c>
      <c r="L7" t="s">
        <v>21</v>
      </c>
      <c r="M7" t="s">
        <v>16</v>
      </c>
    </row>
    <row r="8" spans="1:13" x14ac:dyDescent="0.3">
      <c r="A8" s="1" t="s">
        <v>6</v>
      </c>
      <c r="B8" t="s">
        <v>20</v>
      </c>
      <c r="C8" t="s">
        <v>24</v>
      </c>
      <c r="D8" t="s">
        <v>15</v>
      </c>
      <c r="E8" t="s">
        <v>20</v>
      </c>
      <c r="F8" t="s">
        <v>16</v>
      </c>
      <c r="G8" t="s">
        <v>15</v>
      </c>
      <c r="H8">
        <v>0</v>
      </c>
      <c r="I8" t="s">
        <v>17</v>
      </c>
      <c r="J8" t="s">
        <v>16</v>
      </c>
      <c r="K8" t="s">
        <v>21</v>
      </c>
      <c r="L8" t="s">
        <v>22</v>
      </c>
      <c r="M8" t="s">
        <v>24</v>
      </c>
    </row>
    <row r="9" spans="1:13" x14ac:dyDescent="0.3">
      <c r="A9" s="1" t="s">
        <v>7</v>
      </c>
      <c r="B9" t="s">
        <v>22</v>
      </c>
      <c r="C9" t="s">
        <v>16</v>
      </c>
      <c r="D9" t="s">
        <v>16</v>
      </c>
      <c r="E9" t="s">
        <v>15</v>
      </c>
      <c r="F9" t="s">
        <v>16</v>
      </c>
      <c r="G9" t="s">
        <v>20</v>
      </c>
      <c r="H9" t="s">
        <v>20</v>
      </c>
      <c r="I9">
        <v>0</v>
      </c>
      <c r="J9" t="s">
        <v>16</v>
      </c>
      <c r="K9" t="s">
        <v>18</v>
      </c>
      <c r="L9" t="s">
        <v>13</v>
      </c>
      <c r="M9" t="s">
        <v>13</v>
      </c>
    </row>
    <row r="10" spans="1:13" x14ac:dyDescent="0.3">
      <c r="A10" s="1" t="s">
        <v>8</v>
      </c>
      <c r="B10" t="s">
        <v>21</v>
      </c>
      <c r="C10" t="s">
        <v>24</v>
      </c>
      <c r="D10" t="s">
        <v>16</v>
      </c>
      <c r="E10" t="s">
        <v>15</v>
      </c>
      <c r="F10" t="s">
        <v>15</v>
      </c>
      <c r="G10" t="s">
        <v>16</v>
      </c>
      <c r="H10" t="s">
        <v>25</v>
      </c>
      <c r="I10" t="s">
        <v>62</v>
      </c>
      <c r="J10">
        <v>0</v>
      </c>
      <c r="K10" t="s">
        <v>18</v>
      </c>
      <c r="L10" t="s">
        <v>13</v>
      </c>
      <c r="M10" t="s">
        <v>18</v>
      </c>
    </row>
    <row r="11" spans="1:13" x14ac:dyDescent="0.3">
      <c r="A11" s="1" t="s">
        <v>9</v>
      </c>
      <c r="B11" t="s">
        <v>16</v>
      </c>
      <c r="C11" t="s">
        <v>24</v>
      </c>
      <c r="D11" t="s">
        <v>16</v>
      </c>
      <c r="E11" t="s">
        <v>24</v>
      </c>
      <c r="F11" t="s">
        <v>24</v>
      </c>
      <c r="G11" t="s">
        <v>22</v>
      </c>
      <c r="H11" t="s">
        <v>15</v>
      </c>
      <c r="I11" t="s">
        <v>16</v>
      </c>
      <c r="J11" t="s">
        <v>15</v>
      </c>
      <c r="K11">
        <v>0</v>
      </c>
      <c r="L11" t="s">
        <v>62</v>
      </c>
      <c r="M11" t="s">
        <v>16</v>
      </c>
    </row>
    <row r="12" spans="1:13" x14ac:dyDescent="0.3">
      <c r="A12" s="1" t="s">
        <v>10</v>
      </c>
      <c r="B12" t="s">
        <v>16</v>
      </c>
      <c r="C12" t="s">
        <v>16</v>
      </c>
      <c r="D12" t="s">
        <v>22</v>
      </c>
      <c r="E12" t="s">
        <v>71</v>
      </c>
      <c r="F12" t="s">
        <v>24</v>
      </c>
      <c r="G12" t="s">
        <v>23</v>
      </c>
      <c r="H12" t="s">
        <v>24</v>
      </c>
      <c r="I12" t="s">
        <v>16</v>
      </c>
      <c r="J12" t="s">
        <v>16</v>
      </c>
      <c r="K12" t="s">
        <v>16</v>
      </c>
      <c r="L12">
        <v>0</v>
      </c>
      <c r="M12" t="s">
        <v>12</v>
      </c>
    </row>
    <row r="13" spans="1:13" x14ac:dyDescent="0.3">
      <c r="A13" s="1" t="s">
        <v>11</v>
      </c>
      <c r="B13" t="s">
        <v>22</v>
      </c>
      <c r="C13" t="s">
        <v>62</v>
      </c>
      <c r="D13" t="s">
        <v>62</v>
      </c>
      <c r="E13" t="s">
        <v>16</v>
      </c>
      <c r="F13" t="s">
        <v>16</v>
      </c>
      <c r="G13" t="s">
        <v>23</v>
      </c>
      <c r="H13" t="s">
        <v>24</v>
      </c>
      <c r="I13" t="s">
        <v>15</v>
      </c>
      <c r="J13" t="s">
        <v>62</v>
      </c>
      <c r="K13" t="s">
        <v>22</v>
      </c>
      <c r="L13" t="s">
        <v>20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(0,1897; 0,2846; 0,3795)</v>
      </c>
      <c r="D16" t="str">
        <f>VLOOKUP(D2,'Thang đánh giá'!$C$2:$D$27,2,FALSE)</f>
        <v>(0,1897; 0,2846; 0,3795)</v>
      </c>
      <c r="E16" t="str">
        <f>VLOOKUP(E2,'Thang đánh giá'!$C$2:$D$27,2,FALSE)</f>
        <v>(0,0707; 0,1414; 0,2121)</v>
      </c>
      <c r="F16" t="str">
        <f>VLOOKUP(F2,'Thang đánh giá'!$C$2:$D$27,2,FALSE)</f>
        <v>(0; 0,0548; 0,1095)</v>
      </c>
      <c r="G16" t="str">
        <f>VLOOKUP(G2,'Thang đánh giá'!$C$2:$D$27,2,FALSE)</f>
        <v>(0; 0,0316; 0,0632)</v>
      </c>
      <c r="H16" t="str">
        <f>VLOOKUP(H2,'Thang đánh giá'!$C$2:$D$27,2,FALSE)</f>
        <v>(0; 0; 0,0707)</v>
      </c>
      <c r="I16" t="str">
        <f>VLOOKUP(I2,'Thang đánh giá'!$C$2:$D$27,2,FALSE)</f>
        <v>(0; 0; 0,0316)</v>
      </c>
      <c r="J16" t="str">
        <f>VLOOKUP(J2,'Thang đánh giá'!$C$2:$D$27,2,FALSE)</f>
        <v>(0,1897; 0,2846; 0,3795)</v>
      </c>
      <c r="K16" t="str">
        <f>VLOOKUP(K2,'Thang đánh giá'!$C$2:$D$27,2,FALSE)</f>
        <v>(0; 0,0707; 0,1414)</v>
      </c>
      <c r="L16" t="str">
        <f>VLOOKUP(L2,'Thang đánh giá'!$C$2:$D$27,2,FALSE)</f>
        <v>(0; 0,0548; 0,1095)</v>
      </c>
      <c r="M16" t="str">
        <f>VLOOKUP(M2,'Thang đánh giá'!$C$2:$D$27,2,FALSE)</f>
        <v>(0; 0,0707; 0,1414)</v>
      </c>
    </row>
    <row r="17" spans="1:13" x14ac:dyDescent="0.3">
      <c r="A17" t="s">
        <v>1</v>
      </c>
      <c r="B17" t="str">
        <f>VLOOKUP(B3,'Thang đánh giá'!$C$2:$D$27,2,FALSE)</f>
        <v>(0,0707; 0,1414; 0,2121)</v>
      </c>
      <c r="C17" t="str">
        <f>VLOOKUP(C3,'Thang đánh giá'!$C$2:$D$27,2,FALSE)</f>
        <v>(0; 0; 0)</v>
      </c>
      <c r="D17" t="str">
        <f>VLOOKUP(D3,'Thang đánh giá'!$C$2:$D$27,2,FALSE)</f>
        <v>(0,2846; 0,3795; 0,3795)</v>
      </c>
      <c r="E17" t="str">
        <f>VLOOKUP(E3,'Thang đánh giá'!$C$2:$D$27,2,FALSE)</f>
        <v>(0,251; 0,3347; 0,3347)</v>
      </c>
      <c r="F17" t="str">
        <f>VLOOKUP(F3,'Thang đánh giá'!$C$2:$D$27,2,FALSE)</f>
        <v>(0,1673; 0,251; 0,3347)</v>
      </c>
      <c r="G17" t="str">
        <f>VLOOKUP(G3,'Thang đánh giá'!$C$2:$D$27,2,FALSE)</f>
        <v>(0,1897; 0,2846; 0,3795)</v>
      </c>
      <c r="H17" t="str">
        <f>VLOOKUP(H3,'Thang đánh giá'!$C$2:$D$27,2,FALSE)</f>
        <v>(0,1673; 0,251; 0,3347)</v>
      </c>
      <c r="I17" t="str">
        <f>VLOOKUP(I3,'Thang đánh giá'!$C$2:$D$27,2,FALSE)</f>
        <v>(0,0707; 0,1414; 0,2121)</v>
      </c>
      <c r="J17" t="str">
        <f>VLOOKUP(J3,'Thang đánh giá'!$C$2:$D$27,2,FALSE)</f>
        <v>(0; 0,0707; 0,1414)</v>
      </c>
      <c r="K17" t="str">
        <f>VLOOKUP(K3,'Thang đánh giá'!$C$2:$D$27,2,FALSE)</f>
        <v>(0,2846; 0,3795; 0,3795)</v>
      </c>
      <c r="L17" t="str">
        <f>VLOOKUP(L3,'Thang đánh giá'!$C$2:$D$27,2,FALSE)</f>
        <v>(0,0707; 0,1414; 0,2121)</v>
      </c>
      <c r="M17" t="str">
        <f>VLOOKUP(M3,'Thang đánh giá'!$C$2:$D$27,2,FALSE)</f>
        <v>(0,1897; 0,2846; 0,3795)</v>
      </c>
    </row>
    <row r="18" spans="1:13" x14ac:dyDescent="0.3">
      <c r="A18" t="s">
        <v>2</v>
      </c>
      <c r="B18" t="str">
        <f>VLOOKUP(B4,'Thang đánh giá'!$C$2:$D$27,2,FALSE)</f>
        <v>(0,0837; 0,1673; 0,251)</v>
      </c>
      <c r="C18" t="str">
        <f>VLOOKUP(C4,'Thang đánh giá'!$C$2:$D$27,2,FALSE)</f>
        <v>(0; 0,0707; 0,1414)</v>
      </c>
      <c r="D18" t="str">
        <f>VLOOKUP(D4,'Thang đánh giá'!$C$2:$D$27,2,FALSE)</f>
        <v>(0; 0; 0)</v>
      </c>
      <c r="E18" t="str">
        <f>VLOOKUP(E4,'Thang đánh giá'!$C$2:$D$27,2,FALSE)</f>
        <v>(0; 0; 0,0548)</v>
      </c>
      <c r="F18" t="str">
        <f>VLOOKUP(F4,'Thang đánh giá'!$C$2:$D$27,2,FALSE)</f>
        <v>(0; 0,0548; 0,1095)</v>
      </c>
      <c r="G18" t="str">
        <f>VLOOKUP(G4,'Thang đánh giá'!$C$2:$D$27,2,FALSE)</f>
        <v>(0; 0; 0,0548)</v>
      </c>
      <c r="H18" t="str">
        <f>VLOOKUP(H4,'Thang đánh giá'!$C$2:$D$27,2,FALSE)</f>
        <v>(0,1414; 0,2121; 0,2828)</v>
      </c>
      <c r="I18" t="str">
        <f>VLOOKUP(I4,'Thang đánh giá'!$C$2:$D$27,2,FALSE)</f>
        <v>(0; 0,0707; 0,1414)</v>
      </c>
      <c r="J18" t="str">
        <f>VLOOKUP(J4,'Thang đánh giá'!$C$2:$D$27,2,FALSE)</f>
        <v>(0,1897; 0,2846; 0,3795)</v>
      </c>
      <c r="K18" t="str">
        <f>VLOOKUP(K4,'Thang đánh giá'!$C$2:$D$27,2,FALSE)</f>
        <v>(0,251; 0,3347; 0,3347)</v>
      </c>
      <c r="L18" t="str">
        <f>VLOOKUP(L4,'Thang đánh giá'!$C$2:$D$27,2,FALSE)</f>
        <v>(0,1897; 0,2846; 0,3795)</v>
      </c>
      <c r="M18" t="str">
        <f>VLOOKUP(M4,'Thang đánh giá'!$C$2:$D$27,2,FALSE)</f>
        <v>(0,1897; 0,2846; 0,3795)</v>
      </c>
    </row>
    <row r="19" spans="1:13" x14ac:dyDescent="0.3">
      <c r="A19" t="s">
        <v>3</v>
      </c>
      <c r="B19" t="str">
        <f>VLOOKUP(B5,'Thang đánh giá'!$C$2:$D$27,2,FALSE)</f>
        <v>(0,0707; 0,1414; 0,2121)</v>
      </c>
      <c r="C19" t="str">
        <f>VLOOKUP(C5,'Thang đánh giá'!$C$2:$D$27,2,FALSE)</f>
        <v>(0; 0; 0,0548)</v>
      </c>
      <c r="D19" t="str">
        <f>VLOOKUP(D5,'Thang đánh giá'!$C$2:$D$27,2,FALSE)</f>
        <v>(0; 0,0707; 0,1414)</v>
      </c>
      <c r="E19" t="str">
        <f>VLOOKUP(E5,'Thang đánh giá'!$C$2:$D$27,2,FALSE)</f>
        <v>(0; 0; 0)</v>
      </c>
      <c r="F19" t="str">
        <f>VLOOKUP(F5,'Thang đánh giá'!$C$2:$D$27,2,FALSE)</f>
        <v>(0; 0,0707; 0,1414)</v>
      </c>
      <c r="G19" t="str">
        <f>VLOOKUP(G5,'Thang đánh giá'!$C$2:$D$27,2,FALSE)</f>
        <v>(0; 0; 0,0548)</v>
      </c>
      <c r="H19" t="str">
        <f>VLOOKUP(H5,'Thang đánh giá'!$C$2:$D$27,2,FALSE)</f>
        <v>(0,1897; 0,2846; 0,3795)</v>
      </c>
      <c r="I19" t="str">
        <f>VLOOKUP(I5,'Thang đánh giá'!$C$2:$D$27,2,FALSE)</f>
        <v>(0; 0; 0,0837)</v>
      </c>
      <c r="J19" t="str">
        <f>VLOOKUP(J5,'Thang đánh giá'!$C$2:$D$27,2,FALSE)</f>
        <v>(0,1897; 0,2846; 0,3795)</v>
      </c>
      <c r="K19" t="str">
        <f>VLOOKUP(K5,'Thang đánh giá'!$C$2:$D$27,2,FALSE)</f>
        <v>(0; 0; 0,0707)</v>
      </c>
      <c r="L19" t="str">
        <f>VLOOKUP(L5,'Thang đánh giá'!$C$2:$D$27,2,FALSE)</f>
        <v>(0,1673; 0,251; 0,3347)</v>
      </c>
      <c r="M19" t="str">
        <f>VLOOKUP(M5,'Thang đánh giá'!$C$2:$D$27,2,FALSE)</f>
        <v>(0; 0; 0,0548)</v>
      </c>
    </row>
    <row r="20" spans="1:13" x14ac:dyDescent="0.3">
      <c r="A20" t="s">
        <v>4</v>
      </c>
      <c r="B20" t="str">
        <f>VLOOKUP(B6,'Thang đánh giá'!$C$2:$D$27,2,FALSE)</f>
        <v>(0; 0,0548; 0,1095)</v>
      </c>
      <c r="C20" t="str">
        <f>VLOOKUP(C6,'Thang đánh giá'!$C$2:$D$27,2,FALSE)</f>
        <v>(0,0707; 0,1414; 0,2121)</v>
      </c>
      <c r="D20" t="str">
        <f>VLOOKUP(D6,'Thang đánh giá'!$C$2:$D$27,2,FALSE)</f>
        <v>(0; 0; 0,0548)</v>
      </c>
      <c r="E20" t="str">
        <f>VLOOKUP(E6,'Thang đánh giá'!$C$2:$D$27,2,FALSE)</f>
        <v>(0; 0; 0,0548)</v>
      </c>
      <c r="F20" t="str">
        <f>VLOOKUP(F6,'Thang đánh giá'!$C$2:$D$27,2,FALSE)</f>
        <v>(0; 0; 0)</v>
      </c>
      <c r="G20" t="str">
        <f>VLOOKUP(G6,'Thang đánh giá'!$C$2:$D$27,2,FALSE)</f>
        <v>(0,251; 0,3347; 0,3347)</v>
      </c>
      <c r="H20" t="str">
        <f>VLOOKUP(H6,'Thang đánh giá'!$C$2:$D$27,2,FALSE)</f>
        <v>(0; 0; 0,0316)</v>
      </c>
      <c r="I20" t="str">
        <f>VLOOKUP(I6,'Thang đánh giá'!$C$2:$D$27,2,FALSE)</f>
        <v>(0; 0,0548; 0,1095)</v>
      </c>
      <c r="J20" t="str">
        <f>VLOOKUP(J6,'Thang đánh giá'!$C$2:$D$27,2,FALSE)</f>
        <v>(0,251; 0,3347; 0,3347)</v>
      </c>
      <c r="K20" t="str">
        <f>VLOOKUP(K6,'Thang đánh giá'!$C$2:$D$27,2,FALSE)</f>
        <v>(0,251; 0,3347; 0,3347)</v>
      </c>
      <c r="L20" t="str">
        <f>VLOOKUP(L6,'Thang đánh giá'!$C$2:$D$27,2,FALSE)</f>
        <v>(0; 0; 0,0548)</v>
      </c>
      <c r="M20" t="str">
        <f>VLOOKUP(M6,'Thang đánh giá'!$C$2:$D$27,2,FALSE)</f>
        <v>(0,0707; 0,1414; 0,2121)</v>
      </c>
    </row>
    <row r="21" spans="1:13" x14ac:dyDescent="0.3">
      <c r="A21" t="s">
        <v>5</v>
      </c>
      <c r="B21" t="str">
        <f>VLOOKUP(B7,'Thang đánh giá'!$C$2:$D$27,2,FALSE)</f>
        <v>(0; 0,0548; 0,1095)</v>
      </c>
      <c r="C21" t="str">
        <f>VLOOKUP(C7,'Thang đánh giá'!$C$2:$D$27,2,FALSE)</f>
        <v>(0; 0,0707; 0,1414)</v>
      </c>
      <c r="D21" t="str">
        <f>VLOOKUP(D7,'Thang đánh giá'!$C$2:$D$27,2,FALSE)</f>
        <v>(0; 0,0316; 0,0632)</v>
      </c>
      <c r="E21" t="str">
        <f>VLOOKUP(E7,'Thang đánh giá'!$C$2:$D$27,2,FALSE)</f>
        <v>(0; 0; 0,0548)</v>
      </c>
      <c r="F21" t="str">
        <f>VLOOKUP(F7,'Thang đánh giá'!$C$2:$D$27,2,FALSE)</f>
        <v>(0; 0,0548; 0,1095)</v>
      </c>
      <c r="G21" t="str">
        <f>VLOOKUP(G7,'Thang đánh giá'!$C$2:$D$27,2,FALSE)</f>
        <v>(0; 0; 0)</v>
      </c>
      <c r="H21" t="str">
        <f>VLOOKUP(H7,'Thang đánh giá'!$C$2:$D$27,2,FALSE)</f>
        <v>(0; 0,0316; 0,0632)</v>
      </c>
      <c r="I21" t="str">
        <f>VLOOKUP(I7,'Thang đánh giá'!$C$2:$D$27,2,FALSE)</f>
        <v>(0; 0; 0,0707)</v>
      </c>
      <c r="J21" t="str">
        <f>VLOOKUP(J7,'Thang đánh giá'!$C$2:$D$27,2,FALSE)</f>
        <v>(0,2846; 0,3795; 0,3795)</v>
      </c>
      <c r="K21" t="str">
        <f>VLOOKUP(K7,'Thang đánh giá'!$C$2:$D$27,2,FALSE)</f>
        <v>(0; 0; 0,0707)</v>
      </c>
      <c r="L21" t="str">
        <f>VLOOKUP(L7,'Thang đánh giá'!$C$2:$D$27,2,FALSE)</f>
        <v>(0,0837; 0,1673; 0,251)</v>
      </c>
      <c r="M21" t="str">
        <f>VLOOKUP(M7,'Thang đánh giá'!$C$2:$D$27,2,FALSE)</f>
        <v>(0; 0; 0,0707)</v>
      </c>
    </row>
    <row r="22" spans="1:13" x14ac:dyDescent="0.3">
      <c r="A22" t="s">
        <v>6</v>
      </c>
      <c r="B22" t="str">
        <f>VLOOKUP(B8,'Thang đánh giá'!$C$2:$D$27,2,FALSE)</f>
        <v>(0; 0,0548; 0,1095)</v>
      </c>
      <c r="C22" t="str">
        <f>VLOOKUP(C8,'Thang đánh giá'!$C$2:$D$27,2,FALSE)</f>
        <v>(0; 0; 0,0548)</v>
      </c>
      <c r="D22" t="str">
        <f>VLOOKUP(D8,'Thang đánh giá'!$C$2:$D$27,2,FALSE)</f>
        <v>(0; 0,0707; 0,1414)</v>
      </c>
      <c r="E22" t="str">
        <f>VLOOKUP(E8,'Thang đánh giá'!$C$2:$D$27,2,FALSE)</f>
        <v>(0; 0,0548; 0,1095)</v>
      </c>
      <c r="F22" t="str">
        <f>VLOOKUP(F8,'Thang đánh giá'!$C$2:$D$27,2,FALSE)</f>
        <v>(0; 0; 0,0707)</v>
      </c>
      <c r="G22" t="str">
        <f>VLOOKUP(G8,'Thang đánh giá'!$C$2:$D$27,2,FALSE)</f>
        <v>(0; 0,0707; 0,1414)</v>
      </c>
      <c r="H22" t="str">
        <f>VLOOKUP(H8,'Thang đánh giá'!$C$2:$D$27,2,FALSE)</f>
        <v>(0; 0; 0)</v>
      </c>
      <c r="I22" t="str">
        <f>VLOOKUP(I8,'Thang đánh giá'!$C$2:$D$27,2,FALSE)</f>
        <v>(0; 0,0316; 0,0632)</v>
      </c>
      <c r="J22" t="str">
        <f>VLOOKUP(J8,'Thang đánh giá'!$C$2:$D$27,2,FALSE)</f>
        <v>(0; 0; 0,0707)</v>
      </c>
      <c r="K22" t="str">
        <f>VLOOKUP(K8,'Thang đánh giá'!$C$2:$D$27,2,FALSE)</f>
        <v>(0,0837; 0,1673; 0,251)</v>
      </c>
      <c r="L22" t="str">
        <f>VLOOKUP(L8,'Thang đánh giá'!$C$2:$D$27,2,FALSE)</f>
        <v>(0,0707; 0,1414; 0,2121)</v>
      </c>
      <c r="M22" t="str">
        <f>VLOOKUP(M8,'Thang đánh giá'!$C$2:$D$27,2,FALSE)</f>
        <v>(0; 0; 0,0548)</v>
      </c>
    </row>
    <row r="23" spans="1:13" x14ac:dyDescent="0.3">
      <c r="A23" t="s">
        <v>7</v>
      </c>
      <c r="B23" t="str">
        <f>VLOOKUP(B9,'Thang đánh giá'!$C$2:$D$27,2,FALSE)</f>
        <v>(0,0707; 0,1414; 0,2121)</v>
      </c>
      <c r="C23" t="str">
        <f>VLOOKUP(C9,'Thang đánh giá'!$C$2:$D$27,2,FALSE)</f>
        <v>(0; 0; 0,0707)</v>
      </c>
      <c r="D23" t="str">
        <f>VLOOKUP(D9,'Thang đánh giá'!$C$2:$D$27,2,FALSE)</f>
        <v>(0; 0; 0,0707)</v>
      </c>
      <c r="E23" t="str">
        <f>VLOOKUP(E9,'Thang đánh giá'!$C$2:$D$27,2,FALSE)</f>
        <v>(0; 0,0707; 0,1414)</v>
      </c>
      <c r="F23" t="str">
        <f>VLOOKUP(F9,'Thang đánh giá'!$C$2:$D$27,2,FALSE)</f>
        <v>(0; 0; 0,0707)</v>
      </c>
      <c r="G23" t="str">
        <f>VLOOKUP(G9,'Thang đánh giá'!$C$2:$D$27,2,FALSE)</f>
        <v>(0; 0,0548; 0,1095)</v>
      </c>
      <c r="H23" t="str">
        <f>VLOOKUP(H9,'Thang đánh giá'!$C$2:$D$27,2,FALSE)</f>
        <v>(0; 0,0548; 0,1095)</v>
      </c>
      <c r="I23" t="str">
        <f>VLOOKUP(I9,'Thang đánh giá'!$C$2:$D$27,2,FALSE)</f>
        <v>(0; 0; 0)</v>
      </c>
      <c r="J23" t="str">
        <f>VLOOKUP(J9,'Thang đánh giá'!$C$2:$D$27,2,FALSE)</f>
        <v>(0; 0; 0,0707)</v>
      </c>
      <c r="K23" t="str">
        <f>VLOOKUP(K9,'Thang đánh giá'!$C$2:$D$27,2,FALSE)</f>
        <v>(0,2846; 0,3795; 0,3795)</v>
      </c>
      <c r="L23" t="str">
        <f>VLOOKUP(L9,'Thang đánh giá'!$C$2:$D$27,2,FALSE)</f>
        <v>(0,1897; 0,2846; 0,3795)</v>
      </c>
      <c r="M23" t="str">
        <f>VLOOKUP(M9,'Thang đánh giá'!$C$2:$D$27,2,FALSE)</f>
        <v>(0,1897; 0,2846; 0,3795)</v>
      </c>
    </row>
    <row r="24" spans="1:13" x14ac:dyDescent="0.3">
      <c r="A24" t="s">
        <v>8</v>
      </c>
      <c r="B24" t="str">
        <f>VLOOKUP(B10,'Thang đánh giá'!$C$2:$D$27,2,FALSE)</f>
        <v>(0,0837; 0,1673; 0,251)</v>
      </c>
      <c r="C24" t="str">
        <f>VLOOKUP(C10,'Thang đánh giá'!$C$2:$D$27,2,FALSE)</f>
        <v>(0; 0; 0,0548)</v>
      </c>
      <c r="D24" t="str">
        <f>VLOOKUP(D10,'Thang đánh giá'!$C$2:$D$27,2,FALSE)</f>
        <v>(0; 0; 0,0707)</v>
      </c>
      <c r="E24" t="str">
        <f>VLOOKUP(E10,'Thang đánh giá'!$C$2:$D$27,2,FALSE)</f>
        <v>(0; 0,0707; 0,1414)</v>
      </c>
      <c r="F24" t="str">
        <f>VLOOKUP(F10,'Thang đánh giá'!$C$2:$D$27,2,FALSE)</f>
        <v>(0; 0,0707; 0,1414)</v>
      </c>
      <c r="G24" t="str">
        <f>VLOOKUP(G10,'Thang đánh giá'!$C$2:$D$27,2,FALSE)</f>
        <v>(0; 0; 0,0707)</v>
      </c>
      <c r="H24" t="str">
        <f>VLOOKUP(H10,'Thang đánh giá'!$C$2:$D$27,2,FALSE)</f>
        <v>(0,251; 0,3347; 0,3347)</v>
      </c>
      <c r="I24" t="str">
        <f>VLOOKUP(I10,'Thang đánh giá'!$C$2:$D$27,2,FALSE)</f>
        <v>(0; 0,0837; 0,1673)</v>
      </c>
      <c r="J24" t="str">
        <f>VLOOKUP(J10,'Thang đánh giá'!$C$2:$D$27,2,FALSE)</f>
        <v>(0; 0; 0)</v>
      </c>
      <c r="K24" t="str">
        <f>VLOOKUP(K10,'Thang đánh giá'!$C$2:$D$27,2,FALSE)</f>
        <v>(0,2846; 0,3795; 0,3795)</v>
      </c>
      <c r="L24" t="str">
        <f>VLOOKUP(L10,'Thang đánh giá'!$C$2:$D$27,2,FALSE)</f>
        <v>(0,1897; 0,2846; 0,3795)</v>
      </c>
      <c r="M24" t="str">
        <f>VLOOKUP(M10,'Thang đánh giá'!$C$2:$D$27,2,FALSE)</f>
        <v>(0,2846; 0,3795; 0,3795)</v>
      </c>
    </row>
    <row r="25" spans="1:13" x14ac:dyDescent="0.3">
      <c r="A25" t="s">
        <v>9</v>
      </c>
      <c r="B25" t="str">
        <f>VLOOKUP(B11,'Thang đánh giá'!$C$2:$D$27,2,FALSE)</f>
        <v>(0; 0; 0,0707)</v>
      </c>
      <c r="C25" t="str">
        <f>VLOOKUP(C11,'Thang đánh giá'!$C$2:$D$27,2,FALSE)</f>
        <v>(0; 0; 0,0548)</v>
      </c>
      <c r="D25" t="str">
        <f>VLOOKUP(D11,'Thang đánh giá'!$C$2:$D$27,2,FALSE)</f>
        <v>(0; 0; 0,0707)</v>
      </c>
      <c r="E25" t="str">
        <f>VLOOKUP(E11,'Thang đánh giá'!$C$2:$D$27,2,FALSE)</f>
        <v>(0; 0; 0,0548)</v>
      </c>
      <c r="F25" t="str">
        <f>VLOOKUP(F11,'Thang đánh giá'!$C$2:$D$27,2,FALSE)</f>
        <v>(0; 0; 0,0548)</v>
      </c>
      <c r="G25" t="str">
        <f>VLOOKUP(G11,'Thang đánh giá'!$C$2:$D$27,2,FALSE)</f>
        <v>(0,0707; 0,1414; 0,2121)</v>
      </c>
      <c r="H25" t="str">
        <f>VLOOKUP(H11,'Thang đánh giá'!$C$2:$D$27,2,FALSE)</f>
        <v>(0; 0,0707; 0,1414)</v>
      </c>
      <c r="I25" t="str">
        <f>VLOOKUP(I11,'Thang đánh giá'!$C$2:$D$27,2,FALSE)</f>
        <v>(0; 0; 0,0707)</v>
      </c>
      <c r="J25" t="str">
        <f>VLOOKUP(J11,'Thang đánh giá'!$C$2:$D$27,2,FALSE)</f>
        <v>(0; 0,0707; 0,1414)</v>
      </c>
      <c r="K25" t="str">
        <f>VLOOKUP(K11,'Thang đánh giá'!$C$2:$D$27,2,FALSE)</f>
        <v>(0; 0; 0)</v>
      </c>
      <c r="L25" t="str">
        <f>VLOOKUP(L11,'Thang đánh giá'!$C$2:$D$27,2,FALSE)</f>
        <v>(0; 0,0837; 0,1673)</v>
      </c>
      <c r="M25" t="str">
        <f>VLOOKUP(M11,'Thang đánh giá'!$C$2:$D$27,2,FALSE)</f>
        <v>(0; 0; 0,0707)</v>
      </c>
    </row>
    <row r="26" spans="1:13" x14ac:dyDescent="0.3">
      <c r="A26" t="s">
        <v>10</v>
      </c>
      <c r="B26" t="str">
        <f>VLOOKUP(B12,'Thang đánh giá'!$C$2:$D$27,2,FALSE)</f>
        <v>(0; 0; 0,0707)</v>
      </c>
      <c r="C26" t="str">
        <f>VLOOKUP(C12,'Thang đánh giá'!$C$2:$D$27,2,FALSE)</f>
        <v>(0; 0; 0,0707)</v>
      </c>
      <c r="D26" t="str">
        <f>VLOOKUP(D12,'Thang đánh giá'!$C$2:$D$27,2,FALSE)</f>
        <v>(0,0707; 0,1414; 0,2121)</v>
      </c>
      <c r="E26" t="str">
        <f>VLOOKUP(E12,'Thang đánh giá'!$C$2:$D$27,2,FALSE)</f>
        <v>(0; 0; 0,0837)</v>
      </c>
      <c r="F26" t="str">
        <f>VLOOKUP(F12,'Thang đánh giá'!$C$2:$D$27,2,FALSE)</f>
        <v>(0; 0; 0,0548)</v>
      </c>
      <c r="G26" t="str">
        <f>VLOOKUP(G12,'Thang đánh giá'!$C$2:$D$27,2,FALSE)</f>
        <v>(0; 0; 0,0316)</v>
      </c>
      <c r="H26" t="str">
        <f>VLOOKUP(H12,'Thang đánh giá'!$C$2:$D$27,2,FALSE)</f>
        <v>(0; 0; 0,0548)</v>
      </c>
      <c r="I26" t="str">
        <f>VLOOKUP(I12,'Thang đánh giá'!$C$2:$D$27,2,FALSE)</f>
        <v>(0; 0; 0,0707)</v>
      </c>
      <c r="J26" t="str">
        <f>VLOOKUP(J12,'Thang đánh giá'!$C$2:$D$27,2,FALSE)</f>
        <v>(0; 0; 0,0707)</v>
      </c>
      <c r="K26" t="str">
        <f>VLOOKUP(K12,'Thang đánh giá'!$C$2:$D$27,2,FALSE)</f>
        <v>(0; 0; 0,0707)</v>
      </c>
      <c r="L26" t="str">
        <f>VLOOKUP(L12,'Thang đánh giá'!$C$2:$D$27,2,FALSE)</f>
        <v>(0; 0; 0)</v>
      </c>
      <c r="M26" t="str">
        <f>VLOOKUP(M12,'Thang đánh giá'!$C$2:$D$27,2,FALSE)</f>
        <v>(0,1673; 0,251; 0,3347)</v>
      </c>
    </row>
    <row r="27" spans="1:13" x14ac:dyDescent="0.3">
      <c r="A27" t="s">
        <v>11</v>
      </c>
      <c r="B27" t="str">
        <f>VLOOKUP(B13,'Thang đánh giá'!$C$2:$D$27,2,FALSE)</f>
        <v>(0,0707; 0,1414; 0,2121)</v>
      </c>
      <c r="C27" t="str">
        <f>VLOOKUP(C13,'Thang đánh giá'!$C$2:$D$27,2,FALSE)</f>
        <v>(0; 0,0837; 0,1673)</v>
      </c>
      <c r="D27" t="str">
        <f>VLOOKUP(D13,'Thang đánh giá'!$C$2:$D$27,2,FALSE)</f>
        <v>(0; 0,0837; 0,1673)</v>
      </c>
      <c r="E27" t="str">
        <f>VLOOKUP(E13,'Thang đánh giá'!$C$2:$D$27,2,FALSE)</f>
        <v>(0; 0; 0,0707)</v>
      </c>
      <c r="F27" t="str">
        <f>VLOOKUP(F13,'Thang đánh giá'!$C$2:$D$27,2,FALSE)</f>
        <v>(0; 0; 0,0707)</v>
      </c>
      <c r="G27" t="str">
        <f>VLOOKUP(G13,'Thang đánh giá'!$C$2:$D$27,2,FALSE)</f>
        <v>(0; 0; 0,0316)</v>
      </c>
      <c r="H27" t="str">
        <f>VLOOKUP(H13,'Thang đánh giá'!$C$2:$D$27,2,FALSE)</f>
        <v>(0; 0; 0,0548)</v>
      </c>
      <c r="I27" t="str">
        <f>VLOOKUP(I13,'Thang đánh giá'!$C$2:$D$27,2,FALSE)</f>
        <v>(0; 0,0707; 0,1414)</v>
      </c>
      <c r="J27" t="str">
        <f>VLOOKUP(J13,'Thang đánh giá'!$C$2:$D$27,2,FALSE)</f>
        <v>(0; 0,0837; 0,1673)</v>
      </c>
      <c r="K27" t="str">
        <f>VLOOKUP(K13,'Thang đánh giá'!$C$2:$D$27,2,FALSE)</f>
        <v>(0,0707; 0,1414; 0,2121)</v>
      </c>
      <c r="L27" t="str">
        <f>VLOOKUP(L13,'Thang đánh giá'!$C$2:$D$27,2,FALSE)</f>
        <v>(0; 0,0548; 0,1095)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0.18970000000000001</v>
      </c>
      <c r="D30">
        <f t="shared" si="0"/>
        <v>0.18970000000000001</v>
      </c>
      <c r="E30">
        <f t="shared" si="0"/>
        <v>7.0699999999999999E-2</v>
      </c>
      <c r="F30">
        <f t="shared" si="0"/>
        <v>0</v>
      </c>
      <c r="G30">
        <f t="shared" si="0"/>
        <v>0</v>
      </c>
      <c r="H30">
        <f t="shared" si="0"/>
        <v>0</v>
      </c>
      <c r="I30">
        <f t="shared" si="0"/>
        <v>0</v>
      </c>
      <c r="J30">
        <f t="shared" si="0"/>
        <v>0.18970000000000001</v>
      </c>
      <c r="K30">
        <f t="shared" si="0"/>
        <v>0</v>
      </c>
      <c r="L30">
        <f t="shared" si="0"/>
        <v>0</v>
      </c>
      <c r="M30">
        <f t="shared" si="0"/>
        <v>0</v>
      </c>
    </row>
    <row r="31" spans="1:13" x14ac:dyDescent="0.3">
      <c r="A31" t="s">
        <v>1</v>
      </c>
      <c r="B31">
        <f t="shared" ref="B31:M41" si="1">_xlfn.NUMBERVALUE(MID(B17,2,FIND(";",B17,1)-2))</f>
        <v>7.0699999999999999E-2</v>
      </c>
      <c r="C31">
        <f t="shared" si="1"/>
        <v>0</v>
      </c>
      <c r="D31">
        <f t="shared" si="1"/>
        <v>0.28460000000000002</v>
      </c>
      <c r="E31">
        <f t="shared" si="1"/>
        <v>0.251</v>
      </c>
      <c r="F31">
        <f t="shared" si="1"/>
        <v>0.1673</v>
      </c>
      <c r="G31">
        <f t="shared" si="1"/>
        <v>0.18970000000000001</v>
      </c>
      <c r="H31">
        <f t="shared" si="1"/>
        <v>0.1673</v>
      </c>
      <c r="I31">
        <f t="shared" si="1"/>
        <v>7.0699999999999999E-2</v>
      </c>
      <c r="J31">
        <f t="shared" si="1"/>
        <v>0</v>
      </c>
      <c r="K31">
        <f t="shared" si="1"/>
        <v>0.28460000000000002</v>
      </c>
      <c r="L31">
        <f t="shared" si="1"/>
        <v>7.0699999999999999E-2</v>
      </c>
      <c r="M31">
        <f t="shared" si="1"/>
        <v>0.18970000000000001</v>
      </c>
    </row>
    <row r="32" spans="1:13" x14ac:dyDescent="0.3">
      <c r="A32" t="s">
        <v>2</v>
      </c>
      <c r="B32">
        <f t="shared" si="1"/>
        <v>8.3699999999999997E-2</v>
      </c>
      <c r="C32">
        <f t="shared" si="1"/>
        <v>0</v>
      </c>
      <c r="D32">
        <f t="shared" si="1"/>
        <v>0</v>
      </c>
      <c r="E32">
        <f t="shared" si="1"/>
        <v>0</v>
      </c>
      <c r="F32">
        <f t="shared" si="1"/>
        <v>0</v>
      </c>
      <c r="G32">
        <f t="shared" si="1"/>
        <v>0</v>
      </c>
      <c r="H32">
        <f t="shared" si="1"/>
        <v>0.1414</v>
      </c>
      <c r="I32">
        <f t="shared" si="1"/>
        <v>0</v>
      </c>
      <c r="J32">
        <f t="shared" si="1"/>
        <v>0.18970000000000001</v>
      </c>
      <c r="K32">
        <f t="shared" si="1"/>
        <v>0.251</v>
      </c>
      <c r="L32">
        <f t="shared" si="1"/>
        <v>0.18970000000000001</v>
      </c>
      <c r="M32">
        <f t="shared" si="1"/>
        <v>0.18970000000000001</v>
      </c>
    </row>
    <row r="33" spans="1:13" x14ac:dyDescent="0.3">
      <c r="A33" t="s">
        <v>3</v>
      </c>
      <c r="B33">
        <f t="shared" si="1"/>
        <v>7.0699999999999999E-2</v>
      </c>
      <c r="C33">
        <f t="shared" si="1"/>
        <v>0</v>
      </c>
      <c r="D33">
        <f t="shared" si="1"/>
        <v>0</v>
      </c>
      <c r="E33">
        <f t="shared" si="1"/>
        <v>0</v>
      </c>
      <c r="F33">
        <f t="shared" si="1"/>
        <v>0</v>
      </c>
      <c r="G33">
        <f t="shared" si="1"/>
        <v>0</v>
      </c>
      <c r="H33">
        <f t="shared" si="1"/>
        <v>0.18970000000000001</v>
      </c>
      <c r="I33">
        <f t="shared" si="1"/>
        <v>0</v>
      </c>
      <c r="J33">
        <f t="shared" si="1"/>
        <v>0.18970000000000001</v>
      </c>
      <c r="K33">
        <f t="shared" si="1"/>
        <v>0</v>
      </c>
      <c r="L33">
        <f t="shared" si="1"/>
        <v>0.1673</v>
      </c>
      <c r="M33">
        <f t="shared" si="1"/>
        <v>0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7.0699999999999999E-2</v>
      </c>
      <c r="D34">
        <f t="shared" si="2"/>
        <v>0</v>
      </c>
      <c r="E34">
        <f t="shared" si="2"/>
        <v>0</v>
      </c>
      <c r="F34">
        <f t="shared" si="2"/>
        <v>0</v>
      </c>
      <c r="G34">
        <f t="shared" si="2"/>
        <v>0.251</v>
      </c>
      <c r="H34">
        <f t="shared" si="2"/>
        <v>0</v>
      </c>
      <c r="I34">
        <f t="shared" si="2"/>
        <v>0</v>
      </c>
      <c r="J34">
        <f t="shared" si="2"/>
        <v>0.251</v>
      </c>
      <c r="K34">
        <f t="shared" si="2"/>
        <v>0.251</v>
      </c>
      <c r="L34">
        <f t="shared" si="2"/>
        <v>0</v>
      </c>
      <c r="M34">
        <f t="shared" si="2"/>
        <v>7.0699999999999999E-2</v>
      </c>
    </row>
    <row r="35" spans="1:13" x14ac:dyDescent="0.3">
      <c r="A35" t="s">
        <v>5</v>
      </c>
      <c r="B35">
        <f t="shared" si="1"/>
        <v>0</v>
      </c>
      <c r="C35">
        <f t="shared" si="1"/>
        <v>0</v>
      </c>
      <c r="D35">
        <f t="shared" si="1"/>
        <v>0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0</v>
      </c>
      <c r="J35">
        <f t="shared" si="1"/>
        <v>0.28460000000000002</v>
      </c>
      <c r="K35">
        <f t="shared" si="1"/>
        <v>0</v>
      </c>
      <c r="L35">
        <f t="shared" si="1"/>
        <v>8.3699999999999997E-2</v>
      </c>
      <c r="M35">
        <f t="shared" si="1"/>
        <v>0</v>
      </c>
    </row>
    <row r="36" spans="1:13" x14ac:dyDescent="0.3">
      <c r="A36" t="s">
        <v>6</v>
      </c>
      <c r="B36">
        <f t="shared" si="1"/>
        <v>0</v>
      </c>
      <c r="C36">
        <f t="shared" si="1"/>
        <v>0</v>
      </c>
      <c r="D36">
        <f t="shared" si="1"/>
        <v>0</v>
      </c>
      <c r="E36">
        <f t="shared" si="1"/>
        <v>0</v>
      </c>
      <c r="F36">
        <f t="shared" si="1"/>
        <v>0</v>
      </c>
      <c r="G36">
        <f t="shared" si="1"/>
        <v>0</v>
      </c>
      <c r="H36">
        <f t="shared" si="1"/>
        <v>0</v>
      </c>
      <c r="I36">
        <f t="shared" si="1"/>
        <v>0</v>
      </c>
      <c r="J36">
        <f t="shared" si="1"/>
        <v>0</v>
      </c>
      <c r="K36">
        <f t="shared" si="1"/>
        <v>8.3699999999999997E-2</v>
      </c>
      <c r="L36">
        <f t="shared" si="1"/>
        <v>7.0699999999999999E-2</v>
      </c>
      <c r="M36">
        <f t="shared" si="1"/>
        <v>0</v>
      </c>
    </row>
    <row r="37" spans="1:13" x14ac:dyDescent="0.3">
      <c r="A37" t="s">
        <v>7</v>
      </c>
      <c r="B37">
        <f t="shared" si="1"/>
        <v>7.0699999999999999E-2</v>
      </c>
      <c r="C37">
        <f t="shared" si="1"/>
        <v>0</v>
      </c>
      <c r="D37">
        <f t="shared" si="1"/>
        <v>0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0</v>
      </c>
      <c r="K37">
        <f t="shared" si="1"/>
        <v>0.28460000000000002</v>
      </c>
      <c r="L37">
        <f t="shared" si="1"/>
        <v>0.18970000000000001</v>
      </c>
      <c r="M37">
        <f t="shared" si="1"/>
        <v>0.18970000000000001</v>
      </c>
    </row>
    <row r="38" spans="1:13" x14ac:dyDescent="0.3">
      <c r="A38" t="s">
        <v>8</v>
      </c>
      <c r="B38">
        <f t="shared" si="1"/>
        <v>8.3699999999999997E-2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0.251</v>
      </c>
      <c r="I38">
        <f t="shared" si="1"/>
        <v>0</v>
      </c>
      <c r="J38">
        <f t="shared" si="1"/>
        <v>0</v>
      </c>
      <c r="K38">
        <f t="shared" si="1"/>
        <v>0.28460000000000002</v>
      </c>
      <c r="L38">
        <f t="shared" si="1"/>
        <v>0.18970000000000001</v>
      </c>
      <c r="M38">
        <f t="shared" si="1"/>
        <v>0.28460000000000002</v>
      </c>
    </row>
    <row r="39" spans="1:13" x14ac:dyDescent="0.3">
      <c r="A39" t="s">
        <v>9</v>
      </c>
      <c r="B39">
        <f t="shared" si="1"/>
        <v>0</v>
      </c>
      <c r="C39">
        <f t="shared" si="1"/>
        <v>0</v>
      </c>
      <c r="D39">
        <f t="shared" si="1"/>
        <v>0</v>
      </c>
      <c r="E39">
        <f t="shared" si="1"/>
        <v>0</v>
      </c>
      <c r="F39">
        <f t="shared" si="1"/>
        <v>0</v>
      </c>
      <c r="G39">
        <f t="shared" si="1"/>
        <v>7.0699999999999999E-2</v>
      </c>
      <c r="H39">
        <f t="shared" si="1"/>
        <v>0</v>
      </c>
      <c r="I39">
        <f t="shared" si="1"/>
        <v>0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0</v>
      </c>
    </row>
    <row r="40" spans="1:13" x14ac:dyDescent="0.3">
      <c r="A40" t="s">
        <v>10</v>
      </c>
      <c r="B40">
        <f t="shared" si="1"/>
        <v>0</v>
      </c>
      <c r="C40">
        <f t="shared" si="1"/>
        <v>0</v>
      </c>
      <c r="D40">
        <f t="shared" si="1"/>
        <v>7.0699999999999999E-2</v>
      </c>
      <c r="E40">
        <f t="shared" si="1"/>
        <v>0</v>
      </c>
      <c r="F40">
        <f t="shared" si="1"/>
        <v>0</v>
      </c>
      <c r="G40">
        <f t="shared" si="1"/>
        <v>0</v>
      </c>
      <c r="H40">
        <f t="shared" si="1"/>
        <v>0</v>
      </c>
      <c r="I40">
        <f t="shared" si="1"/>
        <v>0</v>
      </c>
      <c r="J40">
        <f t="shared" si="1"/>
        <v>0</v>
      </c>
      <c r="K40">
        <f t="shared" si="1"/>
        <v>0</v>
      </c>
      <c r="L40">
        <f t="shared" si="1"/>
        <v>0</v>
      </c>
      <c r="M40">
        <f t="shared" si="1"/>
        <v>0.1673</v>
      </c>
    </row>
    <row r="41" spans="1:13" x14ac:dyDescent="0.3">
      <c r="A41" t="s">
        <v>11</v>
      </c>
      <c r="B41">
        <f t="shared" si="1"/>
        <v>7.0699999999999999E-2</v>
      </c>
      <c r="C41">
        <f t="shared" si="1"/>
        <v>0</v>
      </c>
      <c r="D41">
        <f t="shared" si="1"/>
        <v>0</v>
      </c>
      <c r="E41">
        <f t="shared" si="1"/>
        <v>0</v>
      </c>
      <c r="F41">
        <f t="shared" si="1"/>
        <v>0</v>
      </c>
      <c r="G41">
        <f t="shared" si="1"/>
        <v>0</v>
      </c>
      <c r="H41">
        <f t="shared" si="1"/>
        <v>0</v>
      </c>
      <c r="I41">
        <f t="shared" si="1"/>
        <v>0</v>
      </c>
      <c r="J41">
        <f t="shared" si="1"/>
        <v>0</v>
      </c>
      <c r="K41">
        <f t="shared" si="1"/>
        <v>7.0699999999999999E-2</v>
      </c>
      <c r="L41">
        <f t="shared" si="1"/>
        <v>0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0.28460000000000002</v>
      </c>
      <c r="D44">
        <f t="shared" si="3"/>
        <v>0.28460000000000002</v>
      </c>
      <c r="E44">
        <f t="shared" si="3"/>
        <v>0.1414</v>
      </c>
      <c r="F44">
        <f t="shared" si="3"/>
        <v>5.4800000000000001E-2</v>
      </c>
      <c r="G44">
        <f t="shared" si="3"/>
        <v>3.1600000000000003E-2</v>
      </c>
      <c r="H44">
        <f t="shared" si="3"/>
        <v>0</v>
      </c>
      <c r="I44">
        <f t="shared" si="3"/>
        <v>0</v>
      </c>
      <c r="J44">
        <f t="shared" si="3"/>
        <v>0.28460000000000002</v>
      </c>
      <c r="K44">
        <f t="shared" si="3"/>
        <v>7.0699999999999999E-2</v>
      </c>
      <c r="L44">
        <f t="shared" si="3"/>
        <v>5.4800000000000001E-2</v>
      </c>
      <c r="M44">
        <f t="shared" si="3"/>
        <v>7.0699999999999999E-2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0.1414</v>
      </c>
      <c r="C45">
        <f t="shared" si="4"/>
        <v>0</v>
      </c>
      <c r="D45">
        <f t="shared" si="4"/>
        <v>0.3795</v>
      </c>
      <c r="E45">
        <f t="shared" si="4"/>
        <v>0.3347</v>
      </c>
      <c r="F45">
        <f t="shared" si="4"/>
        <v>0.251</v>
      </c>
      <c r="G45">
        <f t="shared" si="4"/>
        <v>0.28460000000000002</v>
      </c>
      <c r="H45">
        <f t="shared" si="4"/>
        <v>0.251</v>
      </c>
      <c r="I45">
        <f t="shared" si="4"/>
        <v>0.1414</v>
      </c>
      <c r="J45">
        <f t="shared" si="4"/>
        <v>7.0699999999999999E-2</v>
      </c>
      <c r="K45">
        <f t="shared" si="4"/>
        <v>0.3795</v>
      </c>
      <c r="L45">
        <f t="shared" si="4"/>
        <v>0.1414</v>
      </c>
      <c r="M45">
        <f t="shared" si="4"/>
        <v>0.28460000000000002</v>
      </c>
    </row>
    <row r="46" spans="1:13" x14ac:dyDescent="0.3">
      <c r="A46" t="s">
        <v>2</v>
      </c>
      <c r="B46">
        <f t="shared" si="4"/>
        <v>0.1673</v>
      </c>
      <c r="C46">
        <f t="shared" si="4"/>
        <v>7.0699999999999999E-2</v>
      </c>
      <c r="D46">
        <f t="shared" si="4"/>
        <v>0</v>
      </c>
      <c r="E46">
        <f t="shared" si="4"/>
        <v>0</v>
      </c>
      <c r="F46">
        <f t="shared" si="4"/>
        <v>5.4800000000000001E-2</v>
      </c>
      <c r="G46">
        <f t="shared" si="4"/>
        <v>0</v>
      </c>
      <c r="H46">
        <f t="shared" si="4"/>
        <v>0.21210000000000001</v>
      </c>
      <c r="I46">
        <f t="shared" si="4"/>
        <v>7.0699999999999999E-2</v>
      </c>
      <c r="J46">
        <f t="shared" si="4"/>
        <v>0.28460000000000002</v>
      </c>
      <c r="K46">
        <f t="shared" si="4"/>
        <v>0.3347</v>
      </c>
      <c r="L46">
        <f t="shared" si="4"/>
        <v>0.28460000000000002</v>
      </c>
      <c r="M46">
        <f t="shared" si="4"/>
        <v>0.28460000000000002</v>
      </c>
    </row>
    <row r="47" spans="1:13" x14ac:dyDescent="0.3">
      <c r="A47" t="s">
        <v>3</v>
      </c>
      <c r="B47">
        <f t="shared" si="4"/>
        <v>0.1414</v>
      </c>
      <c r="C47">
        <f t="shared" si="4"/>
        <v>0</v>
      </c>
      <c r="D47">
        <f t="shared" si="4"/>
        <v>7.0699999999999999E-2</v>
      </c>
      <c r="E47">
        <f t="shared" si="4"/>
        <v>0</v>
      </c>
      <c r="F47">
        <f t="shared" si="4"/>
        <v>7.0699999999999999E-2</v>
      </c>
      <c r="G47">
        <f t="shared" si="4"/>
        <v>0</v>
      </c>
      <c r="H47">
        <f t="shared" si="4"/>
        <v>0.28460000000000002</v>
      </c>
      <c r="I47">
        <f t="shared" si="4"/>
        <v>0</v>
      </c>
      <c r="J47">
        <f t="shared" si="4"/>
        <v>0.28460000000000002</v>
      </c>
      <c r="K47">
        <f t="shared" si="4"/>
        <v>0</v>
      </c>
      <c r="L47">
        <f t="shared" si="4"/>
        <v>0.251</v>
      </c>
      <c r="M47">
        <f t="shared" si="4"/>
        <v>0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5.4800000000000001E-2</v>
      </c>
      <c r="C48">
        <f t="shared" si="5"/>
        <v>0.1414</v>
      </c>
      <c r="D48">
        <f t="shared" si="5"/>
        <v>0</v>
      </c>
      <c r="E48">
        <f t="shared" si="5"/>
        <v>0</v>
      </c>
      <c r="F48">
        <f t="shared" si="5"/>
        <v>0</v>
      </c>
      <c r="G48">
        <f t="shared" si="5"/>
        <v>0.3347</v>
      </c>
      <c r="H48">
        <f t="shared" si="5"/>
        <v>0</v>
      </c>
      <c r="I48">
        <f t="shared" si="5"/>
        <v>5.4800000000000001E-2</v>
      </c>
      <c r="J48">
        <f t="shared" si="5"/>
        <v>0.3347</v>
      </c>
      <c r="K48">
        <f t="shared" si="5"/>
        <v>0.3347</v>
      </c>
      <c r="L48">
        <f t="shared" si="5"/>
        <v>0</v>
      </c>
      <c r="M48">
        <f t="shared" si="5"/>
        <v>0.1414</v>
      </c>
    </row>
    <row r="49" spans="1:13" x14ac:dyDescent="0.3">
      <c r="A49" t="s">
        <v>5</v>
      </c>
      <c r="B49">
        <f t="shared" si="4"/>
        <v>5.4800000000000001E-2</v>
      </c>
      <c r="C49">
        <f t="shared" si="4"/>
        <v>7.0699999999999999E-2</v>
      </c>
      <c r="D49">
        <f t="shared" si="4"/>
        <v>3.1600000000000003E-2</v>
      </c>
      <c r="E49">
        <f t="shared" si="4"/>
        <v>0</v>
      </c>
      <c r="F49">
        <f t="shared" si="4"/>
        <v>5.4800000000000001E-2</v>
      </c>
      <c r="G49">
        <f t="shared" si="4"/>
        <v>0</v>
      </c>
      <c r="H49">
        <f t="shared" si="4"/>
        <v>3.1600000000000003E-2</v>
      </c>
      <c r="I49">
        <f t="shared" si="4"/>
        <v>0</v>
      </c>
      <c r="J49">
        <f t="shared" si="4"/>
        <v>0.3795</v>
      </c>
      <c r="K49">
        <f t="shared" si="4"/>
        <v>0</v>
      </c>
      <c r="L49">
        <f t="shared" si="4"/>
        <v>0.1673</v>
      </c>
      <c r="M49">
        <f t="shared" si="4"/>
        <v>0</v>
      </c>
    </row>
    <row r="50" spans="1:13" x14ac:dyDescent="0.3">
      <c r="A50" t="s">
        <v>6</v>
      </c>
      <c r="B50">
        <f t="shared" si="4"/>
        <v>5.4800000000000001E-2</v>
      </c>
      <c r="C50">
        <f t="shared" si="4"/>
        <v>0</v>
      </c>
      <c r="D50">
        <f t="shared" si="4"/>
        <v>7.0699999999999999E-2</v>
      </c>
      <c r="E50">
        <f t="shared" si="4"/>
        <v>5.4800000000000001E-2</v>
      </c>
      <c r="F50">
        <f t="shared" si="4"/>
        <v>0</v>
      </c>
      <c r="G50">
        <f t="shared" si="4"/>
        <v>7.0699999999999999E-2</v>
      </c>
      <c r="H50">
        <f t="shared" si="4"/>
        <v>0</v>
      </c>
      <c r="I50">
        <f t="shared" si="4"/>
        <v>3.1600000000000003E-2</v>
      </c>
      <c r="J50">
        <f t="shared" si="4"/>
        <v>0</v>
      </c>
      <c r="K50">
        <f t="shared" si="4"/>
        <v>0.1673</v>
      </c>
      <c r="L50">
        <f t="shared" si="4"/>
        <v>0.1414</v>
      </c>
      <c r="M50">
        <f t="shared" si="4"/>
        <v>0</v>
      </c>
    </row>
    <row r="51" spans="1:13" x14ac:dyDescent="0.3">
      <c r="A51" t="s">
        <v>7</v>
      </c>
      <c r="B51">
        <f t="shared" si="4"/>
        <v>0.1414</v>
      </c>
      <c r="C51">
        <f t="shared" si="4"/>
        <v>0</v>
      </c>
      <c r="D51">
        <f t="shared" si="4"/>
        <v>0</v>
      </c>
      <c r="E51">
        <f t="shared" si="4"/>
        <v>7.0699999999999999E-2</v>
      </c>
      <c r="F51">
        <f t="shared" si="4"/>
        <v>0</v>
      </c>
      <c r="G51">
        <f t="shared" si="4"/>
        <v>5.4800000000000001E-2</v>
      </c>
      <c r="H51">
        <f t="shared" si="4"/>
        <v>5.4800000000000001E-2</v>
      </c>
      <c r="I51">
        <f t="shared" si="4"/>
        <v>0</v>
      </c>
      <c r="J51">
        <f t="shared" si="4"/>
        <v>0</v>
      </c>
      <c r="K51">
        <f t="shared" si="4"/>
        <v>0.3795</v>
      </c>
      <c r="L51">
        <f t="shared" si="4"/>
        <v>0.28460000000000002</v>
      </c>
      <c r="M51">
        <f t="shared" si="4"/>
        <v>0.28460000000000002</v>
      </c>
    </row>
    <row r="52" spans="1:13" x14ac:dyDescent="0.3">
      <c r="A52" t="s">
        <v>8</v>
      </c>
      <c r="B52">
        <f t="shared" si="4"/>
        <v>0.1673</v>
      </c>
      <c r="C52">
        <f t="shared" si="4"/>
        <v>0</v>
      </c>
      <c r="D52">
        <f t="shared" si="4"/>
        <v>0</v>
      </c>
      <c r="E52">
        <f t="shared" si="4"/>
        <v>7.0699999999999999E-2</v>
      </c>
      <c r="F52">
        <f t="shared" si="4"/>
        <v>7.0699999999999999E-2</v>
      </c>
      <c r="G52">
        <f t="shared" si="4"/>
        <v>0</v>
      </c>
      <c r="H52">
        <f t="shared" si="4"/>
        <v>0.3347</v>
      </c>
      <c r="I52">
        <f t="shared" si="4"/>
        <v>8.3699999999999997E-2</v>
      </c>
      <c r="J52">
        <f t="shared" si="4"/>
        <v>0</v>
      </c>
      <c r="K52">
        <f t="shared" si="4"/>
        <v>0.3795</v>
      </c>
      <c r="L52">
        <f t="shared" si="4"/>
        <v>0.28460000000000002</v>
      </c>
      <c r="M52">
        <f t="shared" si="4"/>
        <v>0.3795</v>
      </c>
    </row>
    <row r="53" spans="1:13" x14ac:dyDescent="0.3">
      <c r="A53" t="s">
        <v>9</v>
      </c>
      <c r="B53">
        <f t="shared" si="4"/>
        <v>0</v>
      </c>
      <c r="C53">
        <f t="shared" si="4"/>
        <v>0</v>
      </c>
      <c r="D53">
        <f t="shared" si="4"/>
        <v>0</v>
      </c>
      <c r="E53">
        <f t="shared" si="4"/>
        <v>0</v>
      </c>
      <c r="F53">
        <f t="shared" si="4"/>
        <v>0</v>
      </c>
      <c r="G53">
        <f t="shared" si="4"/>
        <v>0.1414</v>
      </c>
      <c r="H53">
        <f t="shared" si="4"/>
        <v>7.0699999999999999E-2</v>
      </c>
      <c r="I53">
        <f t="shared" si="4"/>
        <v>0</v>
      </c>
      <c r="J53">
        <f t="shared" si="4"/>
        <v>7.0699999999999999E-2</v>
      </c>
      <c r="K53">
        <f t="shared" si="4"/>
        <v>0</v>
      </c>
      <c r="L53">
        <f t="shared" si="4"/>
        <v>8.3699999999999997E-2</v>
      </c>
      <c r="M53">
        <f t="shared" si="4"/>
        <v>0</v>
      </c>
    </row>
    <row r="54" spans="1:13" x14ac:dyDescent="0.3">
      <c r="A54" t="s">
        <v>10</v>
      </c>
      <c r="B54">
        <f t="shared" si="4"/>
        <v>0</v>
      </c>
      <c r="C54">
        <f t="shared" si="4"/>
        <v>0</v>
      </c>
      <c r="D54">
        <f t="shared" si="4"/>
        <v>0.1414</v>
      </c>
      <c r="E54">
        <f t="shared" si="4"/>
        <v>0</v>
      </c>
      <c r="F54">
        <f t="shared" si="4"/>
        <v>0</v>
      </c>
      <c r="G54">
        <f t="shared" si="4"/>
        <v>0</v>
      </c>
      <c r="H54">
        <f t="shared" si="4"/>
        <v>0</v>
      </c>
      <c r="I54">
        <f t="shared" si="4"/>
        <v>0</v>
      </c>
      <c r="J54">
        <f t="shared" si="4"/>
        <v>0</v>
      </c>
      <c r="K54">
        <f t="shared" si="4"/>
        <v>0</v>
      </c>
      <c r="L54">
        <f t="shared" si="4"/>
        <v>0</v>
      </c>
      <c r="M54">
        <f t="shared" si="4"/>
        <v>0.251</v>
      </c>
    </row>
    <row r="55" spans="1:13" x14ac:dyDescent="0.3">
      <c r="A55" t="s">
        <v>11</v>
      </c>
      <c r="B55">
        <f t="shared" si="4"/>
        <v>0.1414</v>
      </c>
      <c r="C55">
        <f t="shared" si="4"/>
        <v>8.3699999999999997E-2</v>
      </c>
      <c r="D55">
        <f t="shared" si="4"/>
        <v>8.3699999999999997E-2</v>
      </c>
      <c r="E55">
        <f t="shared" si="4"/>
        <v>0</v>
      </c>
      <c r="F55">
        <f t="shared" si="4"/>
        <v>0</v>
      </c>
      <c r="G55">
        <f t="shared" si="4"/>
        <v>0</v>
      </c>
      <c r="H55">
        <f t="shared" si="4"/>
        <v>0</v>
      </c>
      <c r="I55">
        <f t="shared" si="4"/>
        <v>7.0699999999999999E-2</v>
      </c>
      <c r="J55">
        <f t="shared" si="4"/>
        <v>8.3699999999999997E-2</v>
      </c>
      <c r="K55">
        <f t="shared" si="4"/>
        <v>0.1414</v>
      </c>
      <c r="L55">
        <f t="shared" si="4"/>
        <v>5.4800000000000001E-2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0.3795</v>
      </c>
      <c r="D58">
        <f t="shared" si="6"/>
        <v>0.3795</v>
      </c>
      <c r="E58">
        <f t="shared" si="6"/>
        <v>0.21210000000000001</v>
      </c>
      <c r="F58">
        <f t="shared" si="6"/>
        <v>0.1095</v>
      </c>
      <c r="G58">
        <f t="shared" si="6"/>
        <v>6.3200000000000006E-2</v>
      </c>
      <c r="H58">
        <f t="shared" si="6"/>
        <v>7.0699999999999999E-2</v>
      </c>
      <c r="I58">
        <f t="shared" si="6"/>
        <v>3.1600000000000003E-2</v>
      </c>
      <c r="J58">
        <f t="shared" si="6"/>
        <v>0.3795</v>
      </c>
      <c r="K58">
        <f t="shared" si="6"/>
        <v>0.1414</v>
      </c>
      <c r="L58">
        <f t="shared" si="6"/>
        <v>0.1095</v>
      </c>
      <c r="M58">
        <f t="shared" si="6"/>
        <v>0.1414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0.21210000000000001</v>
      </c>
      <c r="C59">
        <f t="shared" si="7"/>
        <v>0</v>
      </c>
      <c r="D59">
        <f t="shared" si="7"/>
        <v>0.3795</v>
      </c>
      <c r="E59">
        <f t="shared" si="7"/>
        <v>0.3347</v>
      </c>
      <c r="F59">
        <f t="shared" si="7"/>
        <v>0.3347</v>
      </c>
      <c r="G59">
        <f t="shared" si="7"/>
        <v>0.3795</v>
      </c>
      <c r="H59">
        <f t="shared" si="7"/>
        <v>0.3347</v>
      </c>
      <c r="I59">
        <f t="shared" si="7"/>
        <v>0.21210000000000001</v>
      </c>
      <c r="J59">
        <f t="shared" si="7"/>
        <v>0.1414</v>
      </c>
      <c r="K59">
        <f t="shared" si="7"/>
        <v>0.3795</v>
      </c>
      <c r="L59">
        <f t="shared" si="7"/>
        <v>0.21210000000000001</v>
      </c>
      <c r="M59">
        <f t="shared" si="7"/>
        <v>0.3795</v>
      </c>
    </row>
    <row r="60" spans="1:13" x14ac:dyDescent="0.3">
      <c r="A60" t="s">
        <v>2</v>
      </c>
      <c r="B60">
        <f t="shared" si="7"/>
        <v>0.251</v>
      </c>
      <c r="C60">
        <f t="shared" si="7"/>
        <v>0.1414</v>
      </c>
      <c r="D60">
        <f t="shared" si="7"/>
        <v>0</v>
      </c>
      <c r="E60">
        <f t="shared" si="7"/>
        <v>5.4800000000000001E-2</v>
      </c>
      <c r="F60">
        <f t="shared" si="7"/>
        <v>0.1095</v>
      </c>
      <c r="G60">
        <f t="shared" si="7"/>
        <v>5.4800000000000001E-2</v>
      </c>
      <c r="H60">
        <f t="shared" si="7"/>
        <v>0.2828</v>
      </c>
      <c r="I60">
        <f t="shared" si="7"/>
        <v>0.1414</v>
      </c>
      <c r="J60">
        <f t="shared" si="7"/>
        <v>0.3795</v>
      </c>
      <c r="K60">
        <f t="shared" si="7"/>
        <v>0.3347</v>
      </c>
      <c r="L60">
        <f t="shared" si="7"/>
        <v>0.3795</v>
      </c>
      <c r="M60">
        <f t="shared" si="7"/>
        <v>0.3795</v>
      </c>
    </row>
    <row r="61" spans="1:13" x14ac:dyDescent="0.3">
      <c r="A61" t="s">
        <v>3</v>
      </c>
      <c r="B61">
        <f t="shared" si="7"/>
        <v>0.21210000000000001</v>
      </c>
      <c r="C61">
        <f t="shared" si="7"/>
        <v>5.4800000000000001E-2</v>
      </c>
      <c r="D61">
        <f t="shared" si="7"/>
        <v>0.1414</v>
      </c>
      <c r="E61">
        <f t="shared" si="7"/>
        <v>0</v>
      </c>
      <c r="F61">
        <f t="shared" si="7"/>
        <v>0.1414</v>
      </c>
      <c r="G61">
        <f t="shared" si="7"/>
        <v>5.4800000000000001E-2</v>
      </c>
      <c r="H61">
        <f t="shared" si="7"/>
        <v>0.3795</v>
      </c>
      <c r="I61">
        <f t="shared" si="7"/>
        <v>8.3699999999999997E-2</v>
      </c>
      <c r="J61">
        <f t="shared" si="7"/>
        <v>0.3795</v>
      </c>
      <c r="K61">
        <f t="shared" si="7"/>
        <v>7.0699999999999999E-2</v>
      </c>
      <c r="L61">
        <f t="shared" si="7"/>
        <v>0.3347</v>
      </c>
      <c r="M61">
        <f t="shared" si="7"/>
        <v>5.4800000000000001E-2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0.1095</v>
      </c>
      <c r="C62">
        <f t="shared" si="8"/>
        <v>0.21210000000000001</v>
      </c>
      <c r="D62">
        <f t="shared" si="8"/>
        <v>5.4800000000000001E-2</v>
      </c>
      <c r="E62">
        <f t="shared" si="8"/>
        <v>5.4800000000000001E-2</v>
      </c>
      <c r="F62">
        <f t="shared" si="8"/>
        <v>0</v>
      </c>
      <c r="G62">
        <f t="shared" si="8"/>
        <v>0.3347</v>
      </c>
      <c r="H62">
        <f t="shared" si="8"/>
        <v>3.1600000000000003E-2</v>
      </c>
      <c r="I62">
        <f t="shared" si="8"/>
        <v>0.1095</v>
      </c>
      <c r="J62">
        <f t="shared" si="8"/>
        <v>0.3347</v>
      </c>
      <c r="K62">
        <f t="shared" si="8"/>
        <v>0.3347</v>
      </c>
      <c r="L62">
        <f t="shared" si="8"/>
        <v>5.4800000000000001E-2</v>
      </c>
      <c r="M62">
        <f t="shared" si="8"/>
        <v>0.21210000000000001</v>
      </c>
    </row>
    <row r="63" spans="1:13" x14ac:dyDescent="0.3">
      <c r="A63" t="s">
        <v>5</v>
      </c>
      <c r="B63">
        <f t="shared" si="7"/>
        <v>0.1095</v>
      </c>
      <c r="C63">
        <f t="shared" si="7"/>
        <v>0.1414</v>
      </c>
      <c r="D63">
        <f t="shared" si="7"/>
        <v>6.3200000000000006E-2</v>
      </c>
      <c r="E63">
        <f t="shared" si="7"/>
        <v>5.4800000000000001E-2</v>
      </c>
      <c r="F63">
        <f t="shared" si="7"/>
        <v>0.1095</v>
      </c>
      <c r="G63">
        <f t="shared" si="7"/>
        <v>0</v>
      </c>
      <c r="H63">
        <f t="shared" si="7"/>
        <v>6.3200000000000006E-2</v>
      </c>
      <c r="I63">
        <f t="shared" si="7"/>
        <v>7.0699999999999999E-2</v>
      </c>
      <c r="J63">
        <f t="shared" si="7"/>
        <v>0.3795</v>
      </c>
      <c r="K63">
        <f t="shared" si="7"/>
        <v>7.0699999999999999E-2</v>
      </c>
      <c r="L63">
        <f t="shared" si="7"/>
        <v>0.251</v>
      </c>
      <c r="M63">
        <f t="shared" si="7"/>
        <v>7.0699999999999999E-2</v>
      </c>
    </row>
    <row r="64" spans="1:13" x14ac:dyDescent="0.3">
      <c r="A64" t="s">
        <v>6</v>
      </c>
      <c r="B64">
        <f t="shared" si="7"/>
        <v>0.1095</v>
      </c>
      <c r="C64">
        <f t="shared" si="7"/>
        <v>5.4800000000000001E-2</v>
      </c>
      <c r="D64">
        <f t="shared" si="7"/>
        <v>0.1414</v>
      </c>
      <c r="E64">
        <f t="shared" si="7"/>
        <v>0.1095</v>
      </c>
      <c r="F64">
        <f t="shared" si="7"/>
        <v>7.0699999999999999E-2</v>
      </c>
      <c r="G64">
        <f t="shared" si="7"/>
        <v>0.1414</v>
      </c>
      <c r="H64">
        <f t="shared" si="7"/>
        <v>0</v>
      </c>
      <c r="I64">
        <f t="shared" si="7"/>
        <v>6.3200000000000006E-2</v>
      </c>
      <c r="J64">
        <f t="shared" si="7"/>
        <v>7.0699999999999999E-2</v>
      </c>
      <c r="K64">
        <f t="shared" si="7"/>
        <v>0.251</v>
      </c>
      <c r="L64">
        <f t="shared" si="7"/>
        <v>0.21210000000000001</v>
      </c>
      <c r="M64">
        <f t="shared" si="7"/>
        <v>5.4800000000000001E-2</v>
      </c>
    </row>
    <row r="65" spans="1:13" x14ac:dyDescent="0.3">
      <c r="A65" t="s">
        <v>7</v>
      </c>
      <c r="B65">
        <f t="shared" si="7"/>
        <v>0.21210000000000001</v>
      </c>
      <c r="C65">
        <f t="shared" si="7"/>
        <v>7.0699999999999999E-2</v>
      </c>
      <c r="D65">
        <f t="shared" si="7"/>
        <v>7.0699999999999999E-2</v>
      </c>
      <c r="E65">
        <f t="shared" si="7"/>
        <v>0.1414</v>
      </c>
      <c r="F65">
        <f t="shared" si="7"/>
        <v>7.0699999999999999E-2</v>
      </c>
      <c r="G65">
        <f t="shared" si="7"/>
        <v>0.1095</v>
      </c>
      <c r="H65">
        <f t="shared" si="7"/>
        <v>0.1095</v>
      </c>
      <c r="I65">
        <f t="shared" si="7"/>
        <v>0</v>
      </c>
      <c r="J65">
        <f t="shared" si="7"/>
        <v>7.0699999999999999E-2</v>
      </c>
      <c r="K65">
        <f t="shared" si="7"/>
        <v>0.3795</v>
      </c>
      <c r="L65">
        <f t="shared" si="7"/>
        <v>0.3795</v>
      </c>
      <c r="M65">
        <f t="shared" si="7"/>
        <v>0.3795</v>
      </c>
    </row>
    <row r="66" spans="1:13" x14ac:dyDescent="0.3">
      <c r="A66" t="s">
        <v>8</v>
      </c>
      <c r="B66">
        <f t="shared" si="7"/>
        <v>0.251</v>
      </c>
      <c r="C66">
        <f t="shared" si="7"/>
        <v>5.4800000000000001E-2</v>
      </c>
      <c r="D66">
        <f t="shared" si="7"/>
        <v>7.0699999999999999E-2</v>
      </c>
      <c r="E66">
        <f t="shared" si="7"/>
        <v>0.1414</v>
      </c>
      <c r="F66">
        <f t="shared" si="7"/>
        <v>0.1414</v>
      </c>
      <c r="G66">
        <f t="shared" si="7"/>
        <v>7.0699999999999999E-2</v>
      </c>
      <c r="H66">
        <f t="shared" si="7"/>
        <v>0.3347</v>
      </c>
      <c r="I66">
        <f t="shared" si="7"/>
        <v>0.1673</v>
      </c>
      <c r="J66">
        <f t="shared" si="7"/>
        <v>0</v>
      </c>
      <c r="K66">
        <f t="shared" si="7"/>
        <v>0.3795</v>
      </c>
      <c r="L66">
        <f t="shared" si="7"/>
        <v>0.3795</v>
      </c>
      <c r="M66">
        <f t="shared" si="7"/>
        <v>0.3795</v>
      </c>
    </row>
    <row r="67" spans="1:13" x14ac:dyDescent="0.3">
      <c r="A67" t="s">
        <v>9</v>
      </c>
      <c r="B67">
        <f t="shared" si="7"/>
        <v>7.0699999999999999E-2</v>
      </c>
      <c r="C67">
        <f t="shared" si="7"/>
        <v>5.4800000000000001E-2</v>
      </c>
      <c r="D67">
        <f t="shared" si="7"/>
        <v>7.0699999999999999E-2</v>
      </c>
      <c r="E67">
        <f t="shared" si="7"/>
        <v>5.4800000000000001E-2</v>
      </c>
      <c r="F67">
        <f t="shared" si="7"/>
        <v>5.4800000000000001E-2</v>
      </c>
      <c r="G67">
        <f t="shared" si="7"/>
        <v>0.21210000000000001</v>
      </c>
      <c r="H67">
        <f t="shared" si="7"/>
        <v>0.1414</v>
      </c>
      <c r="I67">
        <f t="shared" si="7"/>
        <v>7.0699999999999999E-2</v>
      </c>
      <c r="J67">
        <f t="shared" si="7"/>
        <v>0.1414</v>
      </c>
      <c r="K67">
        <f t="shared" si="7"/>
        <v>0</v>
      </c>
      <c r="L67">
        <f t="shared" si="7"/>
        <v>0.1673</v>
      </c>
      <c r="M67">
        <f t="shared" si="7"/>
        <v>7.0699999999999999E-2</v>
      </c>
    </row>
    <row r="68" spans="1:13" x14ac:dyDescent="0.3">
      <c r="A68" t="s">
        <v>10</v>
      </c>
      <c r="B68">
        <f t="shared" si="7"/>
        <v>7.0699999999999999E-2</v>
      </c>
      <c r="C68">
        <f t="shared" si="7"/>
        <v>7.0699999999999999E-2</v>
      </c>
      <c r="D68">
        <f t="shared" si="7"/>
        <v>0.21210000000000001</v>
      </c>
      <c r="E68">
        <f t="shared" si="7"/>
        <v>8.3699999999999997E-2</v>
      </c>
      <c r="F68">
        <f t="shared" si="7"/>
        <v>5.4800000000000001E-2</v>
      </c>
      <c r="G68">
        <f t="shared" si="7"/>
        <v>3.1600000000000003E-2</v>
      </c>
      <c r="H68">
        <f t="shared" si="7"/>
        <v>5.4800000000000001E-2</v>
      </c>
      <c r="I68">
        <f t="shared" si="7"/>
        <v>7.0699999999999999E-2</v>
      </c>
      <c r="J68">
        <f t="shared" si="7"/>
        <v>7.0699999999999999E-2</v>
      </c>
      <c r="K68">
        <f t="shared" si="7"/>
        <v>7.0699999999999999E-2</v>
      </c>
      <c r="L68">
        <f t="shared" si="7"/>
        <v>0</v>
      </c>
      <c r="M68">
        <f t="shared" si="7"/>
        <v>0.3347</v>
      </c>
    </row>
    <row r="69" spans="1:13" x14ac:dyDescent="0.3">
      <c r="A69" t="s">
        <v>11</v>
      </c>
      <c r="B69">
        <f t="shared" si="7"/>
        <v>0.21210000000000001</v>
      </c>
      <c r="C69">
        <f t="shared" si="7"/>
        <v>0.1673</v>
      </c>
      <c r="D69">
        <f t="shared" si="7"/>
        <v>0.1673</v>
      </c>
      <c r="E69">
        <f t="shared" si="7"/>
        <v>7.0699999999999999E-2</v>
      </c>
      <c r="F69">
        <f t="shared" si="7"/>
        <v>7.0699999999999999E-2</v>
      </c>
      <c r="G69">
        <f t="shared" si="7"/>
        <v>3.1600000000000003E-2</v>
      </c>
      <c r="H69">
        <f t="shared" si="7"/>
        <v>5.4800000000000001E-2</v>
      </c>
      <c r="I69">
        <f t="shared" si="7"/>
        <v>0.1414</v>
      </c>
      <c r="J69">
        <f t="shared" si="7"/>
        <v>0.1673</v>
      </c>
      <c r="K69">
        <f t="shared" si="7"/>
        <v>0.21210000000000001</v>
      </c>
      <c r="L69">
        <f t="shared" si="7"/>
        <v>0.1095</v>
      </c>
      <c r="M69">
        <f t="shared" si="7"/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8"/>
  <dimension ref="A1:M69"/>
  <sheetViews>
    <sheetView workbookViewId="0">
      <selection activeCell="A15" sqref="A15:M69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13</v>
      </c>
      <c r="D2" t="s">
        <v>21</v>
      </c>
      <c r="E2" t="s">
        <v>20</v>
      </c>
      <c r="F2" t="s">
        <v>21</v>
      </c>
      <c r="G2" t="s">
        <v>16</v>
      </c>
      <c r="H2" t="s">
        <v>71</v>
      </c>
      <c r="I2" t="s">
        <v>16</v>
      </c>
      <c r="J2" t="s">
        <v>13</v>
      </c>
      <c r="K2" t="s">
        <v>15</v>
      </c>
      <c r="L2" t="s">
        <v>15</v>
      </c>
      <c r="M2" t="s">
        <v>24</v>
      </c>
    </row>
    <row r="3" spans="1:13" x14ac:dyDescent="0.3">
      <c r="A3" s="1" t="s">
        <v>1</v>
      </c>
      <c r="B3" t="s">
        <v>15</v>
      </c>
      <c r="C3">
        <v>0</v>
      </c>
      <c r="D3" t="s">
        <v>18</v>
      </c>
      <c r="E3" t="s">
        <v>25</v>
      </c>
      <c r="F3" t="s">
        <v>15</v>
      </c>
      <c r="G3" t="s">
        <v>18</v>
      </c>
      <c r="H3" t="s">
        <v>25</v>
      </c>
      <c r="I3" t="s">
        <v>15</v>
      </c>
      <c r="J3" t="s">
        <v>13</v>
      </c>
      <c r="K3" t="s">
        <v>18</v>
      </c>
      <c r="L3" t="s">
        <v>18</v>
      </c>
      <c r="M3" t="s">
        <v>18</v>
      </c>
    </row>
    <row r="4" spans="1:13" x14ac:dyDescent="0.3">
      <c r="A4" s="1" t="s">
        <v>2</v>
      </c>
      <c r="B4" t="s">
        <v>15</v>
      </c>
      <c r="C4" t="s">
        <v>16</v>
      </c>
      <c r="D4">
        <v>0</v>
      </c>
      <c r="E4" t="s">
        <v>62</v>
      </c>
      <c r="F4" t="s">
        <v>15</v>
      </c>
      <c r="G4" t="s">
        <v>23</v>
      </c>
      <c r="H4" t="s">
        <v>22</v>
      </c>
      <c r="I4" t="s">
        <v>16</v>
      </c>
      <c r="J4" t="s">
        <v>13</v>
      </c>
      <c r="K4" t="s">
        <v>25</v>
      </c>
      <c r="L4" t="s">
        <v>12</v>
      </c>
      <c r="M4" t="s">
        <v>13</v>
      </c>
    </row>
    <row r="5" spans="1:13" x14ac:dyDescent="0.3">
      <c r="A5" s="1" t="s">
        <v>3</v>
      </c>
      <c r="B5" t="s">
        <v>24</v>
      </c>
      <c r="C5" t="s">
        <v>24</v>
      </c>
      <c r="D5" t="s">
        <v>22</v>
      </c>
      <c r="E5">
        <v>0</v>
      </c>
      <c r="F5" t="s">
        <v>24</v>
      </c>
      <c r="G5" t="s">
        <v>16</v>
      </c>
      <c r="H5" t="s">
        <v>13</v>
      </c>
      <c r="I5" t="s">
        <v>15</v>
      </c>
      <c r="J5" t="s">
        <v>25</v>
      </c>
      <c r="K5" t="s">
        <v>23</v>
      </c>
      <c r="L5" t="s">
        <v>13</v>
      </c>
      <c r="M5" t="s">
        <v>15</v>
      </c>
    </row>
    <row r="6" spans="1:13" x14ac:dyDescent="0.3">
      <c r="A6" s="1" t="s">
        <v>4</v>
      </c>
      <c r="B6" t="s">
        <v>16</v>
      </c>
      <c r="C6" t="s">
        <v>22</v>
      </c>
      <c r="D6" t="s">
        <v>16</v>
      </c>
      <c r="E6" t="s">
        <v>20</v>
      </c>
      <c r="F6">
        <v>0</v>
      </c>
      <c r="G6" t="s">
        <v>25</v>
      </c>
      <c r="H6" t="s">
        <v>20</v>
      </c>
      <c r="I6" t="s">
        <v>24</v>
      </c>
      <c r="J6" t="s">
        <v>25</v>
      </c>
      <c r="K6" t="s">
        <v>13</v>
      </c>
      <c r="L6" t="s">
        <v>20</v>
      </c>
      <c r="M6" t="s">
        <v>20</v>
      </c>
    </row>
    <row r="7" spans="1:13" x14ac:dyDescent="0.3">
      <c r="A7" s="1" t="s">
        <v>5</v>
      </c>
      <c r="B7" t="s">
        <v>71</v>
      </c>
      <c r="C7" t="s">
        <v>22</v>
      </c>
      <c r="D7" t="s">
        <v>20</v>
      </c>
      <c r="E7" t="s">
        <v>15</v>
      </c>
      <c r="F7" t="s">
        <v>15</v>
      </c>
      <c r="G7">
        <v>0</v>
      </c>
      <c r="H7" t="s">
        <v>16</v>
      </c>
      <c r="I7" t="s">
        <v>16</v>
      </c>
      <c r="J7" t="s">
        <v>18</v>
      </c>
      <c r="K7" t="s">
        <v>23</v>
      </c>
      <c r="L7" t="s">
        <v>24</v>
      </c>
      <c r="M7" t="s">
        <v>15</v>
      </c>
    </row>
    <row r="8" spans="1:13" x14ac:dyDescent="0.3">
      <c r="A8" s="1" t="s">
        <v>6</v>
      </c>
      <c r="B8" t="s">
        <v>16</v>
      </c>
      <c r="C8" t="s">
        <v>15</v>
      </c>
      <c r="D8" t="s">
        <v>16</v>
      </c>
      <c r="E8" t="s">
        <v>16</v>
      </c>
      <c r="F8" t="s">
        <v>15</v>
      </c>
      <c r="G8" t="s">
        <v>24</v>
      </c>
      <c r="H8">
        <v>0</v>
      </c>
      <c r="I8" t="s">
        <v>22</v>
      </c>
      <c r="J8" t="s">
        <v>20</v>
      </c>
      <c r="K8" t="s">
        <v>15</v>
      </c>
      <c r="L8" t="s">
        <v>71</v>
      </c>
      <c r="M8" t="s">
        <v>23</v>
      </c>
    </row>
    <row r="9" spans="1:13" x14ac:dyDescent="0.3">
      <c r="A9" s="1" t="s">
        <v>7</v>
      </c>
      <c r="B9" t="s">
        <v>22</v>
      </c>
      <c r="C9" t="s">
        <v>15</v>
      </c>
      <c r="D9" t="s">
        <v>16</v>
      </c>
      <c r="E9" t="s">
        <v>15</v>
      </c>
      <c r="F9" t="s">
        <v>16</v>
      </c>
      <c r="G9" t="s">
        <v>17</v>
      </c>
      <c r="H9" t="s">
        <v>71</v>
      </c>
      <c r="I9">
        <v>0</v>
      </c>
      <c r="J9" t="s">
        <v>13</v>
      </c>
      <c r="K9" t="s">
        <v>25</v>
      </c>
      <c r="L9" t="s">
        <v>18</v>
      </c>
      <c r="M9" t="s">
        <v>25</v>
      </c>
    </row>
    <row r="10" spans="1:13" x14ac:dyDescent="0.3">
      <c r="A10" s="1" t="s">
        <v>8</v>
      </c>
      <c r="B10" t="s">
        <v>12</v>
      </c>
      <c r="C10" t="s">
        <v>71</v>
      </c>
      <c r="D10" t="s">
        <v>15</v>
      </c>
      <c r="E10" t="s">
        <v>24</v>
      </c>
      <c r="F10" t="s">
        <v>16</v>
      </c>
      <c r="G10" t="s">
        <v>20</v>
      </c>
      <c r="H10" t="s">
        <v>25</v>
      </c>
      <c r="I10" t="s">
        <v>16</v>
      </c>
      <c r="J10">
        <v>0</v>
      </c>
      <c r="K10" t="s">
        <v>18</v>
      </c>
      <c r="L10" t="s">
        <v>25</v>
      </c>
      <c r="M10" t="s">
        <v>13</v>
      </c>
    </row>
    <row r="11" spans="1:13" x14ac:dyDescent="0.3">
      <c r="A11" s="1" t="s">
        <v>9</v>
      </c>
      <c r="B11" t="s">
        <v>15</v>
      </c>
      <c r="C11" t="s">
        <v>16</v>
      </c>
      <c r="D11" t="s">
        <v>16</v>
      </c>
      <c r="E11" t="s">
        <v>71</v>
      </c>
      <c r="F11" t="s">
        <v>22</v>
      </c>
      <c r="G11" t="s">
        <v>24</v>
      </c>
      <c r="H11" t="s">
        <v>23</v>
      </c>
      <c r="I11" t="s">
        <v>20</v>
      </c>
      <c r="J11" t="s">
        <v>16</v>
      </c>
      <c r="K11">
        <v>0</v>
      </c>
      <c r="L11" t="s">
        <v>20</v>
      </c>
      <c r="M11" t="s">
        <v>16</v>
      </c>
    </row>
    <row r="12" spans="1:13" x14ac:dyDescent="0.3">
      <c r="A12" s="1" t="s">
        <v>10</v>
      </c>
      <c r="B12" t="s">
        <v>23</v>
      </c>
      <c r="C12" t="s">
        <v>15</v>
      </c>
      <c r="D12" t="s">
        <v>22</v>
      </c>
      <c r="E12" t="s">
        <v>15</v>
      </c>
      <c r="F12" t="s">
        <v>15</v>
      </c>
      <c r="G12" t="s">
        <v>17</v>
      </c>
      <c r="H12" t="s">
        <v>16</v>
      </c>
      <c r="I12" t="s">
        <v>20</v>
      </c>
      <c r="J12" t="s">
        <v>16</v>
      </c>
      <c r="K12" t="s">
        <v>16</v>
      </c>
      <c r="L12">
        <v>0</v>
      </c>
      <c r="M12" t="s">
        <v>18</v>
      </c>
    </row>
    <row r="13" spans="1:13" x14ac:dyDescent="0.3">
      <c r="A13" s="1" t="s">
        <v>11</v>
      </c>
      <c r="B13" t="s">
        <v>16</v>
      </c>
      <c r="C13" t="s">
        <v>20</v>
      </c>
      <c r="D13" t="s">
        <v>23</v>
      </c>
      <c r="E13" t="s">
        <v>20</v>
      </c>
      <c r="F13" t="s">
        <v>15</v>
      </c>
      <c r="G13" t="s">
        <v>71</v>
      </c>
      <c r="H13" t="s">
        <v>62</v>
      </c>
      <c r="I13" t="s">
        <v>24</v>
      </c>
      <c r="J13" t="s">
        <v>22</v>
      </c>
      <c r="K13" t="s">
        <v>20</v>
      </c>
      <c r="L13" t="s">
        <v>16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(0,1897; 0,2846; 0,3795)</v>
      </c>
      <c r="D16" t="str">
        <f>VLOOKUP(D2,'Thang đánh giá'!$C$2:$D$27,2,FALSE)</f>
        <v>(0,0837; 0,1673; 0,251)</v>
      </c>
      <c r="E16" t="str">
        <f>VLOOKUP(E2,'Thang đánh giá'!$C$2:$D$27,2,FALSE)</f>
        <v>(0; 0,0548; 0,1095)</v>
      </c>
      <c r="F16" t="str">
        <f>VLOOKUP(F2,'Thang đánh giá'!$C$2:$D$27,2,FALSE)</f>
        <v>(0,0837; 0,1673; 0,251)</v>
      </c>
      <c r="G16" t="str">
        <f>VLOOKUP(G2,'Thang đánh giá'!$C$2:$D$27,2,FALSE)</f>
        <v>(0; 0; 0,0707)</v>
      </c>
      <c r="H16" t="str">
        <f>VLOOKUP(H2,'Thang đánh giá'!$C$2:$D$27,2,FALSE)</f>
        <v>(0; 0; 0,0837)</v>
      </c>
      <c r="I16" t="str">
        <f>VLOOKUP(I2,'Thang đánh giá'!$C$2:$D$27,2,FALSE)</f>
        <v>(0; 0; 0,0707)</v>
      </c>
      <c r="J16" t="str">
        <f>VLOOKUP(J2,'Thang đánh giá'!$C$2:$D$27,2,FALSE)</f>
        <v>(0,1897; 0,2846; 0,3795)</v>
      </c>
      <c r="K16" t="str">
        <f>VLOOKUP(K2,'Thang đánh giá'!$C$2:$D$27,2,FALSE)</f>
        <v>(0; 0,0707; 0,1414)</v>
      </c>
      <c r="L16" t="str">
        <f>VLOOKUP(L2,'Thang đánh giá'!$C$2:$D$27,2,FALSE)</f>
        <v>(0; 0,0707; 0,1414)</v>
      </c>
      <c r="M16" t="str">
        <f>VLOOKUP(M2,'Thang đánh giá'!$C$2:$D$27,2,FALSE)</f>
        <v>(0; 0; 0,0548)</v>
      </c>
    </row>
    <row r="17" spans="1:13" x14ac:dyDescent="0.3">
      <c r="A17" t="s">
        <v>1</v>
      </c>
      <c r="B17" t="str">
        <f>VLOOKUP(B3,'Thang đánh giá'!$C$2:$D$27,2,FALSE)</f>
        <v>(0; 0,0707; 0,1414)</v>
      </c>
      <c r="C17" t="str">
        <f>VLOOKUP(C3,'Thang đánh giá'!$C$2:$D$27,2,FALSE)</f>
        <v>(0; 0; 0)</v>
      </c>
      <c r="D17" t="str">
        <f>VLOOKUP(D3,'Thang đánh giá'!$C$2:$D$27,2,FALSE)</f>
        <v>(0,2846; 0,3795; 0,3795)</v>
      </c>
      <c r="E17" t="str">
        <f>VLOOKUP(E3,'Thang đánh giá'!$C$2:$D$27,2,FALSE)</f>
        <v>(0,251; 0,3347; 0,3347)</v>
      </c>
      <c r="F17" t="str">
        <f>VLOOKUP(F3,'Thang đánh giá'!$C$2:$D$27,2,FALSE)</f>
        <v>(0; 0,0707; 0,1414)</v>
      </c>
      <c r="G17" t="str">
        <f>VLOOKUP(G3,'Thang đánh giá'!$C$2:$D$27,2,FALSE)</f>
        <v>(0,2846; 0,3795; 0,3795)</v>
      </c>
      <c r="H17" t="str">
        <f>VLOOKUP(H3,'Thang đánh giá'!$C$2:$D$27,2,FALSE)</f>
        <v>(0,251; 0,3347; 0,3347)</v>
      </c>
      <c r="I17" t="str">
        <f>VLOOKUP(I3,'Thang đánh giá'!$C$2:$D$27,2,FALSE)</f>
        <v>(0; 0,0707; 0,1414)</v>
      </c>
      <c r="J17" t="str">
        <f>VLOOKUP(J3,'Thang đánh giá'!$C$2:$D$27,2,FALSE)</f>
        <v>(0,1897; 0,2846; 0,3795)</v>
      </c>
      <c r="K17" t="str">
        <f>VLOOKUP(K3,'Thang đánh giá'!$C$2:$D$27,2,FALSE)</f>
        <v>(0,2846; 0,3795; 0,3795)</v>
      </c>
      <c r="L17" t="str">
        <f>VLOOKUP(L3,'Thang đánh giá'!$C$2:$D$27,2,FALSE)</f>
        <v>(0,2846; 0,3795; 0,3795)</v>
      </c>
      <c r="M17" t="str">
        <f>VLOOKUP(M3,'Thang đánh giá'!$C$2:$D$27,2,FALSE)</f>
        <v>(0,2846; 0,3795; 0,3795)</v>
      </c>
    </row>
    <row r="18" spans="1:13" x14ac:dyDescent="0.3">
      <c r="A18" t="s">
        <v>2</v>
      </c>
      <c r="B18" t="str">
        <f>VLOOKUP(B4,'Thang đánh giá'!$C$2:$D$27,2,FALSE)</f>
        <v>(0; 0,0707; 0,1414)</v>
      </c>
      <c r="C18" t="str">
        <f>VLOOKUP(C4,'Thang đánh giá'!$C$2:$D$27,2,FALSE)</f>
        <v>(0; 0; 0,0707)</v>
      </c>
      <c r="D18" t="str">
        <f>VLOOKUP(D4,'Thang đánh giá'!$C$2:$D$27,2,FALSE)</f>
        <v>(0; 0; 0)</v>
      </c>
      <c r="E18" t="str">
        <f>VLOOKUP(E4,'Thang đánh giá'!$C$2:$D$27,2,FALSE)</f>
        <v>(0; 0,0837; 0,1673)</v>
      </c>
      <c r="F18" t="str">
        <f>VLOOKUP(F4,'Thang đánh giá'!$C$2:$D$27,2,FALSE)</f>
        <v>(0; 0,0707; 0,1414)</v>
      </c>
      <c r="G18" t="str">
        <f>VLOOKUP(G4,'Thang đánh giá'!$C$2:$D$27,2,FALSE)</f>
        <v>(0; 0; 0,0316)</v>
      </c>
      <c r="H18" t="str">
        <f>VLOOKUP(H4,'Thang đánh giá'!$C$2:$D$27,2,FALSE)</f>
        <v>(0,0707; 0,1414; 0,2121)</v>
      </c>
      <c r="I18" t="str">
        <f>VLOOKUP(I4,'Thang đánh giá'!$C$2:$D$27,2,FALSE)</f>
        <v>(0; 0; 0,0707)</v>
      </c>
      <c r="J18" t="str">
        <f>VLOOKUP(J4,'Thang đánh giá'!$C$2:$D$27,2,FALSE)</f>
        <v>(0,1897; 0,2846; 0,3795)</v>
      </c>
      <c r="K18" t="str">
        <f>VLOOKUP(K4,'Thang đánh giá'!$C$2:$D$27,2,FALSE)</f>
        <v>(0,251; 0,3347; 0,3347)</v>
      </c>
      <c r="L18" t="str">
        <f>VLOOKUP(L4,'Thang đánh giá'!$C$2:$D$27,2,FALSE)</f>
        <v>(0,1673; 0,251; 0,3347)</v>
      </c>
      <c r="M18" t="str">
        <f>VLOOKUP(M4,'Thang đánh giá'!$C$2:$D$27,2,FALSE)</f>
        <v>(0,1897; 0,2846; 0,3795)</v>
      </c>
    </row>
    <row r="19" spans="1:13" x14ac:dyDescent="0.3">
      <c r="A19" t="s">
        <v>3</v>
      </c>
      <c r="B19" t="str">
        <f>VLOOKUP(B5,'Thang đánh giá'!$C$2:$D$27,2,FALSE)</f>
        <v>(0; 0; 0,0548)</v>
      </c>
      <c r="C19" t="str">
        <f>VLOOKUP(C5,'Thang đánh giá'!$C$2:$D$27,2,FALSE)</f>
        <v>(0; 0; 0,0548)</v>
      </c>
      <c r="D19" t="str">
        <f>VLOOKUP(D5,'Thang đánh giá'!$C$2:$D$27,2,FALSE)</f>
        <v>(0,0707; 0,1414; 0,2121)</v>
      </c>
      <c r="E19" t="str">
        <f>VLOOKUP(E5,'Thang đánh giá'!$C$2:$D$27,2,FALSE)</f>
        <v>(0; 0; 0)</v>
      </c>
      <c r="F19" t="str">
        <f>VLOOKUP(F5,'Thang đánh giá'!$C$2:$D$27,2,FALSE)</f>
        <v>(0; 0; 0,0548)</v>
      </c>
      <c r="G19" t="str">
        <f>VLOOKUP(G5,'Thang đánh giá'!$C$2:$D$27,2,FALSE)</f>
        <v>(0; 0; 0,0707)</v>
      </c>
      <c r="H19" t="str">
        <f>VLOOKUP(H5,'Thang đánh giá'!$C$2:$D$27,2,FALSE)</f>
        <v>(0,1897; 0,2846; 0,3795)</v>
      </c>
      <c r="I19" t="str">
        <f>VLOOKUP(I5,'Thang đánh giá'!$C$2:$D$27,2,FALSE)</f>
        <v>(0; 0,0707; 0,1414)</v>
      </c>
      <c r="J19" t="str">
        <f>VLOOKUP(J5,'Thang đánh giá'!$C$2:$D$27,2,FALSE)</f>
        <v>(0,251; 0,3347; 0,3347)</v>
      </c>
      <c r="K19" t="str">
        <f>VLOOKUP(K5,'Thang đánh giá'!$C$2:$D$27,2,FALSE)</f>
        <v>(0; 0; 0,0316)</v>
      </c>
      <c r="L19" t="str">
        <f>VLOOKUP(L5,'Thang đánh giá'!$C$2:$D$27,2,FALSE)</f>
        <v>(0,1897; 0,2846; 0,3795)</v>
      </c>
      <c r="M19" t="str">
        <f>VLOOKUP(M5,'Thang đánh giá'!$C$2:$D$27,2,FALSE)</f>
        <v>(0; 0,0707; 0,1414)</v>
      </c>
    </row>
    <row r="20" spans="1:13" x14ac:dyDescent="0.3">
      <c r="A20" t="s">
        <v>4</v>
      </c>
      <c r="B20" t="str">
        <f>VLOOKUP(B6,'Thang đánh giá'!$C$2:$D$27,2,FALSE)</f>
        <v>(0; 0; 0,0707)</v>
      </c>
      <c r="C20" t="str">
        <f>VLOOKUP(C6,'Thang đánh giá'!$C$2:$D$27,2,FALSE)</f>
        <v>(0,0707; 0,1414; 0,2121)</v>
      </c>
      <c r="D20" t="str">
        <f>VLOOKUP(D6,'Thang đánh giá'!$C$2:$D$27,2,FALSE)</f>
        <v>(0; 0; 0,0707)</v>
      </c>
      <c r="E20" t="str">
        <f>VLOOKUP(E6,'Thang đánh giá'!$C$2:$D$27,2,FALSE)</f>
        <v>(0; 0,0548; 0,1095)</v>
      </c>
      <c r="F20" t="str">
        <f>VLOOKUP(F6,'Thang đánh giá'!$C$2:$D$27,2,FALSE)</f>
        <v>(0; 0; 0)</v>
      </c>
      <c r="G20" t="str">
        <f>VLOOKUP(G6,'Thang đánh giá'!$C$2:$D$27,2,FALSE)</f>
        <v>(0,251; 0,3347; 0,3347)</v>
      </c>
      <c r="H20" t="str">
        <f>VLOOKUP(H6,'Thang đánh giá'!$C$2:$D$27,2,FALSE)</f>
        <v>(0; 0,0548; 0,1095)</v>
      </c>
      <c r="I20" t="str">
        <f>VLOOKUP(I6,'Thang đánh giá'!$C$2:$D$27,2,FALSE)</f>
        <v>(0; 0; 0,0548)</v>
      </c>
      <c r="J20" t="str">
        <f>VLOOKUP(J6,'Thang đánh giá'!$C$2:$D$27,2,FALSE)</f>
        <v>(0,251; 0,3347; 0,3347)</v>
      </c>
      <c r="K20" t="str">
        <f>VLOOKUP(K6,'Thang đánh giá'!$C$2:$D$27,2,FALSE)</f>
        <v>(0,1897; 0,2846; 0,3795)</v>
      </c>
      <c r="L20" t="str">
        <f>VLOOKUP(L6,'Thang đánh giá'!$C$2:$D$27,2,FALSE)</f>
        <v>(0; 0,0548; 0,1095)</v>
      </c>
      <c r="M20" t="str">
        <f>VLOOKUP(M6,'Thang đánh giá'!$C$2:$D$27,2,FALSE)</f>
        <v>(0; 0,0548; 0,1095)</v>
      </c>
    </row>
    <row r="21" spans="1:13" x14ac:dyDescent="0.3">
      <c r="A21" t="s">
        <v>5</v>
      </c>
      <c r="B21" t="str">
        <f>VLOOKUP(B7,'Thang đánh giá'!$C$2:$D$27,2,FALSE)</f>
        <v>(0; 0; 0,0837)</v>
      </c>
      <c r="C21" t="str">
        <f>VLOOKUP(C7,'Thang đánh giá'!$C$2:$D$27,2,FALSE)</f>
        <v>(0,0707; 0,1414; 0,2121)</v>
      </c>
      <c r="D21" t="str">
        <f>VLOOKUP(D7,'Thang đánh giá'!$C$2:$D$27,2,FALSE)</f>
        <v>(0; 0,0548; 0,1095)</v>
      </c>
      <c r="E21" t="str">
        <f>VLOOKUP(E7,'Thang đánh giá'!$C$2:$D$27,2,FALSE)</f>
        <v>(0; 0,0707; 0,1414)</v>
      </c>
      <c r="F21" t="str">
        <f>VLOOKUP(F7,'Thang đánh giá'!$C$2:$D$27,2,FALSE)</f>
        <v>(0; 0,0707; 0,1414)</v>
      </c>
      <c r="G21" t="str">
        <f>VLOOKUP(G7,'Thang đánh giá'!$C$2:$D$27,2,FALSE)</f>
        <v>(0; 0; 0)</v>
      </c>
      <c r="H21" t="str">
        <f>VLOOKUP(H7,'Thang đánh giá'!$C$2:$D$27,2,FALSE)</f>
        <v>(0; 0; 0,0707)</v>
      </c>
      <c r="I21" t="str">
        <f>VLOOKUP(I7,'Thang đánh giá'!$C$2:$D$27,2,FALSE)</f>
        <v>(0; 0; 0,0707)</v>
      </c>
      <c r="J21" t="str">
        <f>VLOOKUP(J7,'Thang đánh giá'!$C$2:$D$27,2,FALSE)</f>
        <v>(0,2846; 0,3795; 0,3795)</v>
      </c>
      <c r="K21" t="str">
        <f>VLOOKUP(K7,'Thang đánh giá'!$C$2:$D$27,2,FALSE)</f>
        <v>(0; 0; 0,0316)</v>
      </c>
      <c r="L21" t="str">
        <f>VLOOKUP(L7,'Thang đánh giá'!$C$2:$D$27,2,FALSE)</f>
        <v>(0; 0; 0,0548)</v>
      </c>
      <c r="M21" t="str">
        <f>VLOOKUP(M7,'Thang đánh giá'!$C$2:$D$27,2,FALSE)</f>
        <v>(0; 0,0707; 0,1414)</v>
      </c>
    </row>
    <row r="22" spans="1:13" x14ac:dyDescent="0.3">
      <c r="A22" t="s">
        <v>6</v>
      </c>
      <c r="B22" t="str">
        <f>VLOOKUP(B8,'Thang đánh giá'!$C$2:$D$27,2,FALSE)</f>
        <v>(0; 0; 0,0707)</v>
      </c>
      <c r="C22" t="str">
        <f>VLOOKUP(C8,'Thang đánh giá'!$C$2:$D$27,2,FALSE)</f>
        <v>(0; 0,0707; 0,1414)</v>
      </c>
      <c r="D22" t="str">
        <f>VLOOKUP(D8,'Thang đánh giá'!$C$2:$D$27,2,FALSE)</f>
        <v>(0; 0; 0,0707)</v>
      </c>
      <c r="E22" t="str">
        <f>VLOOKUP(E8,'Thang đánh giá'!$C$2:$D$27,2,FALSE)</f>
        <v>(0; 0; 0,0707)</v>
      </c>
      <c r="F22" t="str">
        <f>VLOOKUP(F8,'Thang đánh giá'!$C$2:$D$27,2,FALSE)</f>
        <v>(0; 0,0707; 0,1414)</v>
      </c>
      <c r="G22" t="str">
        <f>VLOOKUP(G8,'Thang đánh giá'!$C$2:$D$27,2,FALSE)</f>
        <v>(0; 0; 0,0548)</v>
      </c>
      <c r="H22" t="str">
        <f>VLOOKUP(H8,'Thang đánh giá'!$C$2:$D$27,2,FALSE)</f>
        <v>(0; 0; 0)</v>
      </c>
      <c r="I22" t="str">
        <f>VLOOKUP(I8,'Thang đánh giá'!$C$2:$D$27,2,FALSE)</f>
        <v>(0,0707; 0,1414; 0,2121)</v>
      </c>
      <c r="J22" t="str">
        <f>VLOOKUP(J8,'Thang đánh giá'!$C$2:$D$27,2,FALSE)</f>
        <v>(0; 0,0548; 0,1095)</v>
      </c>
      <c r="K22" t="str">
        <f>VLOOKUP(K8,'Thang đánh giá'!$C$2:$D$27,2,FALSE)</f>
        <v>(0; 0,0707; 0,1414)</v>
      </c>
      <c r="L22" t="str">
        <f>VLOOKUP(L8,'Thang đánh giá'!$C$2:$D$27,2,FALSE)</f>
        <v>(0; 0; 0,0837)</v>
      </c>
      <c r="M22" t="str">
        <f>VLOOKUP(M8,'Thang đánh giá'!$C$2:$D$27,2,FALSE)</f>
        <v>(0; 0; 0,0316)</v>
      </c>
    </row>
    <row r="23" spans="1:13" x14ac:dyDescent="0.3">
      <c r="A23" t="s">
        <v>7</v>
      </c>
      <c r="B23" t="str">
        <f>VLOOKUP(B9,'Thang đánh giá'!$C$2:$D$27,2,FALSE)</f>
        <v>(0,0707; 0,1414; 0,2121)</v>
      </c>
      <c r="C23" t="str">
        <f>VLOOKUP(C9,'Thang đánh giá'!$C$2:$D$27,2,FALSE)</f>
        <v>(0; 0,0707; 0,1414)</v>
      </c>
      <c r="D23" t="str">
        <f>VLOOKUP(D9,'Thang đánh giá'!$C$2:$D$27,2,FALSE)</f>
        <v>(0; 0; 0,0707)</v>
      </c>
      <c r="E23" t="str">
        <f>VLOOKUP(E9,'Thang đánh giá'!$C$2:$D$27,2,FALSE)</f>
        <v>(0; 0,0707; 0,1414)</v>
      </c>
      <c r="F23" t="str">
        <f>VLOOKUP(F9,'Thang đánh giá'!$C$2:$D$27,2,FALSE)</f>
        <v>(0; 0; 0,0707)</v>
      </c>
      <c r="G23" t="str">
        <f>VLOOKUP(G9,'Thang đánh giá'!$C$2:$D$27,2,FALSE)</f>
        <v>(0; 0,0316; 0,0632)</v>
      </c>
      <c r="H23" t="str">
        <f>VLOOKUP(H9,'Thang đánh giá'!$C$2:$D$27,2,FALSE)</f>
        <v>(0; 0; 0,0837)</v>
      </c>
      <c r="I23" t="str">
        <f>VLOOKUP(I9,'Thang đánh giá'!$C$2:$D$27,2,FALSE)</f>
        <v>(0; 0; 0)</v>
      </c>
      <c r="J23" t="str">
        <f>VLOOKUP(J9,'Thang đánh giá'!$C$2:$D$27,2,FALSE)</f>
        <v>(0,1897; 0,2846; 0,3795)</v>
      </c>
      <c r="K23" t="str">
        <f>VLOOKUP(K9,'Thang đánh giá'!$C$2:$D$27,2,FALSE)</f>
        <v>(0,251; 0,3347; 0,3347)</v>
      </c>
      <c r="L23" t="str">
        <f>VLOOKUP(L9,'Thang đánh giá'!$C$2:$D$27,2,FALSE)</f>
        <v>(0,2846; 0,3795; 0,3795)</v>
      </c>
      <c r="M23" t="str">
        <f>VLOOKUP(M9,'Thang đánh giá'!$C$2:$D$27,2,FALSE)</f>
        <v>(0,251; 0,3347; 0,3347)</v>
      </c>
    </row>
    <row r="24" spans="1:13" x14ac:dyDescent="0.3">
      <c r="A24" t="s">
        <v>8</v>
      </c>
      <c r="B24" t="str">
        <f>VLOOKUP(B10,'Thang đánh giá'!$C$2:$D$27,2,FALSE)</f>
        <v>(0,1673; 0,251; 0,3347)</v>
      </c>
      <c r="C24" t="str">
        <f>VLOOKUP(C10,'Thang đánh giá'!$C$2:$D$27,2,FALSE)</f>
        <v>(0; 0; 0,0837)</v>
      </c>
      <c r="D24" t="str">
        <f>VLOOKUP(D10,'Thang đánh giá'!$C$2:$D$27,2,FALSE)</f>
        <v>(0; 0,0707; 0,1414)</v>
      </c>
      <c r="E24" t="str">
        <f>VLOOKUP(E10,'Thang đánh giá'!$C$2:$D$27,2,FALSE)</f>
        <v>(0; 0; 0,0548)</v>
      </c>
      <c r="F24" t="str">
        <f>VLOOKUP(F10,'Thang đánh giá'!$C$2:$D$27,2,FALSE)</f>
        <v>(0; 0; 0,0707)</v>
      </c>
      <c r="G24" t="str">
        <f>VLOOKUP(G10,'Thang đánh giá'!$C$2:$D$27,2,FALSE)</f>
        <v>(0; 0,0548; 0,1095)</v>
      </c>
      <c r="H24" t="str">
        <f>VLOOKUP(H10,'Thang đánh giá'!$C$2:$D$27,2,FALSE)</f>
        <v>(0,251; 0,3347; 0,3347)</v>
      </c>
      <c r="I24" t="str">
        <f>VLOOKUP(I10,'Thang đánh giá'!$C$2:$D$27,2,FALSE)</f>
        <v>(0; 0; 0,0707)</v>
      </c>
      <c r="J24" t="str">
        <f>VLOOKUP(J10,'Thang đánh giá'!$C$2:$D$27,2,FALSE)</f>
        <v>(0; 0; 0)</v>
      </c>
      <c r="K24" t="str">
        <f>VLOOKUP(K10,'Thang đánh giá'!$C$2:$D$27,2,FALSE)</f>
        <v>(0,2846; 0,3795; 0,3795)</v>
      </c>
      <c r="L24" t="str">
        <f>VLOOKUP(L10,'Thang đánh giá'!$C$2:$D$27,2,FALSE)</f>
        <v>(0,251; 0,3347; 0,3347)</v>
      </c>
      <c r="M24" t="str">
        <f>VLOOKUP(M10,'Thang đánh giá'!$C$2:$D$27,2,FALSE)</f>
        <v>(0,1897; 0,2846; 0,3795)</v>
      </c>
    </row>
    <row r="25" spans="1:13" x14ac:dyDescent="0.3">
      <c r="A25" t="s">
        <v>9</v>
      </c>
      <c r="B25" t="str">
        <f>VLOOKUP(B11,'Thang đánh giá'!$C$2:$D$27,2,FALSE)</f>
        <v>(0; 0,0707; 0,1414)</v>
      </c>
      <c r="C25" t="str">
        <f>VLOOKUP(C11,'Thang đánh giá'!$C$2:$D$27,2,FALSE)</f>
        <v>(0; 0; 0,0707)</v>
      </c>
      <c r="D25" t="str">
        <f>VLOOKUP(D11,'Thang đánh giá'!$C$2:$D$27,2,FALSE)</f>
        <v>(0; 0; 0,0707)</v>
      </c>
      <c r="E25" t="str">
        <f>VLOOKUP(E11,'Thang đánh giá'!$C$2:$D$27,2,FALSE)</f>
        <v>(0; 0; 0,0837)</v>
      </c>
      <c r="F25" t="str">
        <f>VLOOKUP(F11,'Thang đánh giá'!$C$2:$D$27,2,FALSE)</f>
        <v>(0,0707; 0,1414; 0,2121)</v>
      </c>
      <c r="G25" t="str">
        <f>VLOOKUP(G11,'Thang đánh giá'!$C$2:$D$27,2,FALSE)</f>
        <v>(0; 0; 0,0548)</v>
      </c>
      <c r="H25" t="str">
        <f>VLOOKUP(H11,'Thang đánh giá'!$C$2:$D$27,2,FALSE)</f>
        <v>(0; 0; 0,0316)</v>
      </c>
      <c r="I25" t="str">
        <f>VLOOKUP(I11,'Thang đánh giá'!$C$2:$D$27,2,FALSE)</f>
        <v>(0; 0,0548; 0,1095)</v>
      </c>
      <c r="J25" t="str">
        <f>VLOOKUP(J11,'Thang đánh giá'!$C$2:$D$27,2,FALSE)</f>
        <v>(0; 0; 0,0707)</v>
      </c>
      <c r="K25" t="str">
        <f>VLOOKUP(K11,'Thang đánh giá'!$C$2:$D$27,2,FALSE)</f>
        <v>(0; 0; 0)</v>
      </c>
      <c r="L25" t="str">
        <f>VLOOKUP(L11,'Thang đánh giá'!$C$2:$D$27,2,FALSE)</f>
        <v>(0; 0,0548; 0,1095)</v>
      </c>
      <c r="M25" t="str">
        <f>VLOOKUP(M11,'Thang đánh giá'!$C$2:$D$27,2,FALSE)</f>
        <v>(0; 0; 0,0707)</v>
      </c>
    </row>
    <row r="26" spans="1:13" x14ac:dyDescent="0.3">
      <c r="A26" t="s">
        <v>10</v>
      </c>
      <c r="B26" t="str">
        <f>VLOOKUP(B12,'Thang đánh giá'!$C$2:$D$27,2,FALSE)</f>
        <v>(0; 0; 0,0316)</v>
      </c>
      <c r="C26" t="str">
        <f>VLOOKUP(C12,'Thang đánh giá'!$C$2:$D$27,2,FALSE)</f>
        <v>(0; 0,0707; 0,1414)</v>
      </c>
      <c r="D26" t="str">
        <f>VLOOKUP(D12,'Thang đánh giá'!$C$2:$D$27,2,FALSE)</f>
        <v>(0,0707; 0,1414; 0,2121)</v>
      </c>
      <c r="E26" t="str">
        <f>VLOOKUP(E12,'Thang đánh giá'!$C$2:$D$27,2,FALSE)</f>
        <v>(0; 0,0707; 0,1414)</v>
      </c>
      <c r="F26" t="str">
        <f>VLOOKUP(F12,'Thang đánh giá'!$C$2:$D$27,2,FALSE)</f>
        <v>(0; 0,0707; 0,1414)</v>
      </c>
      <c r="G26" t="str">
        <f>VLOOKUP(G12,'Thang đánh giá'!$C$2:$D$27,2,FALSE)</f>
        <v>(0; 0,0316; 0,0632)</v>
      </c>
      <c r="H26" t="str">
        <f>VLOOKUP(H12,'Thang đánh giá'!$C$2:$D$27,2,FALSE)</f>
        <v>(0; 0; 0,0707)</v>
      </c>
      <c r="I26" t="str">
        <f>VLOOKUP(I12,'Thang đánh giá'!$C$2:$D$27,2,FALSE)</f>
        <v>(0; 0,0548; 0,1095)</v>
      </c>
      <c r="J26" t="str">
        <f>VLOOKUP(J12,'Thang đánh giá'!$C$2:$D$27,2,FALSE)</f>
        <v>(0; 0; 0,0707)</v>
      </c>
      <c r="K26" t="str">
        <f>VLOOKUP(K12,'Thang đánh giá'!$C$2:$D$27,2,FALSE)</f>
        <v>(0; 0; 0,0707)</v>
      </c>
      <c r="L26" t="str">
        <f>VLOOKUP(L12,'Thang đánh giá'!$C$2:$D$27,2,FALSE)</f>
        <v>(0; 0; 0)</v>
      </c>
      <c r="M26" t="str">
        <f>VLOOKUP(M12,'Thang đánh giá'!$C$2:$D$27,2,FALSE)</f>
        <v>(0,2846; 0,3795; 0,3795)</v>
      </c>
    </row>
    <row r="27" spans="1:13" x14ac:dyDescent="0.3">
      <c r="A27" t="s">
        <v>11</v>
      </c>
      <c r="B27" t="str">
        <f>VLOOKUP(B13,'Thang đánh giá'!$C$2:$D$27,2,FALSE)</f>
        <v>(0; 0; 0,0707)</v>
      </c>
      <c r="C27" t="str">
        <f>VLOOKUP(C13,'Thang đánh giá'!$C$2:$D$27,2,FALSE)</f>
        <v>(0; 0,0548; 0,1095)</v>
      </c>
      <c r="D27" t="str">
        <f>VLOOKUP(D13,'Thang đánh giá'!$C$2:$D$27,2,FALSE)</f>
        <v>(0; 0; 0,0316)</v>
      </c>
      <c r="E27" t="str">
        <f>VLOOKUP(E13,'Thang đánh giá'!$C$2:$D$27,2,FALSE)</f>
        <v>(0; 0,0548; 0,1095)</v>
      </c>
      <c r="F27" t="str">
        <f>VLOOKUP(F13,'Thang đánh giá'!$C$2:$D$27,2,FALSE)</f>
        <v>(0; 0,0707; 0,1414)</v>
      </c>
      <c r="G27" t="str">
        <f>VLOOKUP(G13,'Thang đánh giá'!$C$2:$D$27,2,FALSE)</f>
        <v>(0; 0; 0,0837)</v>
      </c>
      <c r="H27" t="str">
        <f>VLOOKUP(H13,'Thang đánh giá'!$C$2:$D$27,2,FALSE)</f>
        <v>(0; 0,0837; 0,1673)</v>
      </c>
      <c r="I27" t="str">
        <f>VLOOKUP(I13,'Thang đánh giá'!$C$2:$D$27,2,FALSE)</f>
        <v>(0; 0; 0,0548)</v>
      </c>
      <c r="J27" t="str">
        <f>VLOOKUP(J13,'Thang đánh giá'!$C$2:$D$27,2,FALSE)</f>
        <v>(0,0707; 0,1414; 0,2121)</v>
      </c>
      <c r="K27" t="str">
        <f>VLOOKUP(K13,'Thang đánh giá'!$C$2:$D$27,2,FALSE)</f>
        <v>(0; 0,0548; 0,1095)</v>
      </c>
      <c r="L27" t="str">
        <f>VLOOKUP(L13,'Thang đánh giá'!$C$2:$D$27,2,FALSE)</f>
        <v>(0; 0; 0,0707)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0.18970000000000001</v>
      </c>
      <c r="D30">
        <f t="shared" si="0"/>
        <v>8.3699999999999997E-2</v>
      </c>
      <c r="E30">
        <f t="shared" si="0"/>
        <v>0</v>
      </c>
      <c r="F30">
        <f t="shared" si="0"/>
        <v>8.3699999999999997E-2</v>
      </c>
      <c r="G30">
        <f t="shared" si="0"/>
        <v>0</v>
      </c>
      <c r="H30">
        <f t="shared" si="0"/>
        <v>0</v>
      </c>
      <c r="I30">
        <f t="shared" si="0"/>
        <v>0</v>
      </c>
      <c r="J30">
        <f t="shared" si="0"/>
        <v>0.18970000000000001</v>
      </c>
      <c r="K30">
        <f t="shared" si="0"/>
        <v>0</v>
      </c>
      <c r="L30">
        <f t="shared" si="0"/>
        <v>0</v>
      </c>
      <c r="M30">
        <f t="shared" si="0"/>
        <v>0</v>
      </c>
    </row>
    <row r="31" spans="1:13" x14ac:dyDescent="0.3">
      <c r="A31" t="s">
        <v>1</v>
      </c>
      <c r="B31">
        <f t="shared" ref="B31:M41" si="1">_xlfn.NUMBERVALUE(MID(B17,2,FIND(";",B17,1)-2))</f>
        <v>0</v>
      </c>
      <c r="C31">
        <f t="shared" si="1"/>
        <v>0</v>
      </c>
      <c r="D31">
        <f t="shared" si="1"/>
        <v>0.28460000000000002</v>
      </c>
      <c r="E31">
        <f t="shared" si="1"/>
        <v>0.251</v>
      </c>
      <c r="F31">
        <f t="shared" si="1"/>
        <v>0</v>
      </c>
      <c r="G31">
        <f t="shared" si="1"/>
        <v>0.28460000000000002</v>
      </c>
      <c r="H31">
        <f t="shared" si="1"/>
        <v>0.251</v>
      </c>
      <c r="I31">
        <f t="shared" si="1"/>
        <v>0</v>
      </c>
      <c r="J31">
        <f t="shared" si="1"/>
        <v>0.18970000000000001</v>
      </c>
      <c r="K31">
        <f t="shared" si="1"/>
        <v>0.28460000000000002</v>
      </c>
      <c r="L31">
        <f t="shared" si="1"/>
        <v>0.28460000000000002</v>
      </c>
      <c r="M31">
        <f t="shared" si="1"/>
        <v>0.28460000000000002</v>
      </c>
    </row>
    <row r="32" spans="1:13" x14ac:dyDescent="0.3">
      <c r="A32" t="s">
        <v>2</v>
      </c>
      <c r="B32">
        <f t="shared" si="1"/>
        <v>0</v>
      </c>
      <c r="C32">
        <f t="shared" si="1"/>
        <v>0</v>
      </c>
      <c r="D32">
        <f t="shared" si="1"/>
        <v>0</v>
      </c>
      <c r="E32">
        <f t="shared" si="1"/>
        <v>0</v>
      </c>
      <c r="F32">
        <f t="shared" si="1"/>
        <v>0</v>
      </c>
      <c r="G32">
        <f t="shared" si="1"/>
        <v>0</v>
      </c>
      <c r="H32">
        <f t="shared" si="1"/>
        <v>7.0699999999999999E-2</v>
      </c>
      <c r="I32">
        <f t="shared" si="1"/>
        <v>0</v>
      </c>
      <c r="J32">
        <f t="shared" si="1"/>
        <v>0.18970000000000001</v>
      </c>
      <c r="K32">
        <f t="shared" si="1"/>
        <v>0.251</v>
      </c>
      <c r="L32">
        <f t="shared" si="1"/>
        <v>0.1673</v>
      </c>
      <c r="M32">
        <f t="shared" si="1"/>
        <v>0.18970000000000001</v>
      </c>
    </row>
    <row r="33" spans="1:13" x14ac:dyDescent="0.3">
      <c r="A33" t="s">
        <v>3</v>
      </c>
      <c r="B33">
        <f t="shared" si="1"/>
        <v>0</v>
      </c>
      <c r="C33">
        <f t="shared" si="1"/>
        <v>0</v>
      </c>
      <c r="D33">
        <f t="shared" si="1"/>
        <v>7.0699999999999999E-2</v>
      </c>
      <c r="E33">
        <f t="shared" si="1"/>
        <v>0</v>
      </c>
      <c r="F33">
        <f t="shared" si="1"/>
        <v>0</v>
      </c>
      <c r="G33">
        <f t="shared" si="1"/>
        <v>0</v>
      </c>
      <c r="H33">
        <f t="shared" si="1"/>
        <v>0.18970000000000001</v>
      </c>
      <c r="I33">
        <f t="shared" si="1"/>
        <v>0</v>
      </c>
      <c r="J33">
        <f t="shared" si="1"/>
        <v>0.251</v>
      </c>
      <c r="K33">
        <f t="shared" si="1"/>
        <v>0</v>
      </c>
      <c r="L33">
        <f t="shared" si="1"/>
        <v>0.18970000000000001</v>
      </c>
      <c r="M33">
        <f t="shared" si="1"/>
        <v>0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7.0699999999999999E-2</v>
      </c>
      <c r="D34">
        <f t="shared" si="2"/>
        <v>0</v>
      </c>
      <c r="E34">
        <f t="shared" si="2"/>
        <v>0</v>
      </c>
      <c r="F34">
        <f t="shared" si="2"/>
        <v>0</v>
      </c>
      <c r="G34">
        <f t="shared" si="2"/>
        <v>0.251</v>
      </c>
      <c r="H34">
        <f t="shared" si="2"/>
        <v>0</v>
      </c>
      <c r="I34">
        <f t="shared" si="2"/>
        <v>0</v>
      </c>
      <c r="J34">
        <f t="shared" si="2"/>
        <v>0.251</v>
      </c>
      <c r="K34">
        <f t="shared" si="2"/>
        <v>0.18970000000000001</v>
      </c>
      <c r="L34">
        <f t="shared" si="2"/>
        <v>0</v>
      </c>
      <c r="M34">
        <f t="shared" si="2"/>
        <v>0</v>
      </c>
    </row>
    <row r="35" spans="1:13" x14ac:dyDescent="0.3">
      <c r="A35" t="s">
        <v>5</v>
      </c>
      <c r="B35">
        <f t="shared" si="1"/>
        <v>0</v>
      </c>
      <c r="C35">
        <f t="shared" si="1"/>
        <v>7.0699999999999999E-2</v>
      </c>
      <c r="D35">
        <f t="shared" si="1"/>
        <v>0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0</v>
      </c>
      <c r="J35">
        <f t="shared" si="1"/>
        <v>0.28460000000000002</v>
      </c>
      <c r="K35">
        <f t="shared" si="1"/>
        <v>0</v>
      </c>
      <c r="L35">
        <f t="shared" si="1"/>
        <v>0</v>
      </c>
      <c r="M35">
        <f t="shared" si="1"/>
        <v>0</v>
      </c>
    </row>
    <row r="36" spans="1:13" x14ac:dyDescent="0.3">
      <c r="A36" t="s">
        <v>6</v>
      </c>
      <c r="B36">
        <f t="shared" si="1"/>
        <v>0</v>
      </c>
      <c r="C36">
        <f t="shared" si="1"/>
        <v>0</v>
      </c>
      <c r="D36">
        <f t="shared" si="1"/>
        <v>0</v>
      </c>
      <c r="E36">
        <f t="shared" si="1"/>
        <v>0</v>
      </c>
      <c r="F36">
        <f t="shared" si="1"/>
        <v>0</v>
      </c>
      <c r="G36">
        <f t="shared" si="1"/>
        <v>0</v>
      </c>
      <c r="H36">
        <f t="shared" si="1"/>
        <v>0</v>
      </c>
      <c r="I36">
        <f t="shared" si="1"/>
        <v>7.0699999999999999E-2</v>
      </c>
      <c r="J36">
        <f t="shared" si="1"/>
        <v>0</v>
      </c>
      <c r="K36">
        <f t="shared" si="1"/>
        <v>0</v>
      </c>
      <c r="L36">
        <f t="shared" si="1"/>
        <v>0</v>
      </c>
      <c r="M36">
        <f t="shared" si="1"/>
        <v>0</v>
      </c>
    </row>
    <row r="37" spans="1:13" x14ac:dyDescent="0.3">
      <c r="A37" t="s">
        <v>7</v>
      </c>
      <c r="B37">
        <f t="shared" si="1"/>
        <v>7.0699999999999999E-2</v>
      </c>
      <c r="C37">
        <f t="shared" si="1"/>
        <v>0</v>
      </c>
      <c r="D37">
        <f t="shared" si="1"/>
        <v>0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0.18970000000000001</v>
      </c>
      <c r="K37">
        <f t="shared" si="1"/>
        <v>0.251</v>
      </c>
      <c r="L37">
        <f t="shared" si="1"/>
        <v>0.28460000000000002</v>
      </c>
      <c r="M37">
        <f t="shared" si="1"/>
        <v>0.251</v>
      </c>
    </row>
    <row r="38" spans="1:13" x14ac:dyDescent="0.3">
      <c r="A38" t="s">
        <v>8</v>
      </c>
      <c r="B38">
        <f t="shared" si="1"/>
        <v>0.1673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0.251</v>
      </c>
      <c r="I38">
        <f t="shared" si="1"/>
        <v>0</v>
      </c>
      <c r="J38">
        <f t="shared" si="1"/>
        <v>0</v>
      </c>
      <c r="K38">
        <f t="shared" si="1"/>
        <v>0.28460000000000002</v>
      </c>
      <c r="L38">
        <f t="shared" si="1"/>
        <v>0.251</v>
      </c>
      <c r="M38">
        <f t="shared" si="1"/>
        <v>0.18970000000000001</v>
      </c>
    </row>
    <row r="39" spans="1:13" x14ac:dyDescent="0.3">
      <c r="A39" t="s">
        <v>9</v>
      </c>
      <c r="B39">
        <f t="shared" si="1"/>
        <v>0</v>
      </c>
      <c r="C39">
        <f t="shared" si="1"/>
        <v>0</v>
      </c>
      <c r="D39">
        <f t="shared" si="1"/>
        <v>0</v>
      </c>
      <c r="E39">
        <f t="shared" si="1"/>
        <v>0</v>
      </c>
      <c r="F39">
        <f t="shared" si="1"/>
        <v>7.0699999999999999E-2</v>
      </c>
      <c r="G39">
        <f t="shared" si="1"/>
        <v>0</v>
      </c>
      <c r="H39">
        <f t="shared" si="1"/>
        <v>0</v>
      </c>
      <c r="I39">
        <f t="shared" si="1"/>
        <v>0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0</v>
      </c>
    </row>
    <row r="40" spans="1:13" x14ac:dyDescent="0.3">
      <c r="A40" t="s">
        <v>10</v>
      </c>
      <c r="B40">
        <f t="shared" si="1"/>
        <v>0</v>
      </c>
      <c r="C40">
        <f t="shared" si="1"/>
        <v>0</v>
      </c>
      <c r="D40">
        <f t="shared" si="1"/>
        <v>7.0699999999999999E-2</v>
      </c>
      <c r="E40">
        <f t="shared" si="1"/>
        <v>0</v>
      </c>
      <c r="F40">
        <f t="shared" si="1"/>
        <v>0</v>
      </c>
      <c r="G40">
        <f t="shared" si="1"/>
        <v>0</v>
      </c>
      <c r="H40">
        <f t="shared" si="1"/>
        <v>0</v>
      </c>
      <c r="I40">
        <f t="shared" si="1"/>
        <v>0</v>
      </c>
      <c r="J40">
        <f t="shared" si="1"/>
        <v>0</v>
      </c>
      <c r="K40">
        <f t="shared" si="1"/>
        <v>0</v>
      </c>
      <c r="L40">
        <f t="shared" si="1"/>
        <v>0</v>
      </c>
      <c r="M40">
        <f t="shared" si="1"/>
        <v>0.28460000000000002</v>
      </c>
    </row>
    <row r="41" spans="1:13" x14ac:dyDescent="0.3">
      <c r="A41" t="s">
        <v>11</v>
      </c>
      <c r="B41">
        <f t="shared" si="1"/>
        <v>0</v>
      </c>
      <c r="C41">
        <f t="shared" si="1"/>
        <v>0</v>
      </c>
      <c r="D41">
        <f t="shared" si="1"/>
        <v>0</v>
      </c>
      <c r="E41">
        <f t="shared" si="1"/>
        <v>0</v>
      </c>
      <c r="F41">
        <f t="shared" si="1"/>
        <v>0</v>
      </c>
      <c r="G41">
        <f t="shared" si="1"/>
        <v>0</v>
      </c>
      <c r="H41">
        <f t="shared" si="1"/>
        <v>0</v>
      </c>
      <c r="I41">
        <f t="shared" si="1"/>
        <v>0</v>
      </c>
      <c r="J41">
        <f t="shared" si="1"/>
        <v>7.0699999999999999E-2</v>
      </c>
      <c r="K41">
        <f t="shared" si="1"/>
        <v>0</v>
      </c>
      <c r="L41">
        <f t="shared" si="1"/>
        <v>0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0.28460000000000002</v>
      </c>
      <c r="D44">
        <f t="shared" si="3"/>
        <v>0.1673</v>
      </c>
      <c r="E44">
        <f t="shared" si="3"/>
        <v>5.4800000000000001E-2</v>
      </c>
      <c r="F44">
        <f t="shared" si="3"/>
        <v>0.1673</v>
      </c>
      <c r="G44">
        <f t="shared" si="3"/>
        <v>0</v>
      </c>
      <c r="H44">
        <f t="shared" si="3"/>
        <v>0</v>
      </c>
      <c r="I44">
        <f t="shared" si="3"/>
        <v>0</v>
      </c>
      <c r="J44">
        <f t="shared" si="3"/>
        <v>0.28460000000000002</v>
      </c>
      <c r="K44">
        <f t="shared" si="3"/>
        <v>7.0699999999999999E-2</v>
      </c>
      <c r="L44">
        <f t="shared" si="3"/>
        <v>7.0699999999999999E-2</v>
      </c>
      <c r="M44">
        <f t="shared" si="3"/>
        <v>0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7.0699999999999999E-2</v>
      </c>
      <c r="C45">
        <f t="shared" si="4"/>
        <v>0</v>
      </c>
      <c r="D45">
        <f t="shared" si="4"/>
        <v>0.3795</v>
      </c>
      <c r="E45">
        <f t="shared" si="4"/>
        <v>0.3347</v>
      </c>
      <c r="F45">
        <f t="shared" si="4"/>
        <v>7.0699999999999999E-2</v>
      </c>
      <c r="G45">
        <f t="shared" si="4"/>
        <v>0.3795</v>
      </c>
      <c r="H45">
        <f t="shared" si="4"/>
        <v>0.3347</v>
      </c>
      <c r="I45">
        <f t="shared" si="4"/>
        <v>7.0699999999999999E-2</v>
      </c>
      <c r="J45">
        <f t="shared" si="4"/>
        <v>0.28460000000000002</v>
      </c>
      <c r="K45">
        <f t="shared" si="4"/>
        <v>0.3795</v>
      </c>
      <c r="L45">
        <f t="shared" si="4"/>
        <v>0.3795</v>
      </c>
      <c r="M45">
        <f t="shared" si="4"/>
        <v>0.3795</v>
      </c>
    </row>
    <row r="46" spans="1:13" x14ac:dyDescent="0.3">
      <c r="A46" t="s">
        <v>2</v>
      </c>
      <c r="B46">
        <f t="shared" si="4"/>
        <v>7.0699999999999999E-2</v>
      </c>
      <c r="C46">
        <f t="shared" si="4"/>
        <v>0</v>
      </c>
      <c r="D46">
        <f t="shared" si="4"/>
        <v>0</v>
      </c>
      <c r="E46">
        <f t="shared" si="4"/>
        <v>8.3699999999999997E-2</v>
      </c>
      <c r="F46">
        <f t="shared" si="4"/>
        <v>7.0699999999999999E-2</v>
      </c>
      <c r="G46">
        <f t="shared" si="4"/>
        <v>0</v>
      </c>
      <c r="H46">
        <f t="shared" si="4"/>
        <v>0.1414</v>
      </c>
      <c r="I46">
        <f t="shared" si="4"/>
        <v>0</v>
      </c>
      <c r="J46">
        <f t="shared" si="4"/>
        <v>0.28460000000000002</v>
      </c>
      <c r="K46">
        <f t="shared" si="4"/>
        <v>0.3347</v>
      </c>
      <c r="L46">
        <f t="shared" si="4"/>
        <v>0.251</v>
      </c>
      <c r="M46">
        <f t="shared" si="4"/>
        <v>0.28460000000000002</v>
      </c>
    </row>
    <row r="47" spans="1:13" x14ac:dyDescent="0.3">
      <c r="A47" t="s">
        <v>3</v>
      </c>
      <c r="B47">
        <f t="shared" si="4"/>
        <v>0</v>
      </c>
      <c r="C47">
        <f t="shared" si="4"/>
        <v>0</v>
      </c>
      <c r="D47">
        <f t="shared" si="4"/>
        <v>0.1414</v>
      </c>
      <c r="E47">
        <f t="shared" si="4"/>
        <v>0</v>
      </c>
      <c r="F47">
        <f t="shared" si="4"/>
        <v>0</v>
      </c>
      <c r="G47">
        <f t="shared" si="4"/>
        <v>0</v>
      </c>
      <c r="H47">
        <f t="shared" si="4"/>
        <v>0.28460000000000002</v>
      </c>
      <c r="I47">
        <f t="shared" si="4"/>
        <v>7.0699999999999999E-2</v>
      </c>
      <c r="J47">
        <f t="shared" si="4"/>
        <v>0.3347</v>
      </c>
      <c r="K47">
        <f t="shared" si="4"/>
        <v>0</v>
      </c>
      <c r="L47">
        <f t="shared" si="4"/>
        <v>0.28460000000000002</v>
      </c>
      <c r="M47">
        <f t="shared" si="4"/>
        <v>7.0699999999999999E-2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0</v>
      </c>
      <c r="C48">
        <f t="shared" si="5"/>
        <v>0.1414</v>
      </c>
      <c r="D48">
        <f t="shared" si="5"/>
        <v>0</v>
      </c>
      <c r="E48">
        <f t="shared" si="5"/>
        <v>5.4800000000000001E-2</v>
      </c>
      <c r="F48">
        <f t="shared" si="5"/>
        <v>0</v>
      </c>
      <c r="G48">
        <f t="shared" si="5"/>
        <v>0.3347</v>
      </c>
      <c r="H48">
        <f t="shared" si="5"/>
        <v>5.4800000000000001E-2</v>
      </c>
      <c r="I48">
        <f t="shared" si="5"/>
        <v>0</v>
      </c>
      <c r="J48">
        <f t="shared" si="5"/>
        <v>0.3347</v>
      </c>
      <c r="K48">
        <f t="shared" si="5"/>
        <v>0.28460000000000002</v>
      </c>
      <c r="L48">
        <f t="shared" si="5"/>
        <v>5.4800000000000001E-2</v>
      </c>
      <c r="M48">
        <f t="shared" si="5"/>
        <v>5.4800000000000001E-2</v>
      </c>
    </row>
    <row r="49" spans="1:13" x14ac:dyDescent="0.3">
      <c r="A49" t="s">
        <v>5</v>
      </c>
      <c r="B49">
        <f t="shared" si="4"/>
        <v>0</v>
      </c>
      <c r="C49">
        <f t="shared" si="4"/>
        <v>0.1414</v>
      </c>
      <c r="D49">
        <f t="shared" si="4"/>
        <v>5.4800000000000001E-2</v>
      </c>
      <c r="E49">
        <f t="shared" si="4"/>
        <v>7.0699999999999999E-2</v>
      </c>
      <c r="F49">
        <f t="shared" si="4"/>
        <v>7.0699999999999999E-2</v>
      </c>
      <c r="G49">
        <f t="shared" si="4"/>
        <v>0</v>
      </c>
      <c r="H49">
        <f t="shared" si="4"/>
        <v>0</v>
      </c>
      <c r="I49">
        <f t="shared" si="4"/>
        <v>0</v>
      </c>
      <c r="J49">
        <f t="shared" si="4"/>
        <v>0.3795</v>
      </c>
      <c r="K49">
        <f t="shared" si="4"/>
        <v>0</v>
      </c>
      <c r="L49">
        <f t="shared" si="4"/>
        <v>0</v>
      </c>
      <c r="M49">
        <f t="shared" si="4"/>
        <v>7.0699999999999999E-2</v>
      </c>
    </row>
    <row r="50" spans="1:13" x14ac:dyDescent="0.3">
      <c r="A50" t="s">
        <v>6</v>
      </c>
      <c r="B50">
        <f t="shared" si="4"/>
        <v>0</v>
      </c>
      <c r="C50">
        <f t="shared" si="4"/>
        <v>7.0699999999999999E-2</v>
      </c>
      <c r="D50">
        <f t="shared" si="4"/>
        <v>0</v>
      </c>
      <c r="E50">
        <f t="shared" si="4"/>
        <v>0</v>
      </c>
      <c r="F50">
        <f t="shared" si="4"/>
        <v>7.0699999999999999E-2</v>
      </c>
      <c r="G50">
        <f t="shared" si="4"/>
        <v>0</v>
      </c>
      <c r="H50">
        <f t="shared" si="4"/>
        <v>0</v>
      </c>
      <c r="I50">
        <f t="shared" si="4"/>
        <v>0.1414</v>
      </c>
      <c r="J50">
        <f t="shared" si="4"/>
        <v>5.4800000000000001E-2</v>
      </c>
      <c r="K50">
        <f t="shared" si="4"/>
        <v>7.0699999999999999E-2</v>
      </c>
      <c r="L50">
        <f t="shared" si="4"/>
        <v>0</v>
      </c>
      <c r="M50">
        <f t="shared" si="4"/>
        <v>0</v>
      </c>
    </row>
    <row r="51" spans="1:13" x14ac:dyDescent="0.3">
      <c r="A51" t="s">
        <v>7</v>
      </c>
      <c r="B51">
        <f t="shared" si="4"/>
        <v>0.1414</v>
      </c>
      <c r="C51">
        <f t="shared" si="4"/>
        <v>7.0699999999999999E-2</v>
      </c>
      <c r="D51">
        <f t="shared" si="4"/>
        <v>0</v>
      </c>
      <c r="E51">
        <f t="shared" si="4"/>
        <v>7.0699999999999999E-2</v>
      </c>
      <c r="F51">
        <f t="shared" si="4"/>
        <v>0</v>
      </c>
      <c r="G51">
        <f t="shared" si="4"/>
        <v>3.1600000000000003E-2</v>
      </c>
      <c r="H51">
        <f t="shared" si="4"/>
        <v>0</v>
      </c>
      <c r="I51">
        <f t="shared" si="4"/>
        <v>0</v>
      </c>
      <c r="J51">
        <f t="shared" si="4"/>
        <v>0.28460000000000002</v>
      </c>
      <c r="K51">
        <f t="shared" si="4"/>
        <v>0.3347</v>
      </c>
      <c r="L51">
        <f t="shared" si="4"/>
        <v>0.3795</v>
      </c>
      <c r="M51">
        <f t="shared" si="4"/>
        <v>0.3347</v>
      </c>
    </row>
    <row r="52" spans="1:13" x14ac:dyDescent="0.3">
      <c r="A52" t="s">
        <v>8</v>
      </c>
      <c r="B52">
        <f t="shared" si="4"/>
        <v>0.251</v>
      </c>
      <c r="C52">
        <f t="shared" si="4"/>
        <v>0</v>
      </c>
      <c r="D52">
        <f t="shared" si="4"/>
        <v>7.0699999999999999E-2</v>
      </c>
      <c r="E52">
        <f t="shared" si="4"/>
        <v>0</v>
      </c>
      <c r="F52">
        <f t="shared" si="4"/>
        <v>0</v>
      </c>
      <c r="G52">
        <f t="shared" si="4"/>
        <v>5.4800000000000001E-2</v>
      </c>
      <c r="H52">
        <f t="shared" si="4"/>
        <v>0.3347</v>
      </c>
      <c r="I52">
        <f t="shared" si="4"/>
        <v>0</v>
      </c>
      <c r="J52">
        <f t="shared" si="4"/>
        <v>0</v>
      </c>
      <c r="K52">
        <f t="shared" si="4"/>
        <v>0.3795</v>
      </c>
      <c r="L52">
        <f t="shared" si="4"/>
        <v>0.3347</v>
      </c>
      <c r="M52">
        <f t="shared" si="4"/>
        <v>0.28460000000000002</v>
      </c>
    </row>
    <row r="53" spans="1:13" x14ac:dyDescent="0.3">
      <c r="A53" t="s">
        <v>9</v>
      </c>
      <c r="B53">
        <f t="shared" si="4"/>
        <v>7.0699999999999999E-2</v>
      </c>
      <c r="C53">
        <f t="shared" si="4"/>
        <v>0</v>
      </c>
      <c r="D53">
        <f t="shared" si="4"/>
        <v>0</v>
      </c>
      <c r="E53">
        <f t="shared" si="4"/>
        <v>0</v>
      </c>
      <c r="F53">
        <f t="shared" si="4"/>
        <v>0.1414</v>
      </c>
      <c r="G53">
        <f t="shared" si="4"/>
        <v>0</v>
      </c>
      <c r="H53">
        <f t="shared" si="4"/>
        <v>0</v>
      </c>
      <c r="I53">
        <f t="shared" si="4"/>
        <v>5.4800000000000001E-2</v>
      </c>
      <c r="J53">
        <f t="shared" si="4"/>
        <v>0</v>
      </c>
      <c r="K53">
        <f t="shared" si="4"/>
        <v>0</v>
      </c>
      <c r="L53">
        <f t="shared" si="4"/>
        <v>5.4800000000000001E-2</v>
      </c>
      <c r="M53">
        <f t="shared" si="4"/>
        <v>0</v>
      </c>
    </row>
    <row r="54" spans="1:13" x14ac:dyDescent="0.3">
      <c r="A54" t="s">
        <v>10</v>
      </c>
      <c r="B54">
        <f t="shared" si="4"/>
        <v>0</v>
      </c>
      <c r="C54">
        <f t="shared" si="4"/>
        <v>7.0699999999999999E-2</v>
      </c>
      <c r="D54">
        <f t="shared" si="4"/>
        <v>0.1414</v>
      </c>
      <c r="E54">
        <f t="shared" si="4"/>
        <v>7.0699999999999999E-2</v>
      </c>
      <c r="F54">
        <f t="shared" si="4"/>
        <v>7.0699999999999999E-2</v>
      </c>
      <c r="G54">
        <f t="shared" si="4"/>
        <v>3.1600000000000003E-2</v>
      </c>
      <c r="H54">
        <f t="shared" si="4"/>
        <v>0</v>
      </c>
      <c r="I54">
        <f t="shared" si="4"/>
        <v>5.4800000000000001E-2</v>
      </c>
      <c r="J54">
        <f t="shared" si="4"/>
        <v>0</v>
      </c>
      <c r="K54">
        <f t="shared" si="4"/>
        <v>0</v>
      </c>
      <c r="L54">
        <f t="shared" si="4"/>
        <v>0</v>
      </c>
      <c r="M54">
        <f t="shared" si="4"/>
        <v>0.3795</v>
      </c>
    </row>
    <row r="55" spans="1:13" x14ac:dyDescent="0.3">
      <c r="A55" t="s">
        <v>11</v>
      </c>
      <c r="B55">
        <f t="shared" si="4"/>
        <v>0</v>
      </c>
      <c r="C55">
        <f t="shared" si="4"/>
        <v>5.4800000000000001E-2</v>
      </c>
      <c r="D55">
        <f t="shared" si="4"/>
        <v>0</v>
      </c>
      <c r="E55">
        <f t="shared" si="4"/>
        <v>5.4800000000000001E-2</v>
      </c>
      <c r="F55">
        <f t="shared" si="4"/>
        <v>7.0699999999999999E-2</v>
      </c>
      <c r="G55">
        <f t="shared" si="4"/>
        <v>0</v>
      </c>
      <c r="H55">
        <f t="shared" si="4"/>
        <v>8.3699999999999997E-2</v>
      </c>
      <c r="I55">
        <f t="shared" si="4"/>
        <v>0</v>
      </c>
      <c r="J55">
        <f t="shared" si="4"/>
        <v>0.1414</v>
      </c>
      <c r="K55">
        <f t="shared" si="4"/>
        <v>5.4800000000000001E-2</v>
      </c>
      <c r="L55">
        <f t="shared" si="4"/>
        <v>0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0.3795</v>
      </c>
      <c r="D58">
        <f t="shared" si="6"/>
        <v>0.251</v>
      </c>
      <c r="E58">
        <f t="shared" si="6"/>
        <v>0.1095</v>
      </c>
      <c r="F58">
        <f t="shared" si="6"/>
        <v>0.251</v>
      </c>
      <c r="G58">
        <f t="shared" si="6"/>
        <v>7.0699999999999999E-2</v>
      </c>
      <c r="H58">
        <f t="shared" si="6"/>
        <v>8.3699999999999997E-2</v>
      </c>
      <c r="I58">
        <f t="shared" si="6"/>
        <v>7.0699999999999999E-2</v>
      </c>
      <c r="J58">
        <f t="shared" si="6"/>
        <v>0.3795</v>
      </c>
      <c r="K58">
        <f t="shared" si="6"/>
        <v>0.1414</v>
      </c>
      <c r="L58">
        <f t="shared" si="6"/>
        <v>0.1414</v>
      </c>
      <c r="M58">
        <f t="shared" si="6"/>
        <v>5.4800000000000001E-2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0.1414</v>
      </c>
      <c r="C59">
        <f t="shared" si="7"/>
        <v>0</v>
      </c>
      <c r="D59">
        <f t="shared" si="7"/>
        <v>0.3795</v>
      </c>
      <c r="E59">
        <f t="shared" si="7"/>
        <v>0.3347</v>
      </c>
      <c r="F59">
        <f t="shared" si="7"/>
        <v>0.1414</v>
      </c>
      <c r="G59">
        <f t="shared" si="7"/>
        <v>0.3795</v>
      </c>
      <c r="H59">
        <f t="shared" si="7"/>
        <v>0.3347</v>
      </c>
      <c r="I59">
        <f t="shared" si="7"/>
        <v>0.1414</v>
      </c>
      <c r="J59">
        <f t="shared" si="7"/>
        <v>0.3795</v>
      </c>
      <c r="K59">
        <f t="shared" si="7"/>
        <v>0.3795</v>
      </c>
      <c r="L59">
        <f t="shared" si="7"/>
        <v>0.3795</v>
      </c>
      <c r="M59">
        <f t="shared" si="7"/>
        <v>0.3795</v>
      </c>
    </row>
    <row r="60" spans="1:13" x14ac:dyDescent="0.3">
      <c r="A60" t="s">
        <v>2</v>
      </c>
      <c r="B60">
        <f t="shared" si="7"/>
        <v>0.1414</v>
      </c>
      <c r="C60">
        <f t="shared" si="7"/>
        <v>7.0699999999999999E-2</v>
      </c>
      <c r="D60">
        <f t="shared" si="7"/>
        <v>0</v>
      </c>
      <c r="E60">
        <f t="shared" si="7"/>
        <v>0.1673</v>
      </c>
      <c r="F60">
        <f t="shared" si="7"/>
        <v>0.1414</v>
      </c>
      <c r="G60">
        <f t="shared" si="7"/>
        <v>3.1600000000000003E-2</v>
      </c>
      <c r="H60">
        <f t="shared" si="7"/>
        <v>0.21210000000000001</v>
      </c>
      <c r="I60">
        <f t="shared" si="7"/>
        <v>7.0699999999999999E-2</v>
      </c>
      <c r="J60">
        <f t="shared" si="7"/>
        <v>0.3795</v>
      </c>
      <c r="K60">
        <f t="shared" si="7"/>
        <v>0.3347</v>
      </c>
      <c r="L60">
        <f t="shared" si="7"/>
        <v>0.3347</v>
      </c>
      <c r="M60">
        <f t="shared" si="7"/>
        <v>0.3795</v>
      </c>
    </row>
    <row r="61" spans="1:13" x14ac:dyDescent="0.3">
      <c r="A61" t="s">
        <v>3</v>
      </c>
      <c r="B61">
        <f t="shared" si="7"/>
        <v>5.4800000000000001E-2</v>
      </c>
      <c r="C61">
        <f t="shared" si="7"/>
        <v>5.4800000000000001E-2</v>
      </c>
      <c r="D61">
        <f t="shared" si="7"/>
        <v>0.21210000000000001</v>
      </c>
      <c r="E61">
        <f t="shared" si="7"/>
        <v>0</v>
      </c>
      <c r="F61">
        <f t="shared" si="7"/>
        <v>5.4800000000000001E-2</v>
      </c>
      <c r="G61">
        <f t="shared" si="7"/>
        <v>7.0699999999999999E-2</v>
      </c>
      <c r="H61">
        <f t="shared" si="7"/>
        <v>0.3795</v>
      </c>
      <c r="I61">
        <f t="shared" si="7"/>
        <v>0.1414</v>
      </c>
      <c r="J61">
        <f t="shared" si="7"/>
        <v>0.3347</v>
      </c>
      <c r="K61">
        <f t="shared" si="7"/>
        <v>3.1600000000000003E-2</v>
      </c>
      <c r="L61">
        <f t="shared" si="7"/>
        <v>0.3795</v>
      </c>
      <c r="M61">
        <f t="shared" si="7"/>
        <v>0.1414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7.0699999999999999E-2</v>
      </c>
      <c r="C62">
        <f t="shared" si="8"/>
        <v>0.21210000000000001</v>
      </c>
      <c r="D62">
        <f t="shared" si="8"/>
        <v>7.0699999999999999E-2</v>
      </c>
      <c r="E62">
        <f t="shared" si="8"/>
        <v>0.1095</v>
      </c>
      <c r="F62">
        <f t="shared" si="8"/>
        <v>0</v>
      </c>
      <c r="G62">
        <f t="shared" si="8"/>
        <v>0.3347</v>
      </c>
      <c r="H62">
        <f t="shared" si="8"/>
        <v>0.1095</v>
      </c>
      <c r="I62">
        <f t="shared" si="8"/>
        <v>5.4800000000000001E-2</v>
      </c>
      <c r="J62">
        <f t="shared" si="8"/>
        <v>0.3347</v>
      </c>
      <c r="K62">
        <f t="shared" si="8"/>
        <v>0.3795</v>
      </c>
      <c r="L62">
        <f t="shared" si="8"/>
        <v>0.1095</v>
      </c>
      <c r="M62">
        <f t="shared" si="8"/>
        <v>0.1095</v>
      </c>
    </row>
    <row r="63" spans="1:13" x14ac:dyDescent="0.3">
      <c r="A63" t="s">
        <v>5</v>
      </c>
      <c r="B63">
        <f t="shared" si="7"/>
        <v>8.3699999999999997E-2</v>
      </c>
      <c r="C63">
        <f t="shared" si="7"/>
        <v>0.21210000000000001</v>
      </c>
      <c r="D63">
        <f t="shared" si="7"/>
        <v>0.1095</v>
      </c>
      <c r="E63">
        <f t="shared" si="7"/>
        <v>0.1414</v>
      </c>
      <c r="F63">
        <f t="shared" si="7"/>
        <v>0.1414</v>
      </c>
      <c r="G63">
        <f t="shared" si="7"/>
        <v>0</v>
      </c>
      <c r="H63">
        <f t="shared" si="7"/>
        <v>7.0699999999999999E-2</v>
      </c>
      <c r="I63">
        <f t="shared" si="7"/>
        <v>7.0699999999999999E-2</v>
      </c>
      <c r="J63">
        <f t="shared" si="7"/>
        <v>0.3795</v>
      </c>
      <c r="K63">
        <f t="shared" si="7"/>
        <v>3.1600000000000003E-2</v>
      </c>
      <c r="L63">
        <f t="shared" si="7"/>
        <v>5.4800000000000001E-2</v>
      </c>
      <c r="M63">
        <f t="shared" si="7"/>
        <v>0.1414</v>
      </c>
    </row>
    <row r="64" spans="1:13" x14ac:dyDescent="0.3">
      <c r="A64" t="s">
        <v>6</v>
      </c>
      <c r="B64">
        <f t="shared" si="7"/>
        <v>7.0699999999999999E-2</v>
      </c>
      <c r="C64">
        <f t="shared" si="7"/>
        <v>0.1414</v>
      </c>
      <c r="D64">
        <f t="shared" si="7"/>
        <v>7.0699999999999999E-2</v>
      </c>
      <c r="E64">
        <f t="shared" si="7"/>
        <v>7.0699999999999999E-2</v>
      </c>
      <c r="F64">
        <f t="shared" si="7"/>
        <v>0.1414</v>
      </c>
      <c r="G64">
        <f t="shared" si="7"/>
        <v>5.4800000000000001E-2</v>
      </c>
      <c r="H64">
        <f t="shared" si="7"/>
        <v>0</v>
      </c>
      <c r="I64">
        <f t="shared" si="7"/>
        <v>0.21210000000000001</v>
      </c>
      <c r="J64">
        <f t="shared" si="7"/>
        <v>0.1095</v>
      </c>
      <c r="K64">
        <f t="shared" si="7"/>
        <v>0.1414</v>
      </c>
      <c r="L64">
        <f t="shared" si="7"/>
        <v>8.3699999999999997E-2</v>
      </c>
      <c r="M64">
        <f t="shared" si="7"/>
        <v>3.1600000000000003E-2</v>
      </c>
    </row>
    <row r="65" spans="1:13" x14ac:dyDescent="0.3">
      <c r="A65" t="s">
        <v>7</v>
      </c>
      <c r="B65">
        <f t="shared" si="7"/>
        <v>0.21210000000000001</v>
      </c>
      <c r="C65">
        <f t="shared" si="7"/>
        <v>0.1414</v>
      </c>
      <c r="D65">
        <f t="shared" si="7"/>
        <v>7.0699999999999999E-2</v>
      </c>
      <c r="E65">
        <f t="shared" si="7"/>
        <v>0.1414</v>
      </c>
      <c r="F65">
        <f t="shared" si="7"/>
        <v>7.0699999999999999E-2</v>
      </c>
      <c r="G65">
        <f t="shared" si="7"/>
        <v>6.3200000000000006E-2</v>
      </c>
      <c r="H65">
        <f t="shared" si="7"/>
        <v>8.3699999999999997E-2</v>
      </c>
      <c r="I65">
        <f t="shared" si="7"/>
        <v>0</v>
      </c>
      <c r="J65">
        <f t="shared" si="7"/>
        <v>0.3795</v>
      </c>
      <c r="K65">
        <f t="shared" si="7"/>
        <v>0.3347</v>
      </c>
      <c r="L65">
        <f t="shared" si="7"/>
        <v>0.3795</v>
      </c>
      <c r="M65">
        <f t="shared" si="7"/>
        <v>0.3347</v>
      </c>
    </row>
    <row r="66" spans="1:13" x14ac:dyDescent="0.3">
      <c r="A66" t="s">
        <v>8</v>
      </c>
      <c r="B66">
        <f t="shared" si="7"/>
        <v>0.3347</v>
      </c>
      <c r="C66">
        <f t="shared" si="7"/>
        <v>8.3699999999999997E-2</v>
      </c>
      <c r="D66">
        <f t="shared" si="7"/>
        <v>0.1414</v>
      </c>
      <c r="E66">
        <f t="shared" si="7"/>
        <v>5.4800000000000001E-2</v>
      </c>
      <c r="F66">
        <f t="shared" si="7"/>
        <v>7.0699999999999999E-2</v>
      </c>
      <c r="G66">
        <f t="shared" si="7"/>
        <v>0.1095</v>
      </c>
      <c r="H66">
        <f t="shared" si="7"/>
        <v>0.3347</v>
      </c>
      <c r="I66">
        <f t="shared" si="7"/>
        <v>7.0699999999999999E-2</v>
      </c>
      <c r="J66">
        <f t="shared" si="7"/>
        <v>0</v>
      </c>
      <c r="K66">
        <f t="shared" si="7"/>
        <v>0.3795</v>
      </c>
      <c r="L66">
        <f t="shared" si="7"/>
        <v>0.3347</v>
      </c>
      <c r="M66">
        <f t="shared" si="7"/>
        <v>0.3795</v>
      </c>
    </row>
    <row r="67" spans="1:13" x14ac:dyDescent="0.3">
      <c r="A67" t="s">
        <v>9</v>
      </c>
      <c r="B67">
        <f t="shared" si="7"/>
        <v>0.1414</v>
      </c>
      <c r="C67">
        <f t="shared" si="7"/>
        <v>7.0699999999999999E-2</v>
      </c>
      <c r="D67">
        <f t="shared" si="7"/>
        <v>7.0699999999999999E-2</v>
      </c>
      <c r="E67">
        <f t="shared" si="7"/>
        <v>8.3699999999999997E-2</v>
      </c>
      <c r="F67">
        <f t="shared" si="7"/>
        <v>0.21210000000000001</v>
      </c>
      <c r="G67">
        <f t="shared" si="7"/>
        <v>5.4800000000000001E-2</v>
      </c>
      <c r="H67">
        <f t="shared" si="7"/>
        <v>3.1600000000000003E-2</v>
      </c>
      <c r="I67">
        <f t="shared" si="7"/>
        <v>0.1095</v>
      </c>
      <c r="J67">
        <f t="shared" si="7"/>
        <v>7.0699999999999999E-2</v>
      </c>
      <c r="K67">
        <f t="shared" si="7"/>
        <v>0</v>
      </c>
      <c r="L67">
        <f t="shared" si="7"/>
        <v>0.1095</v>
      </c>
      <c r="M67">
        <f t="shared" si="7"/>
        <v>7.0699999999999999E-2</v>
      </c>
    </row>
    <row r="68" spans="1:13" x14ac:dyDescent="0.3">
      <c r="A68" t="s">
        <v>10</v>
      </c>
      <c r="B68">
        <f t="shared" si="7"/>
        <v>3.1600000000000003E-2</v>
      </c>
      <c r="C68">
        <f t="shared" si="7"/>
        <v>0.1414</v>
      </c>
      <c r="D68">
        <f t="shared" si="7"/>
        <v>0.21210000000000001</v>
      </c>
      <c r="E68">
        <f t="shared" si="7"/>
        <v>0.1414</v>
      </c>
      <c r="F68">
        <f t="shared" si="7"/>
        <v>0.1414</v>
      </c>
      <c r="G68">
        <f t="shared" si="7"/>
        <v>6.3200000000000006E-2</v>
      </c>
      <c r="H68">
        <f t="shared" si="7"/>
        <v>7.0699999999999999E-2</v>
      </c>
      <c r="I68">
        <f t="shared" si="7"/>
        <v>0.1095</v>
      </c>
      <c r="J68">
        <f t="shared" si="7"/>
        <v>7.0699999999999999E-2</v>
      </c>
      <c r="K68">
        <f t="shared" si="7"/>
        <v>7.0699999999999999E-2</v>
      </c>
      <c r="L68">
        <f t="shared" si="7"/>
        <v>0</v>
      </c>
      <c r="M68">
        <f t="shared" si="7"/>
        <v>0.3795</v>
      </c>
    </row>
    <row r="69" spans="1:13" x14ac:dyDescent="0.3">
      <c r="A69" t="s">
        <v>11</v>
      </c>
      <c r="B69">
        <f t="shared" si="7"/>
        <v>7.0699999999999999E-2</v>
      </c>
      <c r="C69">
        <f t="shared" si="7"/>
        <v>0.1095</v>
      </c>
      <c r="D69">
        <f t="shared" si="7"/>
        <v>3.1600000000000003E-2</v>
      </c>
      <c r="E69">
        <f t="shared" si="7"/>
        <v>0.1095</v>
      </c>
      <c r="F69">
        <f t="shared" si="7"/>
        <v>0.1414</v>
      </c>
      <c r="G69">
        <f t="shared" si="7"/>
        <v>8.3699999999999997E-2</v>
      </c>
      <c r="H69">
        <f t="shared" si="7"/>
        <v>0.1673</v>
      </c>
      <c r="I69">
        <f t="shared" si="7"/>
        <v>5.4800000000000001E-2</v>
      </c>
      <c r="J69">
        <f t="shared" si="7"/>
        <v>0.21210000000000001</v>
      </c>
      <c r="K69">
        <f t="shared" si="7"/>
        <v>0.1095</v>
      </c>
      <c r="L69">
        <f t="shared" si="7"/>
        <v>7.0699999999999999E-2</v>
      </c>
      <c r="M69">
        <f t="shared" si="7"/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9"/>
  <dimension ref="A1:M69"/>
  <sheetViews>
    <sheetView workbookViewId="0">
      <selection activeCell="A15" sqref="A15:M69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12</v>
      </c>
      <c r="D2" t="s">
        <v>12</v>
      </c>
      <c r="E2" t="s">
        <v>15</v>
      </c>
      <c r="F2" t="s">
        <v>16</v>
      </c>
      <c r="G2" t="s">
        <v>24</v>
      </c>
      <c r="H2" t="s">
        <v>24</v>
      </c>
      <c r="I2" t="s">
        <v>16</v>
      </c>
      <c r="J2" t="s">
        <v>13</v>
      </c>
      <c r="K2" t="s">
        <v>17</v>
      </c>
      <c r="L2" t="s">
        <v>16</v>
      </c>
      <c r="M2" t="s">
        <v>24</v>
      </c>
    </row>
    <row r="3" spans="1:13" x14ac:dyDescent="0.3">
      <c r="A3" s="1" t="s">
        <v>1</v>
      </c>
      <c r="B3" t="s">
        <v>15</v>
      </c>
      <c r="C3">
        <v>0</v>
      </c>
      <c r="D3" t="s">
        <v>18</v>
      </c>
      <c r="E3" t="s">
        <v>25</v>
      </c>
      <c r="F3" t="s">
        <v>24</v>
      </c>
      <c r="G3" t="s">
        <v>25</v>
      </c>
      <c r="H3" t="s">
        <v>25</v>
      </c>
      <c r="I3" t="s">
        <v>22</v>
      </c>
      <c r="J3" t="s">
        <v>25</v>
      </c>
      <c r="K3" t="s">
        <v>18</v>
      </c>
      <c r="L3" t="s">
        <v>25</v>
      </c>
      <c r="M3" t="s">
        <v>13</v>
      </c>
    </row>
    <row r="4" spans="1:13" x14ac:dyDescent="0.3">
      <c r="A4" s="1" t="s">
        <v>2</v>
      </c>
      <c r="B4" t="s">
        <v>12</v>
      </c>
      <c r="C4" t="s">
        <v>24</v>
      </c>
      <c r="D4">
        <v>0</v>
      </c>
      <c r="E4" t="s">
        <v>12</v>
      </c>
      <c r="F4" t="s">
        <v>22</v>
      </c>
      <c r="G4" t="s">
        <v>19</v>
      </c>
      <c r="H4" t="s">
        <v>16</v>
      </c>
      <c r="I4" t="s">
        <v>20</v>
      </c>
      <c r="J4" t="s">
        <v>18</v>
      </c>
      <c r="K4" t="s">
        <v>25</v>
      </c>
      <c r="L4" t="s">
        <v>13</v>
      </c>
      <c r="M4" t="s">
        <v>18</v>
      </c>
    </row>
    <row r="5" spans="1:13" x14ac:dyDescent="0.3">
      <c r="A5" s="1" t="s">
        <v>3</v>
      </c>
      <c r="B5" t="s">
        <v>17</v>
      </c>
      <c r="C5" t="s">
        <v>24</v>
      </c>
      <c r="D5" t="s">
        <v>71</v>
      </c>
      <c r="E5">
        <v>0</v>
      </c>
      <c r="F5" t="s">
        <v>21</v>
      </c>
      <c r="G5" t="s">
        <v>15</v>
      </c>
      <c r="H5" t="s">
        <v>12</v>
      </c>
      <c r="I5" t="s">
        <v>24</v>
      </c>
      <c r="J5" t="s">
        <v>13</v>
      </c>
      <c r="K5" t="s">
        <v>22</v>
      </c>
      <c r="L5" t="s">
        <v>13</v>
      </c>
      <c r="M5" t="s">
        <v>18</v>
      </c>
    </row>
    <row r="6" spans="1:13" x14ac:dyDescent="0.3">
      <c r="A6" s="1" t="s">
        <v>4</v>
      </c>
      <c r="B6" t="s">
        <v>24</v>
      </c>
      <c r="C6" t="s">
        <v>15</v>
      </c>
      <c r="D6" t="s">
        <v>16</v>
      </c>
      <c r="E6" t="s">
        <v>17</v>
      </c>
      <c r="F6">
        <v>0</v>
      </c>
      <c r="G6" t="s">
        <v>21</v>
      </c>
      <c r="H6" t="s">
        <v>15</v>
      </c>
      <c r="I6" t="s">
        <v>22</v>
      </c>
      <c r="J6" t="s">
        <v>13</v>
      </c>
      <c r="K6" t="s">
        <v>25</v>
      </c>
      <c r="L6" t="s">
        <v>16</v>
      </c>
      <c r="M6" t="s">
        <v>16</v>
      </c>
    </row>
    <row r="7" spans="1:13" x14ac:dyDescent="0.3">
      <c r="A7" s="1" t="s">
        <v>5</v>
      </c>
      <c r="B7" t="s">
        <v>20</v>
      </c>
      <c r="C7" t="s">
        <v>16</v>
      </c>
      <c r="D7" t="s">
        <v>20</v>
      </c>
      <c r="E7" t="s">
        <v>24</v>
      </c>
      <c r="F7" t="s">
        <v>22</v>
      </c>
      <c r="G7">
        <v>0</v>
      </c>
      <c r="H7" t="s">
        <v>15</v>
      </c>
      <c r="I7" t="s">
        <v>23</v>
      </c>
      <c r="J7" t="s">
        <v>12</v>
      </c>
      <c r="K7" t="s">
        <v>15</v>
      </c>
      <c r="L7" s="6" t="s">
        <v>22</v>
      </c>
      <c r="M7" t="s">
        <v>23</v>
      </c>
    </row>
    <row r="8" spans="1:13" x14ac:dyDescent="0.3">
      <c r="A8" s="1" t="s">
        <v>6</v>
      </c>
      <c r="B8" t="s">
        <v>20</v>
      </c>
      <c r="C8" t="s">
        <v>16</v>
      </c>
      <c r="D8" t="s">
        <v>15</v>
      </c>
      <c r="E8" t="s">
        <v>16</v>
      </c>
      <c r="F8" t="s">
        <v>16</v>
      </c>
      <c r="G8" t="s">
        <v>21</v>
      </c>
      <c r="H8">
        <v>0</v>
      </c>
      <c r="I8" t="s">
        <v>15</v>
      </c>
      <c r="J8" t="s">
        <v>16</v>
      </c>
      <c r="K8" t="s">
        <v>15</v>
      </c>
      <c r="L8" s="6" t="s">
        <v>16</v>
      </c>
      <c r="M8" t="s">
        <v>24</v>
      </c>
    </row>
    <row r="9" spans="1:13" x14ac:dyDescent="0.3">
      <c r="A9" s="1" t="s">
        <v>7</v>
      </c>
      <c r="B9" t="s">
        <v>16</v>
      </c>
      <c r="C9" t="s">
        <v>24</v>
      </c>
      <c r="D9" t="s">
        <v>16</v>
      </c>
      <c r="E9" t="s">
        <v>24</v>
      </c>
      <c r="F9" t="s">
        <v>15</v>
      </c>
      <c r="G9" t="s">
        <v>24</v>
      </c>
      <c r="H9" t="s">
        <v>16</v>
      </c>
      <c r="I9">
        <v>0</v>
      </c>
      <c r="J9" t="s">
        <v>13</v>
      </c>
      <c r="K9" t="s">
        <v>25</v>
      </c>
      <c r="L9" s="6" t="s">
        <v>13</v>
      </c>
      <c r="M9" t="s">
        <v>21</v>
      </c>
    </row>
    <row r="10" spans="1:13" x14ac:dyDescent="0.3">
      <c r="A10" s="1" t="s">
        <v>8</v>
      </c>
      <c r="B10" t="s">
        <v>22</v>
      </c>
      <c r="C10" t="s">
        <v>16</v>
      </c>
      <c r="D10" t="s">
        <v>24</v>
      </c>
      <c r="E10" t="s">
        <v>24</v>
      </c>
      <c r="F10" t="s">
        <v>24</v>
      </c>
      <c r="G10" t="s">
        <v>22</v>
      </c>
      <c r="H10" t="s">
        <v>12</v>
      </c>
      <c r="I10" t="s">
        <v>20</v>
      </c>
      <c r="J10">
        <v>0</v>
      </c>
      <c r="K10" t="s">
        <v>18</v>
      </c>
      <c r="L10" s="6" t="s">
        <v>18</v>
      </c>
      <c r="M10" t="s">
        <v>13</v>
      </c>
    </row>
    <row r="11" spans="1:13" x14ac:dyDescent="0.3">
      <c r="A11" s="1" t="s">
        <v>9</v>
      </c>
      <c r="B11" t="s">
        <v>22</v>
      </c>
      <c r="C11" t="s">
        <v>16</v>
      </c>
      <c r="D11" t="s">
        <v>17</v>
      </c>
      <c r="E11" t="s">
        <v>15</v>
      </c>
      <c r="F11" t="s">
        <v>20</v>
      </c>
      <c r="G11" t="s">
        <v>23</v>
      </c>
      <c r="H11" t="s">
        <v>71</v>
      </c>
      <c r="I11" t="s">
        <v>15</v>
      </c>
      <c r="J11" t="s">
        <v>16</v>
      </c>
      <c r="K11">
        <v>0</v>
      </c>
      <c r="L11" s="6" t="s">
        <v>16</v>
      </c>
      <c r="M11" t="s">
        <v>15</v>
      </c>
    </row>
    <row r="12" spans="1:13" x14ac:dyDescent="0.3">
      <c r="A12" s="1" t="s">
        <v>10</v>
      </c>
      <c r="B12" t="s">
        <v>15</v>
      </c>
      <c r="C12" t="s">
        <v>23</v>
      </c>
      <c r="D12" t="s">
        <v>15</v>
      </c>
      <c r="E12" t="s">
        <v>16</v>
      </c>
      <c r="F12" t="s">
        <v>16</v>
      </c>
      <c r="G12" t="s">
        <v>15</v>
      </c>
      <c r="H12" t="s">
        <v>23</v>
      </c>
      <c r="I12" t="s">
        <v>20</v>
      </c>
      <c r="J12" t="s">
        <v>15</v>
      </c>
      <c r="K12" t="s">
        <v>15</v>
      </c>
      <c r="L12">
        <v>0</v>
      </c>
      <c r="M12" t="s">
        <v>18</v>
      </c>
    </row>
    <row r="13" spans="1:13" x14ac:dyDescent="0.3">
      <c r="A13" s="1" t="s">
        <v>11</v>
      </c>
      <c r="B13" t="s">
        <v>16</v>
      </c>
      <c r="C13" t="s">
        <v>17</v>
      </c>
      <c r="D13" t="s">
        <v>24</v>
      </c>
      <c r="E13" t="s">
        <v>17</v>
      </c>
      <c r="F13" t="s">
        <v>24</v>
      </c>
      <c r="G13" t="s">
        <v>16</v>
      </c>
      <c r="H13" t="s">
        <v>24</v>
      </c>
      <c r="I13" t="s">
        <v>16</v>
      </c>
      <c r="J13" t="s">
        <v>16</v>
      </c>
      <c r="K13" t="s">
        <v>62</v>
      </c>
      <c r="L13" t="s">
        <v>15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(0,1673; 0,251; 0,3347)</v>
      </c>
      <c r="D16" t="str">
        <f>VLOOKUP(D2,'Thang đánh giá'!$C$2:$D$27,2,FALSE)</f>
        <v>(0,1673; 0,251; 0,3347)</v>
      </c>
      <c r="E16" t="str">
        <f>VLOOKUP(E2,'Thang đánh giá'!$C$2:$D$27,2,FALSE)</f>
        <v>(0; 0,0707; 0,1414)</v>
      </c>
      <c r="F16" t="str">
        <f>VLOOKUP(F2,'Thang đánh giá'!$C$2:$D$27,2,FALSE)</f>
        <v>(0; 0; 0,0707)</v>
      </c>
      <c r="G16" t="str">
        <f>VLOOKUP(G2,'Thang đánh giá'!$C$2:$D$27,2,FALSE)</f>
        <v>(0; 0; 0,0548)</v>
      </c>
      <c r="H16" t="str">
        <f>VLOOKUP(H2,'Thang đánh giá'!$C$2:$D$27,2,FALSE)</f>
        <v>(0; 0; 0,0548)</v>
      </c>
      <c r="I16" t="str">
        <f>VLOOKUP(I2,'Thang đánh giá'!$C$2:$D$27,2,FALSE)</f>
        <v>(0; 0; 0,0707)</v>
      </c>
      <c r="J16" t="str">
        <f>VLOOKUP(J2,'Thang đánh giá'!$C$2:$D$27,2,FALSE)</f>
        <v>(0,1897; 0,2846; 0,3795)</v>
      </c>
      <c r="K16" t="str">
        <f>VLOOKUP(K2,'Thang đánh giá'!$C$2:$D$27,2,FALSE)</f>
        <v>(0; 0,0316; 0,0632)</v>
      </c>
      <c r="L16" t="str">
        <f>VLOOKUP(L2,'Thang đánh giá'!$C$2:$D$27,2,FALSE)</f>
        <v>(0; 0; 0,0707)</v>
      </c>
      <c r="M16" t="str">
        <f>VLOOKUP(M2,'Thang đánh giá'!$C$2:$D$27,2,FALSE)</f>
        <v>(0; 0; 0,0548)</v>
      </c>
    </row>
    <row r="17" spans="1:13" x14ac:dyDescent="0.3">
      <c r="A17" t="s">
        <v>1</v>
      </c>
      <c r="B17" t="str">
        <f>VLOOKUP(B3,'Thang đánh giá'!$C$2:$D$27,2,FALSE)</f>
        <v>(0; 0,0707; 0,1414)</v>
      </c>
      <c r="C17" t="str">
        <f>VLOOKUP(C3,'Thang đánh giá'!$C$2:$D$27,2,FALSE)</f>
        <v>(0; 0; 0)</v>
      </c>
      <c r="D17" t="str">
        <f>VLOOKUP(D3,'Thang đánh giá'!$C$2:$D$27,2,FALSE)</f>
        <v>(0,2846; 0,3795; 0,3795)</v>
      </c>
      <c r="E17" t="str">
        <f>VLOOKUP(E3,'Thang đánh giá'!$C$2:$D$27,2,FALSE)</f>
        <v>(0,251; 0,3347; 0,3347)</v>
      </c>
      <c r="F17" t="str">
        <f>VLOOKUP(F3,'Thang đánh giá'!$C$2:$D$27,2,FALSE)</f>
        <v>(0; 0; 0,0548)</v>
      </c>
      <c r="G17" t="str">
        <f>VLOOKUP(G3,'Thang đánh giá'!$C$2:$D$27,2,FALSE)</f>
        <v>(0,251; 0,3347; 0,3347)</v>
      </c>
      <c r="H17" t="str">
        <f>VLOOKUP(H3,'Thang đánh giá'!$C$2:$D$27,2,FALSE)</f>
        <v>(0,251; 0,3347; 0,3347)</v>
      </c>
      <c r="I17" t="str">
        <f>VLOOKUP(I3,'Thang đánh giá'!$C$2:$D$27,2,FALSE)</f>
        <v>(0,0707; 0,1414; 0,2121)</v>
      </c>
      <c r="J17" t="str">
        <f>VLOOKUP(J3,'Thang đánh giá'!$C$2:$D$27,2,FALSE)</f>
        <v>(0,251; 0,3347; 0,3347)</v>
      </c>
      <c r="K17" t="str">
        <f>VLOOKUP(K3,'Thang đánh giá'!$C$2:$D$27,2,FALSE)</f>
        <v>(0,2846; 0,3795; 0,3795)</v>
      </c>
      <c r="L17" t="str">
        <f>VLOOKUP(L3,'Thang đánh giá'!$C$2:$D$27,2,FALSE)</f>
        <v>(0,251; 0,3347; 0,3347)</v>
      </c>
      <c r="M17" t="str">
        <f>VLOOKUP(M3,'Thang đánh giá'!$C$2:$D$27,2,FALSE)</f>
        <v>(0,1897; 0,2846; 0,3795)</v>
      </c>
    </row>
    <row r="18" spans="1:13" x14ac:dyDescent="0.3">
      <c r="A18" t="s">
        <v>2</v>
      </c>
      <c r="B18" t="str">
        <f>VLOOKUP(B4,'Thang đánh giá'!$C$2:$D$27,2,FALSE)</f>
        <v>(0,1673; 0,251; 0,3347)</v>
      </c>
      <c r="C18" t="str">
        <f>VLOOKUP(C4,'Thang đánh giá'!$C$2:$D$27,2,FALSE)</f>
        <v>(0; 0; 0,0548)</v>
      </c>
      <c r="D18" t="str">
        <f>VLOOKUP(D4,'Thang đánh giá'!$C$2:$D$27,2,FALSE)</f>
        <v>(0; 0; 0)</v>
      </c>
      <c r="E18" t="str">
        <f>VLOOKUP(E4,'Thang đánh giá'!$C$2:$D$27,2,FALSE)</f>
        <v>(0,1673; 0,251; 0,3347)</v>
      </c>
      <c r="F18" t="str">
        <f>VLOOKUP(F4,'Thang đánh giá'!$C$2:$D$27,2,FALSE)</f>
        <v>(0,0707; 0,1414; 0,2121)</v>
      </c>
      <c r="G18" t="str">
        <f>VLOOKUP(G4,'Thang đánh giá'!$C$2:$D$27,2,FALSE)</f>
        <v>(0,1414; 0,2121; 0,2828)</v>
      </c>
      <c r="H18" t="str">
        <f>VLOOKUP(H4,'Thang đánh giá'!$C$2:$D$27,2,FALSE)</f>
        <v>(0; 0; 0,0707)</v>
      </c>
      <c r="I18" t="str">
        <f>VLOOKUP(I4,'Thang đánh giá'!$C$2:$D$27,2,FALSE)</f>
        <v>(0; 0,0548; 0,1095)</v>
      </c>
      <c r="J18" t="str">
        <f>VLOOKUP(J4,'Thang đánh giá'!$C$2:$D$27,2,FALSE)</f>
        <v>(0,2846; 0,3795; 0,3795)</v>
      </c>
      <c r="K18" t="str">
        <f>VLOOKUP(K4,'Thang đánh giá'!$C$2:$D$27,2,FALSE)</f>
        <v>(0,251; 0,3347; 0,3347)</v>
      </c>
      <c r="L18" t="str">
        <f>VLOOKUP(L4,'Thang đánh giá'!$C$2:$D$27,2,FALSE)</f>
        <v>(0,1897; 0,2846; 0,3795)</v>
      </c>
      <c r="M18" t="str">
        <f>VLOOKUP(M4,'Thang đánh giá'!$C$2:$D$27,2,FALSE)</f>
        <v>(0,2846; 0,3795; 0,3795)</v>
      </c>
    </row>
    <row r="19" spans="1:13" x14ac:dyDescent="0.3">
      <c r="A19" t="s">
        <v>3</v>
      </c>
      <c r="B19" t="str">
        <f>VLOOKUP(B5,'Thang đánh giá'!$C$2:$D$27,2,FALSE)</f>
        <v>(0; 0,0316; 0,0632)</v>
      </c>
      <c r="C19" t="str">
        <f>VLOOKUP(C5,'Thang đánh giá'!$C$2:$D$27,2,FALSE)</f>
        <v>(0; 0; 0,0548)</v>
      </c>
      <c r="D19" t="str">
        <f>VLOOKUP(D5,'Thang đánh giá'!$C$2:$D$27,2,FALSE)</f>
        <v>(0; 0; 0,0837)</v>
      </c>
      <c r="E19" t="str">
        <f>VLOOKUP(E5,'Thang đánh giá'!$C$2:$D$27,2,FALSE)</f>
        <v>(0; 0; 0)</v>
      </c>
      <c r="F19" t="str">
        <f>VLOOKUP(F5,'Thang đánh giá'!$C$2:$D$27,2,FALSE)</f>
        <v>(0,0837; 0,1673; 0,251)</v>
      </c>
      <c r="G19" t="str">
        <f>VLOOKUP(G5,'Thang đánh giá'!$C$2:$D$27,2,FALSE)</f>
        <v>(0; 0,0707; 0,1414)</v>
      </c>
      <c r="H19" t="str">
        <f>VLOOKUP(H5,'Thang đánh giá'!$C$2:$D$27,2,FALSE)</f>
        <v>(0,1673; 0,251; 0,3347)</v>
      </c>
      <c r="I19" t="str">
        <f>VLOOKUP(I5,'Thang đánh giá'!$C$2:$D$27,2,FALSE)</f>
        <v>(0; 0; 0,0548)</v>
      </c>
      <c r="J19" t="str">
        <f>VLOOKUP(J5,'Thang đánh giá'!$C$2:$D$27,2,FALSE)</f>
        <v>(0,1897; 0,2846; 0,3795)</v>
      </c>
      <c r="K19" t="str">
        <f>VLOOKUP(K5,'Thang đánh giá'!$C$2:$D$27,2,FALSE)</f>
        <v>(0,0707; 0,1414; 0,2121)</v>
      </c>
      <c r="L19" t="str">
        <f>VLOOKUP(L5,'Thang đánh giá'!$C$2:$D$27,2,FALSE)</f>
        <v>(0,1897; 0,2846; 0,3795)</v>
      </c>
      <c r="M19" t="str">
        <f>VLOOKUP(M5,'Thang đánh giá'!$C$2:$D$27,2,FALSE)</f>
        <v>(0,2846; 0,3795; 0,3795)</v>
      </c>
    </row>
    <row r="20" spans="1:13" x14ac:dyDescent="0.3">
      <c r="A20" t="s">
        <v>4</v>
      </c>
      <c r="B20" t="str">
        <f>VLOOKUP(B6,'Thang đánh giá'!$C$2:$D$27,2,FALSE)</f>
        <v>(0; 0; 0,0548)</v>
      </c>
      <c r="C20" t="str">
        <f>VLOOKUP(C6,'Thang đánh giá'!$C$2:$D$27,2,FALSE)</f>
        <v>(0; 0,0707; 0,1414)</v>
      </c>
      <c r="D20" t="str">
        <f>VLOOKUP(D6,'Thang đánh giá'!$C$2:$D$27,2,FALSE)</f>
        <v>(0; 0; 0,0707)</v>
      </c>
      <c r="E20" t="str">
        <f>VLOOKUP(E6,'Thang đánh giá'!$C$2:$D$27,2,FALSE)</f>
        <v>(0; 0,0316; 0,0632)</v>
      </c>
      <c r="F20" t="str">
        <f>VLOOKUP(F6,'Thang đánh giá'!$C$2:$D$27,2,FALSE)</f>
        <v>(0; 0; 0)</v>
      </c>
      <c r="G20" t="str">
        <f>VLOOKUP(G6,'Thang đánh giá'!$C$2:$D$27,2,FALSE)</f>
        <v>(0,0837; 0,1673; 0,251)</v>
      </c>
      <c r="H20" t="str">
        <f>VLOOKUP(H6,'Thang đánh giá'!$C$2:$D$27,2,FALSE)</f>
        <v>(0; 0,0707; 0,1414)</v>
      </c>
      <c r="I20" t="str">
        <f>VLOOKUP(I6,'Thang đánh giá'!$C$2:$D$27,2,FALSE)</f>
        <v>(0,0707; 0,1414; 0,2121)</v>
      </c>
      <c r="J20" t="str">
        <f>VLOOKUP(J6,'Thang đánh giá'!$C$2:$D$27,2,FALSE)</f>
        <v>(0,1897; 0,2846; 0,3795)</v>
      </c>
      <c r="K20" t="str">
        <f>VLOOKUP(K6,'Thang đánh giá'!$C$2:$D$27,2,FALSE)</f>
        <v>(0,251; 0,3347; 0,3347)</v>
      </c>
      <c r="L20" t="str">
        <f>VLOOKUP(L6,'Thang đánh giá'!$C$2:$D$27,2,FALSE)</f>
        <v>(0; 0; 0,0707)</v>
      </c>
      <c r="M20" t="str">
        <f>VLOOKUP(M6,'Thang đánh giá'!$C$2:$D$27,2,FALSE)</f>
        <v>(0; 0; 0,0707)</v>
      </c>
    </row>
    <row r="21" spans="1:13" x14ac:dyDescent="0.3">
      <c r="A21" t="s">
        <v>5</v>
      </c>
      <c r="B21" t="str">
        <f>VLOOKUP(B7,'Thang đánh giá'!$C$2:$D$27,2,FALSE)</f>
        <v>(0; 0,0548; 0,1095)</v>
      </c>
      <c r="C21" t="str">
        <f>VLOOKUP(C7,'Thang đánh giá'!$C$2:$D$27,2,FALSE)</f>
        <v>(0; 0; 0,0707)</v>
      </c>
      <c r="D21" t="str">
        <f>VLOOKUP(D7,'Thang đánh giá'!$C$2:$D$27,2,FALSE)</f>
        <v>(0; 0,0548; 0,1095)</v>
      </c>
      <c r="E21" t="str">
        <f>VLOOKUP(E7,'Thang đánh giá'!$C$2:$D$27,2,FALSE)</f>
        <v>(0; 0; 0,0548)</v>
      </c>
      <c r="F21" t="str">
        <f>VLOOKUP(F7,'Thang đánh giá'!$C$2:$D$27,2,FALSE)</f>
        <v>(0,0707; 0,1414; 0,2121)</v>
      </c>
      <c r="G21" t="str">
        <f>VLOOKUP(G7,'Thang đánh giá'!$C$2:$D$27,2,FALSE)</f>
        <v>(0; 0; 0)</v>
      </c>
      <c r="H21" t="str">
        <f>VLOOKUP(H7,'Thang đánh giá'!$C$2:$D$27,2,FALSE)</f>
        <v>(0; 0,0707; 0,1414)</v>
      </c>
      <c r="I21" t="str">
        <f>VLOOKUP(I7,'Thang đánh giá'!$C$2:$D$27,2,FALSE)</f>
        <v>(0; 0; 0,0316)</v>
      </c>
      <c r="J21" t="str">
        <f>VLOOKUP(J7,'Thang đánh giá'!$C$2:$D$27,2,FALSE)</f>
        <v>(0,1673; 0,251; 0,3347)</v>
      </c>
      <c r="K21" t="str">
        <f>VLOOKUP(K7,'Thang đánh giá'!$C$2:$D$27,2,FALSE)</f>
        <v>(0; 0,0707; 0,1414)</v>
      </c>
      <c r="L21" t="str">
        <f>VLOOKUP(L7,'Thang đánh giá'!$C$2:$D$27,2,FALSE)</f>
        <v>(0,0707; 0,1414; 0,2121)</v>
      </c>
      <c r="M21" t="str">
        <f>VLOOKUP(M7,'Thang đánh giá'!$C$2:$D$27,2,FALSE)</f>
        <v>(0; 0; 0,0316)</v>
      </c>
    </row>
    <row r="22" spans="1:13" x14ac:dyDescent="0.3">
      <c r="A22" t="s">
        <v>6</v>
      </c>
      <c r="B22" t="str">
        <f>VLOOKUP(B8,'Thang đánh giá'!$C$2:$D$27,2,FALSE)</f>
        <v>(0; 0,0548; 0,1095)</v>
      </c>
      <c r="C22" t="str">
        <f>VLOOKUP(C8,'Thang đánh giá'!$C$2:$D$27,2,FALSE)</f>
        <v>(0; 0; 0,0707)</v>
      </c>
      <c r="D22" t="str">
        <f>VLOOKUP(D8,'Thang đánh giá'!$C$2:$D$27,2,FALSE)</f>
        <v>(0; 0,0707; 0,1414)</v>
      </c>
      <c r="E22" t="str">
        <f>VLOOKUP(E8,'Thang đánh giá'!$C$2:$D$27,2,FALSE)</f>
        <v>(0; 0; 0,0707)</v>
      </c>
      <c r="F22" t="str">
        <f>VLOOKUP(F8,'Thang đánh giá'!$C$2:$D$27,2,FALSE)</f>
        <v>(0; 0; 0,0707)</v>
      </c>
      <c r="G22" t="str">
        <f>VLOOKUP(G8,'Thang đánh giá'!$C$2:$D$27,2,FALSE)</f>
        <v>(0,0837; 0,1673; 0,251)</v>
      </c>
      <c r="H22" t="str">
        <f>VLOOKUP(H8,'Thang đánh giá'!$C$2:$D$27,2,FALSE)</f>
        <v>(0; 0; 0)</v>
      </c>
      <c r="I22" t="str">
        <f>VLOOKUP(I8,'Thang đánh giá'!$C$2:$D$27,2,FALSE)</f>
        <v>(0; 0,0707; 0,1414)</v>
      </c>
      <c r="J22" t="str">
        <f>VLOOKUP(J8,'Thang đánh giá'!$C$2:$D$27,2,FALSE)</f>
        <v>(0; 0; 0,0707)</v>
      </c>
      <c r="K22" t="str">
        <f>VLOOKUP(K8,'Thang đánh giá'!$C$2:$D$27,2,FALSE)</f>
        <v>(0; 0,0707; 0,1414)</v>
      </c>
      <c r="L22" t="str">
        <f>VLOOKUP(L8,'Thang đánh giá'!$C$2:$D$27,2,FALSE)</f>
        <v>(0; 0; 0,0707)</v>
      </c>
      <c r="M22" t="str">
        <f>VLOOKUP(M8,'Thang đánh giá'!$C$2:$D$27,2,FALSE)</f>
        <v>(0; 0; 0,0548)</v>
      </c>
    </row>
    <row r="23" spans="1:13" x14ac:dyDescent="0.3">
      <c r="A23" t="s">
        <v>7</v>
      </c>
      <c r="B23" t="str">
        <f>VLOOKUP(B9,'Thang đánh giá'!$C$2:$D$27,2,FALSE)</f>
        <v>(0; 0; 0,0707)</v>
      </c>
      <c r="C23" t="str">
        <f>VLOOKUP(C9,'Thang đánh giá'!$C$2:$D$27,2,FALSE)</f>
        <v>(0; 0; 0,0548)</v>
      </c>
      <c r="D23" t="str">
        <f>VLOOKUP(D9,'Thang đánh giá'!$C$2:$D$27,2,FALSE)</f>
        <v>(0; 0; 0,0707)</v>
      </c>
      <c r="E23" t="str">
        <f>VLOOKUP(E9,'Thang đánh giá'!$C$2:$D$27,2,FALSE)</f>
        <v>(0; 0; 0,0548)</v>
      </c>
      <c r="F23" t="str">
        <f>VLOOKUP(F9,'Thang đánh giá'!$C$2:$D$27,2,FALSE)</f>
        <v>(0; 0,0707; 0,1414)</v>
      </c>
      <c r="G23" t="str">
        <f>VLOOKUP(G9,'Thang đánh giá'!$C$2:$D$27,2,FALSE)</f>
        <v>(0; 0; 0,0548)</v>
      </c>
      <c r="H23" t="str">
        <f>VLOOKUP(H9,'Thang đánh giá'!$C$2:$D$27,2,FALSE)</f>
        <v>(0; 0; 0,0707)</v>
      </c>
      <c r="I23" t="str">
        <f>VLOOKUP(I9,'Thang đánh giá'!$C$2:$D$27,2,FALSE)</f>
        <v>(0; 0; 0)</v>
      </c>
      <c r="J23" t="str">
        <f>VLOOKUP(J9,'Thang đánh giá'!$C$2:$D$27,2,FALSE)</f>
        <v>(0,1897; 0,2846; 0,3795)</v>
      </c>
      <c r="K23" t="str">
        <f>VLOOKUP(K9,'Thang đánh giá'!$C$2:$D$27,2,FALSE)</f>
        <v>(0,251; 0,3347; 0,3347)</v>
      </c>
      <c r="L23" t="str">
        <f>VLOOKUP(L9,'Thang đánh giá'!$C$2:$D$27,2,FALSE)</f>
        <v>(0,1897; 0,2846; 0,3795)</v>
      </c>
      <c r="M23" t="str">
        <f>VLOOKUP(M9,'Thang đánh giá'!$C$2:$D$27,2,FALSE)</f>
        <v>(0,0837; 0,1673; 0,251)</v>
      </c>
    </row>
    <row r="24" spans="1:13" x14ac:dyDescent="0.3">
      <c r="A24" t="s">
        <v>8</v>
      </c>
      <c r="B24" t="str">
        <f>VLOOKUP(B10,'Thang đánh giá'!$C$2:$D$27,2,FALSE)</f>
        <v>(0,0707; 0,1414; 0,2121)</v>
      </c>
      <c r="C24" t="str">
        <f>VLOOKUP(C10,'Thang đánh giá'!$C$2:$D$27,2,FALSE)</f>
        <v>(0; 0; 0,0707)</v>
      </c>
      <c r="D24" t="str">
        <f>VLOOKUP(D10,'Thang đánh giá'!$C$2:$D$27,2,FALSE)</f>
        <v>(0; 0; 0,0548)</v>
      </c>
      <c r="E24" t="str">
        <f>VLOOKUP(E10,'Thang đánh giá'!$C$2:$D$27,2,FALSE)</f>
        <v>(0; 0; 0,0548)</v>
      </c>
      <c r="F24" t="str">
        <f>VLOOKUP(F10,'Thang đánh giá'!$C$2:$D$27,2,FALSE)</f>
        <v>(0; 0; 0,0548)</v>
      </c>
      <c r="G24" t="str">
        <f>VLOOKUP(G10,'Thang đánh giá'!$C$2:$D$27,2,FALSE)</f>
        <v>(0,0707; 0,1414; 0,2121)</v>
      </c>
      <c r="H24" t="str">
        <f>VLOOKUP(H10,'Thang đánh giá'!$C$2:$D$27,2,FALSE)</f>
        <v>(0,1673; 0,251; 0,3347)</v>
      </c>
      <c r="I24" t="str">
        <f>VLOOKUP(I10,'Thang đánh giá'!$C$2:$D$27,2,FALSE)</f>
        <v>(0; 0,0548; 0,1095)</v>
      </c>
      <c r="J24" t="str">
        <f>VLOOKUP(J10,'Thang đánh giá'!$C$2:$D$27,2,FALSE)</f>
        <v>(0; 0; 0)</v>
      </c>
      <c r="K24" t="str">
        <f>VLOOKUP(K10,'Thang đánh giá'!$C$2:$D$27,2,FALSE)</f>
        <v>(0,2846; 0,3795; 0,3795)</v>
      </c>
      <c r="L24" t="str">
        <f>VLOOKUP(L10,'Thang đánh giá'!$C$2:$D$27,2,FALSE)</f>
        <v>(0,2846; 0,3795; 0,3795)</v>
      </c>
      <c r="M24" t="str">
        <f>VLOOKUP(M10,'Thang đánh giá'!$C$2:$D$27,2,FALSE)</f>
        <v>(0,1897; 0,2846; 0,3795)</v>
      </c>
    </row>
    <row r="25" spans="1:13" x14ac:dyDescent="0.3">
      <c r="A25" t="s">
        <v>9</v>
      </c>
      <c r="B25" t="str">
        <f>VLOOKUP(B11,'Thang đánh giá'!$C$2:$D$27,2,FALSE)</f>
        <v>(0,0707; 0,1414; 0,2121)</v>
      </c>
      <c r="C25" t="str">
        <f>VLOOKUP(C11,'Thang đánh giá'!$C$2:$D$27,2,FALSE)</f>
        <v>(0; 0; 0,0707)</v>
      </c>
      <c r="D25" t="str">
        <f>VLOOKUP(D11,'Thang đánh giá'!$C$2:$D$27,2,FALSE)</f>
        <v>(0; 0,0316; 0,0632)</v>
      </c>
      <c r="E25" t="str">
        <f>VLOOKUP(E11,'Thang đánh giá'!$C$2:$D$27,2,FALSE)</f>
        <v>(0; 0,0707; 0,1414)</v>
      </c>
      <c r="F25" t="str">
        <f>VLOOKUP(F11,'Thang đánh giá'!$C$2:$D$27,2,FALSE)</f>
        <v>(0; 0,0548; 0,1095)</v>
      </c>
      <c r="G25" t="str">
        <f>VLOOKUP(G11,'Thang đánh giá'!$C$2:$D$27,2,FALSE)</f>
        <v>(0; 0; 0,0316)</v>
      </c>
      <c r="H25" t="str">
        <f>VLOOKUP(H11,'Thang đánh giá'!$C$2:$D$27,2,FALSE)</f>
        <v>(0; 0; 0,0837)</v>
      </c>
      <c r="I25" t="str">
        <f>VLOOKUP(I11,'Thang đánh giá'!$C$2:$D$27,2,FALSE)</f>
        <v>(0; 0,0707; 0,1414)</v>
      </c>
      <c r="J25" t="str">
        <f>VLOOKUP(J11,'Thang đánh giá'!$C$2:$D$27,2,FALSE)</f>
        <v>(0; 0; 0,0707)</v>
      </c>
      <c r="K25" t="str">
        <f>VLOOKUP(K11,'Thang đánh giá'!$C$2:$D$27,2,FALSE)</f>
        <v>(0; 0; 0)</v>
      </c>
      <c r="L25" t="str">
        <f>VLOOKUP(L11,'Thang đánh giá'!$C$2:$D$27,2,FALSE)</f>
        <v>(0; 0; 0,0707)</v>
      </c>
      <c r="M25" t="str">
        <f>VLOOKUP(M11,'Thang đánh giá'!$C$2:$D$27,2,FALSE)</f>
        <v>(0; 0,0707; 0,1414)</v>
      </c>
    </row>
    <row r="26" spans="1:13" x14ac:dyDescent="0.3">
      <c r="A26" t="s">
        <v>10</v>
      </c>
      <c r="B26" t="str">
        <f>VLOOKUP(B12,'Thang đánh giá'!$C$2:$D$27,2,FALSE)</f>
        <v>(0; 0,0707; 0,1414)</v>
      </c>
      <c r="C26" t="str">
        <f>VLOOKUP(C12,'Thang đánh giá'!$C$2:$D$27,2,FALSE)</f>
        <v>(0; 0; 0,0316)</v>
      </c>
      <c r="D26" t="str">
        <f>VLOOKUP(D12,'Thang đánh giá'!$C$2:$D$27,2,FALSE)</f>
        <v>(0; 0,0707; 0,1414)</v>
      </c>
      <c r="E26" t="str">
        <f>VLOOKUP(E12,'Thang đánh giá'!$C$2:$D$27,2,FALSE)</f>
        <v>(0; 0; 0,0707)</v>
      </c>
      <c r="F26" t="str">
        <f>VLOOKUP(F12,'Thang đánh giá'!$C$2:$D$27,2,FALSE)</f>
        <v>(0; 0; 0,0707)</v>
      </c>
      <c r="G26" t="str">
        <f>VLOOKUP(G12,'Thang đánh giá'!$C$2:$D$27,2,FALSE)</f>
        <v>(0; 0,0707; 0,1414)</v>
      </c>
      <c r="H26" t="str">
        <f>VLOOKUP(H12,'Thang đánh giá'!$C$2:$D$27,2,FALSE)</f>
        <v>(0; 0; 0,0316)</v>
      </c>
      <c r="I26" t="str">
        <f>VLOOKUP(I12,'Thang đánh giá'!$C$2:$D$27,2,FALSE)</f>
        <v>(0; 0,0548; 0,1095)</v>
      </c>
      <c r="J26" t="str">
        <f>VLOOKUP(J12,'Thang đánh giá'!$C$2:$D$27,2,FALSE)</f>
        <v>(0; 0,0707; 0,1414)</v>
      </c>
      <c r="K26" t="str">
        <f>VLOOKUP(K12,'Thang đánh giá'!$C$2:$D$27,2,FALSE)</f>
        <v>(0; 0,0707; 0,1414)</v>
      </c>
      <c r="L26" t="str">
        <f>VLOOKUP(L12,'Thang đánh giá'!$C$2:$D$27,2,FALSE)</f>
        <v>(0; 0; 0)</v>
      </c>
      <c r="M26" t="str">
        <f>VLOOKUP(M12,'Thang đánh giá'!$C$2:$D$27,2,FALSE)</f>
        <v>(0,2846; 0,3795; 0,3795)</v>
      </c>
    </row>
    <row r="27" spans="1:13" x14ac:dyDescent="0.3">
      <c r="A27" t="s">
        <v>11</v>
      </c>
      <c r="B27" t="str">
        <f>VLOOKUP(B13,'Thang đánh giá'!$C$2:$D$27,2,FALSE)</f>
        <v>(0; 0; 0,0707)</v>
      </c>
      <c r="C27" t="str">
        <f>VLOOKUP(C13,'Thang đánh giá'!$C$2:$D$27,2,FALSE)</f>
        <v>(0; 0,0316; 0,0632)</v>
      </c>
      <c r="D27" t="str">
        <f>VLOOKUP(D13,'Thang đánh giá'!$C$2:$D$27,2,FALSE)</f>
        <v>(0; 0; 0,0548)</v>
      </c>
      <c r="E27" t="str">
        <f>VLOOKUP(E13,'Thang đánh giá'!$C$2:$D$27,2,FALSE)</f>
        <v>(0; 0,0316; 0,0632)</v>
      </c>
      <c r="F27" t="str">
        <f>VLOOKUP(F13,'Thang đánh giá'!$C$2:$D$27,2,FALSE)</f>
        <v>(0; 0; 0,0548)</v>
      </c>
      <c r="G27" t="str">
        <f>VLOOKUP(G13,'Thang đánh giá'!$C$2:$D$27,2,FALSE)</f>
        <v>(0; 0; 0,0707)</v>
      </c>
      <c r="H27" t="str">
        <f>VLOOKUP(H13,'Thang đánh giá'!$C$2:$D$27,2,FALSE)</f>
        <v>(0; 0; 0,0548)</v>
      </c>
      <c r="I27" t="str">
        <f>VLOOKUP(I13,'Thang đánh giá'!$C$2:$D$27,2,FALSE)</f>
        <v>(0; 0; 0,0707)</v>
      </c>
      <c r="J27" t="str">
        <f>VLOOKUP(J13,'Thang đánh giá'!$C$2:$D$27,2,FALSE)</f>
        <v>(0; 0; 0,0707)</v>
      </c>
      <c r="K27" t="str">
        <f>VLOOKUP(K13,'Thang đánh giá'!$C$2:$D$27,2,FALSE)</f>
        <v>(0; 0,0837; 0,1673)</v>
      </c>
      <c r="L27" t="str">
        <f>VLOOKUP(L13,'Thang đánh giá'!$C$2:$D$27,2,FALSE)</f>
        <v>(0; 0,0707; 0,1414)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0.1673</v>
      </c>
      <c r="D30">
        <f t="shared" si="0"/>
        <v>0.1673</v>
      </c>
      <c r="E30">
        <f t="shared" si="0"/>
        <v>0</v>
      </c>
      <c r="F30">
        <f t="shared" si="0"/>
        <v>0</v>
      </c>
      <c r="G30">
        <f t="shared" si="0"/>
        <v>0</v>
      </c>
      <c r="H30">
        <f t="shared" si="0"/>
        <v>0</v>
      </c>
      <c r="I30">
        <f t="shared" si="0"/>
        <v>0</v>
      </c>
      <c r="J30">
        <f t="shared" si="0"/>
        <v>0.18970000000000001</v>
      </c>
      <c r="K30">
        <f t="shared" si="0"/>
        <v>0</v>
      </c>
      <c r="L30">
        <f t="shared" si="0"/>
        <v>0</v>
      </c>
      <c r="M30">
        <f t="shared" si="0"/>
        <v>0</v>
      </c>
    </row>
    <row r="31" spans="1:13" x14ac:dyDescent="0.3">
      <c r="A31" t="s">
        <v>1</v>
      </c>
      <c r="B31">
        <f t="shared" ref="B31:M41" si="1">_xlfn.NUMBERVALUE(MID(B17,2,FIND(";",B17,1)-2))</f>
        <v>0</v>
      </c>
      <c r="C31">
        <f t="shared" si="1"/>
        <v>0</v>
      </c>
      <c r="D31">
        <f t="shared" si="1"/>
        <v>0.28460000000000002</v>
      </c>
      <c r="E31">
        <f t="shared" si="1"/>
        <v>0.251</v>
      </c>
      <c r="F31">
        <f t="shared" si="1"/>
        <v>0</v>
      </c>
      <c r="G31">
        <f t="shared" si="1"/>
        <v>0.251</v>
      </c>
      <c r="H31">
        <f t="shared" si="1"/>
        <v>0.251</v>
      </c>
      <c r="I31">
        <f t="shared" si="1"/>
        <v>7.0699999999999999E-2</v>
      </c>
      <c r="J31">
        <f t="shared" si="1"/>
        <v>0.251</v>
      </c>
      <c r="K31">
        <f t="shared" si="1"/>
        <v>0.28460000000000002</v>
      </c>
      <c r="L31">
        <f t="shared" si="1"/>
        <v>0.251</v>
      </c>
      <c r="M31">
        <f t="shared" si="1"/>
        <v>0.18970000000000001</v>
      </c>
    </row>
    <row r="32" spans="1:13" x14ac:dyDescent="0.3">
      <c r="A32" t="s">
        <v>2</v>
      </c>
      <c r="B32">
        <f t="shared" si="1"/>
        <v>0.1673</v>
      </c>
      <c r="C32">
        <f t="shared" si="1"/>
        <v>0</v>
      </c>
      <c r="D32">
        <f t="shared" si="1"/>
        <v>0</v>
      </c>
      <c r="E32">
        <f t="shared" si="1"/>
        <v>0.1673</v>
      </c>
      <c r="F32">
        <f t="shared" si="1"/>
        <v>7.0699999999999999E-2</v>
      </c>
      <c r="G32">
        <f t="shared" si="1"/>
        <v>0.1414</v>
      </c>
      <c r="H32">
        <f t="shared" si="1"/>
        <v>0</v>
      </c>
      <c r="I32">
        <f t="shared" si="1"/>
        <v>0</v>
      </c>
      <c r="J32">
        <f t="shared" si="1"/>
        <v>0.28460000000000002</v>
      </c>
      <c r="K32">
        <f t="shared" si="1"/>
        <v>0.251</v>
      </c>
      <c r="L32">
        <f t="shared" si="1"/>
        <v>0.18970000000000001</v>
      </c>
      <c r="M32">
        <f t="shared" si="1"/>
        <v>0.28460000000000002</v>
      </c>
    </row>
    <row r="33" spans="1:13" x14ac:dyDescent="0.3">
      <c r="A33" t="s">
        <v>3</v>
      </c>
      <c r="B33">
        <f t="shared" si="1"/>
        <v>0</v>
      </c>
      <c r="C33">
        <f t="shared" si="1"/>
        <v>0</v>
      </c>
      <c r="D33">
        <f t="shared" si="1"/>
        <v>0</v>
      </c>
      <c r="E33">
        <f t="shared" si="1"/>
        <v>0</v>
      </c>
      <c r="F33">
        <f t="shared" si="1"/>
        <v>8.3699999999999997E-2</v>
      </c>
      <c r="G33">
        <f t="shared" si="1"/>
        <v>0</v>
      </c>
      <c r="H33">
        <f t="shared" si="1"/>
        <v>0.1673</v>
      </c>
      <c r="I33">
        <f t="shared" si="1"/>
        <v>0</v>
      </c>
      <c r="J33">
        <f t="shared" si="1"/>
        <v>0.18970000000000001</v>
      </c>
      <c r="K33">
        <f t="shared" si="1"/>
        <v>7.0699999999999999E-2</v>
      </c>
      <c r="L33">
        <f t="shared" si="1"/>
        <v>0.18970000000000001</v>
      </c>
      <c r="M33">
        <f t="shared" si="1"/>
        <v>0.28460000000000002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0</v>
      </c>
      <c r="D34">
        <f t="shared" si="2"/>
        <v>0</v>
      </c>
      <c r="E34">
        <f t="shared" si="2"/>
        <v>0</v>
      </c>
      <c r="F34">
        <f t="shared" si="2"/>
        <v>0</v>
      </c>
      <c r="G34">
        <f t="shared" si="2"/>
        <v>8.3699999999999997E-2</v>
      </c>
      <c r="H34">
        <f t="shared" si="2"/>
        <v>0</v>
      </c>
      <c r="I34">
        <f t="shared" si="2"/>
        <v>7.0699999999999999E-2</v>
      </c>
      <c r="J34">
        <f t="shared" si="2"/>
        <v>0.18970000000000001</v>
      </c>
      <c r="K34">
        <f t="shared" si="2"/>
        <v>0.251</v>
      </c>
      <c r="L34">
        <f t="shared" si="2"/>
        <v>0</v>
      </c>
      <c r="M34">
        <f t="shared" si="2"/>
        <v>0</v>
      </c>
    </row>
    <row r="35" spans="1:13" x14ac:dyDescent="0.3">
      <c r="A35" t="s">
        <v>5</v>
      </c>
      <c r="B35">
        <f t="shared" si="1"/>
        <v>0</v>
      </c>
      <c r="C35">
        <f t="shared" si="1"/>
        <v>0</v>
      </c>
      <c r="D35">
        <f t="shared" si="1"/>
        <v>0</v>
      </c>
      <c r="E35">
        <f t="shared" si="1"/>
        <v>0</v>
      </c>
      <c r="F35">
        <f t="shared" si="1"/>
        <v>7.0699999999999999E-2</v>
      </c>
      <c r="G35">
        <f t="shared" si="1"/>
        <v>0</v>
      </c>
      <c r="H35">
        <f t="shared" si="1"/>
        <v>0</v>
      </c>
      <c r="I35">
        <f t="shared" si="1"/>
        <v>0</v>
      </c>
      <c r="J35">
        <f t="shared" si="1"/>
        <v>0.1673</v>
      </c>
      <c r="K35">
        <f t="shared" si="1"/>
        <v>0</v>
      </c>
      <c r="L35">
        <f t="shared" si="1"/>
        <v>7.0699999999999999E-2</v>
      </c>
      <c r="M35">
        <f t="shared" si="1"/>
        <v>0</v>
      </c>
    </row>
    <row r="36" spans="1:13" x14ac:dyDescent="0.3">
      <c r="A36" t="s">
        <v>6</v>
      </c>
      <c r="B36">
        <f t="shared" si="1"/>
        <v>0</v>
      </c>
      <c r="C36">
        <f t="shared" si="1"/>
        <v>0</v>
      </c>
      <c r="D36">
        <f t="shared" si="1"/>
        <v>0</v>
      </c>
      <c r="E36">
        <f t="shared" si="1"/>
        <v>0</v>
      </c>
      <c r="F36">
        <f t="shared" si="1"/>
        <v>0</v>
      </c>
      <c r="G36">
        <f t="shared" si="1"/>
        <v>8.3699999999999997E-2</v>
      </c>
      <c r="H36">
        <f t="shared" si="1"/>
        <v>0</v>
      </c>
      <c r="I36">
        <f t="shared" si="1"/>
        <v>0</v>
      </c>
      <c r="J36">
        <f t="shared" si="1"/>
        <v>0</v>
      </c>
      <c r="K36">
        <f t="shared" si="1"/>
        <v>0</v>
      </c>
      <c r="L36">
        <f t="shared" si="1"/>
        <v>0</v>
      </c>
      <c r="M36">
        <f t="shared" si="1"/>
        <v>0</v>
      </c>
    </row>
    <row r="37" spans="1:13" x14ac:dyDescent="0.3">
      <c r="A37" t="s">
        <v>7</v>
      </c>
      <c r="B37">
        <f t="shared" si="1"/>
        <v>0</v>
      </c>
      <c r="C37">
        <f t="shared" si="1"/>
        <v>0</v>
      </c>
      <c r="D37">
        <f t="shared" si="1"/>
        <v>0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0.18970000000000001</v>
      </c>
      <c r="K37">
        <f t="shared" si="1"/>
        <v>0.251</v>
      </c>
      <c r="L37">
        <f t="shared" si="1"/>
        <v>0.18970000000000001</v>
      </c>
      <c r="M37">
        <f t="shared" si="1"/>
        <v>8.3699999999999997E-2</v>
      </c>
    </row>
    <row r="38" spans="1:13" x14ac:dyDescent="0.3">
      <c r="A38" t="s">
        <v>8</v>
      </c>
      <c r="B38">
        <f t="shared" si="1"/>
        <v>7.0699999999999999E-2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7.0699999999999999E-2</v>
      </c>
      <c r="H38">
        <f t="shared" si="1"/>
        <v>0.1673</v>
      </c>
      <c r="I38">
        <f t="shared" si="1"/>
        <v>0</v>
      </c>
      <c r="J38">
        <f t="shared" si="1"/>
        <v>0</v>
      </c>
      <c r="K38">
        <f t="shared" si="1"/>
        <v>0.28460000000000002</v>
      </c>
      <c r="L38">
        <f t="shared" si="1"/>
        <v>0.28460000000000002</v>
      </c>
      <c r="M38">
        <f t="shared" si="1"/>
        <v>0.18970000000000001</v>
      </c>
    </row>
    <row r="39" spans="1:13" x14ac:dyDescent="0.3">
      <c r="A39" t="s">
        <v>9</v>
      </c>
      <c r="B39">
        <f t="shared" si="1"/>
        <v>7.0699999999999999E-2</v>
      </c>
      <c r="C39">
        <f t="shared" si="1"/>
        <v>0</v>
      </c>
      <c r="D39">
        <f t="shared" si="1"/>
        <v>0</v>
      </c>
      <c r="E39">
        <f t="shared" si="1"/>
        <v>0</v>
      </c>
      <c r="F39">
        <f t="shared" si="1"/>
        <v>0</v>
      </c>
      <c r="G39">
        <f t="shared" si="1"/>
        <v>0</v>
      </c>
      <c r="H39">
        <f t="shared" si="1"/>
        <v>0</v>
      </c>
      <c r="I39">
        <f t="shared" si="1"/>
        <v>0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0</v>
      </c>
    </row>
    <row r="40" spans="1:13" x14ac:dyDescent="0.3">
      <c r="A40" t="s">
        <v>10</v>
      </c>
      <c r="B40">
        <f t="shared" si="1"/>
        <v>0</v>
      </c>
      <c r="C40">
        <f t="shared" si="1"/>
        <v>0</v>
      </c>
      <c r="D40">
        <f t="shared" si="1"/>
        <v>0</v>
      </c>
      <c r="E40">
        <f t="shared" si="1"/>
        <v>0</v>
      </c>
      <c r="F40">
        <f t="shared" si="1"/>
        <v>0</v>
      </c>
      <c r="G40">
        <f t="shared" si="1"/>
        <v>0</v>
      </c>
      <c r="H40">
        <f t="shared" si="1"/>
        <v>0</v>
      </c>
      <c r="I40">
        <f t="shared" si="1"/>
        <v>0</v>
      </c>
      <c r="J40">
        <f t="shared" si="1"/>
        <v>0</v>
      </c>
      <c r="K40">
        <f t="shared" si="1"/>
        <v>0</v>
      </c>
      <c r="L40">
        <f t="shared" si="1"/>
        <v>0</v>
      </c>
      <c r="M40">
        <f t="shared" si="1"/>
        <v>0.28460000000000002</v>
      </c>
    </row>
    <row r="41" spans="1:13" x14ac:dyDescent="0.3">
      <c r="A41" t="s">
        <v>11</v>
      </c>
      <c r="B41">
        <f t="shared" si="1"/>
        <v>0</v>
      </c>
      <c r="C41">
        <f t="shared" si="1"/>
        <v>0</v>
      </c>
      <c r="D41">
        <f t="shared" si="1"/>
        <v>0</v>
      </c>
      <c r="E41">
        <f t="shared" si="1"/>
        <v>0</v>
      </c>
      <c r="F41">
        <f t="shared" si="1"/>
        <v>0</v>
      </c>
      <c r="G41">
        <f t="shared" si="1"/>
        <v>0</v>
      </c>
      <c r="H41">
        <f t="shared" si="1"/>
        <v>0</v>
      </c>
      <c r="I41">
        <f t="shared" si="1"/>
        <v>0</v>
      </c>
      <c r="J41">
        <f t="shared" si="1"/>
        <v>0</v>
      </c>
      <c r="K41">
        <f t="shared" si="1"/>
        <v>0</v>
      </c>
      <c r="L41">
        <f t="shared" si="1"/>
        <v>0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0.251</v>
      </c>
      <c r="D44">
        <f t="shared" si="3"/>
        <v>0.251</v>
      </c>
      <c r="E44">
        <f t="shared" si="3"/>
        <v>7.0699999999999999E-2</v>
      </c>
      <c r="F44">
        <f t="shared" si="3"/>
        <v>0</v>
      </c>
      <c r="G44">
        <f t="shared" si="3"/>
        <v>0</v>
      </c>
      <c r="H44">
        <f t="shared" si="3"/>
        <v>0</v>
      </c>
      <c r="I44">
        <f t="shared" si="3"/>
        <v>0</v>
      </c>
      <c r="J44">
        <f t="shared" si="3"/>
        <v>0.28460000000000002</v>
      </c>
      <c r="K44">
        <f t="shared" si="3"/>
        <v>3.1600000000000003E-2</v>
      </c>
      <c r="L44">
        <f t="shared" si="3"/>
        <v>0</v>
      </c>
      <c r="M44">
        <f t="shared" si="3"/>
        <v>0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7.0699999999999999E-2</v>
      </c>
      <c r="C45">
        <f t="shared" si="4"/>
        <v>0</v>
      </c>
      <c r="D45">
        <f t="shared" si="4"/>
        <v>0.3795</v>
      </c>
      <c r="E45">
        <f t="shared" si="4"/>
        <v>0.3347</v>
      </c>
      <c r="F45">
        <f t="shared" si="4"/>
        <v>0</v>
      </c>
      <c r="G45">
        <f t="shared" si="4"/>
        <v>0.3347</v>
      </c>
      <c r="H45">
        <f t="shared" si="4"/>
        <v>0.3347</v>
      </c>
      <c r="I45">
        <f t="shared" si="4"/>
        <v>0.1414</v>
      </c>
      <c r="J45">
        <f t="shared" si="4"/>
        <v>0.3347</v>
      </c>
      <c r="K45">
        <f t="shared" si="4"/>
        <v>0.3795</v>
      </c>
      <c r="L45">
        <f t="shared" si="4"/>
        <v>0.3347</v>
      </c>
      <c r="M45">
        <f t="shared" si="4"/>
        <v>0.28460000000000002</v>
      </c>
    </row>
    <row r="46" spans="1:13" x14ac:dyDescent="0.3">
      <c r="A46" t="s">
        <v>2</v>
      </c>
      <c r="B46">
        <f t="shared" si="4"/>
        <v>0.251</v>
      </c>
      <c r="C46">
        <f t="shared" si="4"/>
        <v>0</v>
      </c>
      <c r="D46">
        <f t="shared" si="4"/>
        <v>0</v>
      </c>
      <c r="E46">
        <f t="shared" si="4"/>
        <v>0.251</v>
      </c>
      <c r="F46">
        <f t="shared" si="4"/>
        <v>0.1414</v>
      </c>
      <c r="G46">
        <f t="shared" si="4"/>
        <v>0.21210000000000001</v>
      </c>
      <c r="H46">
        <f t="shared" si="4"/>
        <v>0</v>
      </c>
      <c r="I46">
        <f t="shared" si="4"/>
        <v>5.4800000000000001E-2</v>
      </c>
      <c r="J46">
        <f t="shared" si="4"/>
        <v>0.3795</v>
      </c>
      <c r="K46">
        <f t="shared" si="4"/>
        <v>0.3347</v>
      </c>
      <c r="L46">
        <f t="shared" si="4"/>
        <v>0.28460000000000002</v>
      </c>
      <c r="M46">
        <f t="shared" si="4"/>
        <v>0.3795</v>
      </c>
    </row>
    <row r="47" spans="1:13" x14ac:dyDescent="0.3">
      <c r="A47" t="s">
        <v>3</v>
      </c>
      <c r="B47">
        <f t="shared" si="4"/>
        <v>3.1600000000000003E-2</v>
      </c>
      <c r="C47">
        <f t="shared" si="4"/>
        <v>0</v>
      </c>
      <c r="D47">
        <f t="shared" si="4"/>
        <v>0</v>
      </c>
      <c r="E47">
        <f t="shared" si="4"/>
        <v>0</v>
      </c>
      <c r="F47">
        <f t="shared" si="4"/>
        <v>0.1673</v>
      </c>
      <c r="G47">
        <f t="shared" si="4"/>
        <v>7.0699999999999999E-2</v>
      </c>
      <c r="H47">
        <f t="shared" si="4"/>
        <v>0.251</v>
      </c>
      <c r="I47">
        <f t="shared" si="4"/>
        <v>0</v>
      </c>
      <c r="J47">
        <f t="shared" si="4"/>
        <v>0.28460000000000002</v>
      </c>
      <c r="K47">
        <f t="shared" si="4"/>
        <v>0.1414</v>
      </c>
      <c r="L47">
        <f t="shared" si="4"/>
        <v>0.28460000000000002</v>
      </c>
      <c r="M47">
        <f t="shared" si="4"/>
        <v>0.3795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0</v>
      </c>
      <c r="C48">
        <f t="shared" si="5"/>
        <v>7.0699999999999999E-2</v>
      </c>
      <c r="D48">
        <f t="shared" si="5"/>
        <v>0</v>
      </c>
      <c r="E48">
        <f t="shared" si="5"/>
        <v>3.1600000000000003E-2</v>
      </c>
      <c r="F48">
        <f t="shared" si="5"/>
        <v>0</v>
      </c>
      <c r="G48">
        <f t="shared" si="5"/>
        <v>0.1673</v>
      </c>
      <c r="H48">
        <f t="shared" si="5"/>
        <v>7.0699999999999999E-2</v>
      </c>
      <c r="I48">
        <f t="shared" si="5"/>
        <v>0.1414</v>
      </c>
      <c r="J48">
        <f t="shared" si="5"/>
        <v>0.28460000000000002</v>
      </c>
      <c r="K48">
        <f t="shared" si="5"/>
        <v>0.3347</v>
      </c>
      <c r="L48">
        <f t="shared" si="5"/>
        <v>0</v>
      </c>
      <c r="M48">
        <f t="shared" si="5"/>
        <v>0</v>
      </c>
    </row>
    <row r="49" spans="1:13" x14ac:dyDescent="0.3">
      <c r="A49" t="s">
        <v>5</v>
      </c>
      <c r="B49">
        <f t="shared" si="4"/>
        <v>5.4800000000000001E-2</v>
      </c>
      <c r="C49">
        <f t="shared" si="4"/>
        <v>0</v>
      </c>
      <c r="D49">
        <f t="shared" si="4"/>
        <v>5.4800000000000001E-2</v>
      </c>
      <c r="E49">
        <f t="shared" si="4"/>
        <v>0</v>
      </c>
      <c r="F49">
        <f t="shared" si="4"/>
        <v>0.1414</v>
      </c>
      <c r="G49">
        <f t="shared" si="4"/>
        <v>0</v>
      </c>
      <c r="H49">
        <f t="shared" si="4"/>
        <v>7.0699999999999999E-2</v>
      </c>
      <c r="I49">
        <f t="shared" si="4"/>
        <v>0</v>
      </c>
      <c r="J49">
        <f t="shared" si="4"/>
        <v>0.251</v>
      </c>
      <c r="K49">
        <f t="shared" si="4"/>
        <v>7.0699999999999999E-2</v>
      </c>
      <c r="L49">
        <f t="shared" si="4"/>
        <v>0.1414</v>
      </c>
      <c r="M49">
        <f t="shared" si="4"/>
        <v>0</v>
      </c>
    </row>
    <row r="50" spans="1:13" x14ac:dyDescent="0.3">
      <c r="A50" t="s">
        <v>6</v>
      </c>
      <c r="B50">
        <f t="shared" si="4"/>
        <v>5.4800000000000001E-2</v>
      </c>
      <c r="C50">
        <f t="shared" si="4"/>
        <v>0</v>
      </c>
      <c r="D50">
        <f t="shared" si="4"/>
        <v>7.0699999999999999E-2</v>
      </c>
      <c r="E50">
        <f t="shared" si="4"/>
        <v>0</v>
      </c>
      <c r="F50">
        <f t="shared" si="4"/>
        <v>0</v>
      </c>
      <c r="G50">
        <f t="shared" si="4"/>
        <v>0.1673</v>
      </c>
      <c r="H50">
        <f t="shared" si="4"/>
        <v>0</v>
      </c>
      <c r="I50">
        <f t="shared" si="4"/>
        <v>7.0699999999999999E-2</v>
      </c>
      <c r="J50">
        <f t="shared" si="4"/>
        <v>0</v>
      </c>
      <c r="K50">
        <f t="shared" si="4"/>
        <v>7.0699999999999999E-2</v>
      </c>
      <c r="L50">
        <f t="shared" si="4"/>
        <v>0</v>
      </c>
      <c r="M50">
        <f t="shared" si="4"/>
        <v>0</v>
      </c>
    </row>
    <row r="51" spans="1:13" x14ac:dyDescent="0.3">
      <c r="A51" t="s">
        <v>7</v>
      </c>
      <c r="B51">
        <f t="shared" si="4"/>
        <v>0</v>
      </c>
      <c r="C51">
        <f t="shared" si="4"/>
        <v>0</v>
      </c>
      <c r="D51">
        <f t="shared" si="4"/>
        <v>0</v>
      </c>
      <c r="E51">
        <f t="shared" si="4"/>
        <v>0</v>
      </c>
      <c r="F51">
        <f t="shared" si="4"/>
        <v>7.0699999999999999E-2</v>
      </c>
      <c r="G51">
        <f t="shared" si="4"/>
        <v>0</v>
      </c>
      <c r="H51">
        <f t="shared" si="4"/>
        <v>0</v>
      </c>
      <c r="I51">
        <f t="shared" si="4"/>
        <v>0</v>
      </c>
      <c r="J51">
        <f t="shared" si="4"/>
        <v>0.28460000000000002</v>
      </c>
      <c r="K51">
        <f t="shared" si="4"/>
        <v>0.3347</v>
      </c>
      <c r="L51">
        <f t="shared" si="4"/>
        <v>0.28460000000000002</v>
      </c>
      <c r="M51">
        <f t="shared" si="4"/>
        <v>0.1673</v>
      </c>
    </row>
    <row r="52" spans="1:13" x14ac:dyDescent="0.3">
      <c r="A52" t="s">
        <v>8</v>
      </c>
      <c r="B52">
        <f t="shared" si="4"/>
        <v>0.1414</v>
      </c>
      <c r="C52">
        <f t="shared" si="4"/>
        <v>0</v>
      </c>
      <c r="D52">
        <f t="shared" si="4"/>
        <v>0</v>
      </c>
      <c r="E52">
        <f t="shared" si="4"/>
        <v>0</v>
      </c>
      <c r="F52">
        <f t="shared" si="4"/>
        <v>0</v>
      </c>
      <c r="G52">
        <f t="shared" si="4"/>
        <v>0.1414</v>
      </c>
      <c r="H52">
        <f t="shared" si="4"/>
        <v>0.251</v>
      </c>
      <c r="I52">
        <f t="shared" si="4"/>
        <v>5.4800000000000001E-2</v>
      </c>
      <c r="J52">
        <f t="shared" si="4"/>
        <v>0</v>
      </c>
      <c r="K52">
        <f t="shared" si="4"/>
        <v>0.3795</v>
      </c>
      <c r="L52">
        <f t="shared" si="4"/>
        <v>0.3795</v>
      </c>
      <c r="M52">
        <f t="shared" si="4"/>
        <v>0.28460000000000002</v>
      </c>
    </row>
    <row r="53" spans="1:13" x14ac:dyDescent="0.3">
      <c r="A53" t="s">
        <v>9</v>
      </c>
      <c r="B53">
        <f t="shared" si="4"/>
        <v>0.1414</v>
      </c>
      <c r="C53">
        <f t="shared" si="4"/>
        <v>0</v>
      </c>
      <c r="D53">
        <f t="shared" si="4"/>
        <v>3.1600000000000003E-2</v>
      </c>
      <c r="E53">
        <f t="shared" si="4"/>
        <v>7.0699999999999999E-2</v>
      </c>
      <c r="F53">
        <f t="shared" si="4"/>
        <v>5.4800000000000001E-2</v>
      </c>
      <c r="G53">
        <f t="shared" si="4"/>
        <v>0</v>
      </c>
      <c r="H53">
        <f t="shared" si="4"/>
        <v>0</v>
      </c>
      <c r="I53">
        <f t="shared" si="4"/>
        <v>7.0699999999999999E-2</v>
      </c>
      <c r="J53">
        <f t="shared" si="4"/>
        <v>0</v>
      </c>
      <c r="K53">
        <f t="shared" si="4"/>
        <v>0</v>
      </c>
      <c r="L53">
        <f t="shared" si="4"/>
        <v>0</v>
      </c>
      <c r="M53">
        <f t="shared" si="4"/>
        <v>7.0699999999999999E-2</v>
      </c>
    </row>
    <row r="54" spans="1:13" x14ac:dyDescent="0.3">
      <c r="A54" t="s">
        <v>10</v>
      </c>
      <c r="B54">
        <f t="shared" si="4"/>
        <v>7.0699999999999999E-2</v>
      </c>
      <c r="C54">
        <f t="shared" si="4"/>
        <v>0</v>
      </c>
      <c r="D54">
        <f t="shared" si="4"/>
        <v>7.0699999999999999E-2</v>
      </c>
      <c r="E54">
        <f t="shared" si="4"/>
        <v>0</v>
      </c>
      <c r="F54">
        <f t="shared" si="4"/>
        <v>0</v>
      </c>
      <c r="G54">
        <f t="shared" si="4"/>
        <v>7.0699999999999999E-2</v>
      </c>
      <c r="H54">
        <f t="shared" si="4"/>
        <v>0</v>
      </c>
      <c r="I54">
        <f t="shared" si="4"/>
        <v>5.4800000000000001E-2</v>
      </c>
      <c r="J54">
        <f t="shared" si="4"/>
        <v>7.0699999999999999E-2</v>
      </c>
      <c r="K54">
        <f t="shared" si="4"/>
        <v>7.0699999999999999E-2</v>
      </c>
      <c r="L54">
        <f t="shared" si="4"/>
        <v>0</v>
      </c>
      <c r="M54">
        <f t="shared" si="4"/>
        <v>0.3795</v>
      </c>
    </row>
    <row r="55" spans="1:13" x14ac:dyDescent="0.3">
      <c r="A55" t="s">
        <v>11</v>
      </c>
      <c r="B55">
        <f t="shared" si="4"/>
        <v>0</v>
      </c>
      <c r="C55">
        <f t="shared" si="4"/>
        <v>3.1600000000000003E-2</v>
      </c>
      <c r="D55">
        <f t="shared" si="4"/>
        <v>0</v>
      </c>
      <c r="E55">
        <f t="shared" si="4"/>
        <v>3.1600000000000003E-2</v>
      </c>
      <c r="F55">
        <f t="shared" si="4"/>
        <v>0</v>
      </c>
      <c r="G55">
        <f t="shared" si="4"/>
        <v>0</v>
      </c>
      <c r="H55">
        <f t="shared" si="4"/>
        <v>0</v>
      </c>
      <c r="I55">
        <f t="shared" si="4"/>
        <v>0</v>
      </c>
      <c r="J55">
        <f t="shared" si="4"/>
        <v>0</v>
      </c>
      <c r="K55">
        <f t="shared" si="4"/>
        <v>8.3699999999999997E-2</v>
      </c>
      <c r="L55">
        <f t="shared" si="4"/>
        <v>7.0699999999999999E-2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0.3347</v>
      </c>
      <c r="D58">
        <f t="shared" si="6"/>
        <v>0.3347</v>
      </c>
      <c r="E58">
        <f t="shared" si="6"/>
        <v>0.1414</v>
      </c>
      <c r="F58">
        <f t="shared" si="6"/>
        <v>7.0699999999999999E-2</v>
      </c>
      <c r="G58">
        <f t="shared" si="6"/>
        <v>5.4800000000000001E-2</v>
      </c>
      <c r="H58">
        <f t="shared" si="6"/>
        <v>5.4800000000000001E-2</v>
      </c>
      <c r="I58">
        <f t="shared" si="6"/>
        <v>7.0699999999999999E-2</v>
      </c>
      <c r="J58">
        <f t="shared" si="6"/>
        <v>0.3795</v>
      </c>
      <c r="K58">
        <f t="shared" si="6"/>
        <v>6.3200000000000006E-2</v>
      </c>
      <c r="L58">
        <f t="shared" si="6"/>
        <v>7.0699999999999999E-2</v>
      </c>
      <c r="M58">
        <f t="shared" si="6"/>
        <v>5.4800000000000001E-2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0.1414</v>
      </c>
      <c r="C59">
        <f t="shared" si="7"/>
        <v>0</v>
      </c>
      <c r="D59">
        <f t="shared" si="7"/>
        <v>0.3795</v>
      </c>
      <c r="E59">
        <f t="shared" si="7"/>
        <v>0.3347</v>
      </c>
      <c r="F59">
        <f t="shared" si="7"/>
        <v>5.4800000000000001E-2</v>
      </c>
      <c r="G59">
        <f t="shared" si="7"/>
        <v>0.3347</v>
      </c>
      <c r="H59">
        <f t="shared" si="7"/>
        <v>0.3347</v>
      </c>
      <c r="I59">
        <f t="shared" si="7"/>
        <v>0.21210000000000001</v>
      </c>
      <c r="J59">
        <f t="shared" si="7"/>
        <v>0.3347</v>
      </c>
      <c r="K59">
        <f t="shared" si="7"/>
        <v>0.3795</v>
      </c>
      <c r="L59">
        <f t="shared" si="7"/>
        <v>0.3347</v>
      </c>
      <c r="M59">
        <f t="shared" si="7"/>
        <v>0.3795</v>
      </c>
    </row>
    <row r="60" spans="1:13" x14ac:dyDescent="0.3">
      <c r="A60" t="s">
        <v>2</v>
      </c>
      <c r="B60">
        <f t="shared" si="7"/>
        <v>0.3347</v>
      </c>
      <c r="C60">
        <f t="shared" si="7"/>
        <v>5.4800000000000001E-2</v>
      </c>
      <c r="D60">
        <f t="shared" si="7"/>
        <v>0</v>
      </c>
      <c r="E60">
        <f t="shared" si="7"/>
        <v>0.3347</v>
      </c>
      <c r="F60">
        <f t="shared" si="7"/>
        <v>0.21210000000000001</v>
      </c>
      <c r="G60">
        <f t="shared" si="7"/>
        <v>0.2828</v>
      </c>
      <c r="H60">
        <f t="shared" si="7"/>
        <v>7.0699999999999999E-2</v>
      </c>
      <c r="I60">
        <f t="shared" si="7"/>
        <v>0.1095</v>
      </c>
      <c r="J60">
        <f t="shared" si="7"/>
        <v>0.3795</v>
      </c>
      <c r="K60">
        <f t="shared" si="7"/>
        <v>0.3347</v>
      </c>
      <c r="L60">
        <f t="shared" si="7"/>
        <v>0.3795</v>
      </c>
      <c r="M60">
        <f t="shared" si="7"/>
        <v>0.3795</v>
      </c>
    </row>
    <row r="61" spans="1:13" x14ac:dyDescent="0.3">
      <c r="A61" t="s">
        <v>3</v>
      </c>
      <c r="B61">
        <f t="shared" si="7"/>
        <v>6.3200000000000006E-2</v>
      </c>
      <c r="C61">
        <f t="shared" si="7"/>
        <v>5.4800000000000001E-2</v>
      </c>
      <c r="D61">
        <f t="shared" si="7"/>
        <v>8.3699999999999997E-2</v>
      </c>
      <c r="E61">
        <f t="shared" si="7"/>
        <v>0</v>
      </c>
      <c r="F61">
        <f t="shared" si="7"/>
        <v>0.251</v>
      </c>
      <c r="G61">
        <f t="shared" si="7"/>
        <v>0.1414</v>
      </c>
      <c r="H61">
        <f t="shared" si="7"/>
        <v>0.3347</v>
      </c>
      <c r="I61">
        <f t="shared" si="7"/>
        <v>5.4800000000000001E-2</v>
      </c>
      <c r="J61">
        <f t="shared" si="7"/>
        <v>0.3795</v>
      </c>
      <c r="K61">
        <f t="shared" si="7"/>
        <v>0.21210000000000001</v>
      </c>
      <c r="L61">
        <f t="shared" si="7"/>
        <v>0.3795</v>
      </c>
      <c r="M61">
        <f t="shared" si="7"/>
        <v>0.3795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5.4800000000000001E-2</v>
      </c>
      <c r="C62">
        <f t="shared" si="8"/>
        <v>0.1414</v>
      </c>
      <c r="D62">
        <f t="shared" si="8"/>
        <v>7.0699999999999999E-2</v>
      </c>
      <c r="E62">
        <f t="shared" si="8"/>
        <v>6.3200000000000006E-2</v>
      </c>
      <c r="F62">
        <f t="shared" si="8"/>
        <v>0</v>
      </c>
      <c r="G62">
        <f t="shared" si="8"/>
        <v>0.251</v>
      </c>
      <c r="H62">
        <f t="shared" si="8"/>
        <v>0.1414</v>
      </c>
      <c r="I62">
        <f t="shared" si="8"/>
        <v>0.21210000000000001</v>
      </c>
      <c r="J62">
        <f t="shared" si="8"/>
        <v>0.3795</v>
      </c>
      <c r="K62">
        <f t="shared" si="8"/>
        <v>0.3347</v>
      </c>
      <c r="L62">
        <f t="shared" si="8"/>
        <v>7.0699999999999999E-2</v>
      </c>
      <c r="M62">
        <f t="shared" si="8"/>
        <v>7.0699999999999999E-2</v>
      </c>
    </row>
    <row r="63" spans="1:13" x14ac:dyDescent="0.3">
      <c r="A63" t="s">
        <v>5</v>
      </c>
      <c r="B63">
        <f t="shared" si="7"/>
        <v>0.1095</v>
      </c>
      <c r="C63">
        <f t="shared" si="7"/>
        <v>7.0699999999999999E-2</v>
      </c>
      <c r="D63">
        <f t="shared" si="7"/>
        <v>0.1095</v>
      </c>
      <c r="E63">
        <f t="shared" si="7"/>
        <v>5.4800000000000001E-2</v>
      </c>
      <c r="F63">
        <f t="shared" si="7"/>
        <v>0.21210000000000001</v>
      </c>
      <c r="G63">
        <f t="shared" si="7"/>
        <v>0</v>
      </c>
      <c r="H63">
        <f t="shared" si="7"/>
        <v>0.1414</v>
      </c>
      <c r="I63">
        <f t="shared" si="7"/>
        <v>3.1600000000000003E-2</v>
      </c>
      <c r="J63">
        <f t="shared" si="7"/>
        <v>0.3347</v>
      </c>
      <c r="K63">
        <f t="shared" si="7"/>
        <v>0.1414</v>
      </c>
      <c r="L63">
        <f t="shared" si="7"/>
        <v>0.21210000000000001</v>
      </c>
      <c r="M63">
        <f t="shared" si="7"/>
        <v>3.1600000000000003E-2</v>
      </c>
    </row>
    <row r="64" spans="1:13" x14ac:dyDescent="0.3">
      <c r="A64" t="s">
        <v>6</v>
      </c>
      <c r="B64">
        <f t="shared" si="7"/>
        <v>0.1095</v>
      </c>
      <c r="C64">
        <f t="shared" si="7"/>
        <v>7.0699999999999999E-2</v>
      </c>
      <c r="D64">
        <f t="shared" si="7"/>
        <v>0.1414</v>
      </c>
      <c r="E64">
        <f t="shared" si="7"/>
        <v>7.0699999999999999E-2</v>
      </c>
      <c r="F64">
        <f t="shared" si="7"/>
        <v>7.0699999999999999E-2</v>
      </c>
      <c r="G64">
        <f t="shared" si="7"/>
        <v>0.251</v>
      </c>
      <c r="H64">
        <f t="shared" si="7"/>
        <v>0</v>
      </c>
      <c r="I64">
        <f t="shared" si="7"/>
        <v>0.1414</v>
      </c>
      <c r="J64">
        <f t="shared" si="7"/>
        <v>7.0699999999999999E-2</v>
      </c>
      <c r="K64">
        <f t="shared" si="7"/>
        <v>0.1414</v>
      </c>
      <c r="L64">
        <f t="shared" si="7"/>
        <v>7.0699999999999999E-2</v>
      </c>
      <c r="M64">
        <f t="shared" si="7"/>
        <v>5.4800000000000001E-2</v>
      </c>
    </row>
    <row r="65" spans="1:13" x14ac:dyDescent="0.3">
      <c r="A65" t="s">
        <v>7</v>
      </c>
      <c r="B65">
        <f t="shared" si="7"/>
        <v>7.0699999999999999E-2</v>
      </c>
      <c r="C65">
        <f t="shared" si="7"/>
        <v>5.4800000000000001E-2</v>
      </c>
      <c r="D65">
        <f t="shared" si="7"/>
        <v>7.0699999999999999E-2</v>
      </c>
      <c r="E65">
        <f t="shared" si="7"/>
        <v>5.4800000000000001E-2</v>
      </c>
      <c r="F65">
        <f t="shared" si="7"/>
        <v>0.1414</v>
      </c>
      <c r="G65">
        <f t="shared" si="7"/>
        <v>5.4800000000000001E-2</v>
      </c>
      <c r="H65">
        <f t="shared" si="7"/>
        <v>7.0699999999999999E-2</v>
      </c>
      <c r="I65">
        <f t="shared" si="7"/>
        <v>0</v>
      </c>
      <c r="J65">
        <f t="shared" si="7"/>
        <v>0.3795</v>
      </c>
      <c r="K65">
        <f t="shared" si="7"/>
        <v>0.3347</v>
      </c>
      <c r="L65">
        <f t="shared" si="7"/>
        <v>0.3795</v>
      </c>
      <c r="M65">
        <f t="shared" si="7"/>
        <v>0.251</v>
      </c>
    </row>
    <row r="66" spans="1:13" x14ac:dyDescent="0.3">
      <c r="A66" t="s">
        <v>8</v>
      </c>
      <c r="B66">
        <f t="shared" si="7"/>
        <v>0.21210000000000001</v>
      </c>
      <c r="C66">
        <f t="shared" si="7"/>
        <v>7.0699999999999999E-2</v>
      </c>
      <c r="D66">
        <f t="shared" si="7"/>
        <v>5.4800000000000001E-2</v>
      </c>
      <c r="E66">
        <f t="shared" si="7"/>
        <v>5.4800000000000001E-2</v>
      </c>
      <c r="F66">
        <f t="shared" si="7"/>
        <v>5.4800000000000001E-2</v>
      </c>
      <c r="G66">
        <f t="shared" si="7"/>
        <v>0.21210000000000001</v>
      </c>
      <c r="H66">
        <f t="shared" si="7"/>
        <v>0.3347</v>
      </c>
      <c r="I66">
        <f t="shared" si="7"/>
        <v>0.1095</v>
      </c>
      <c r="J66">
        <f t="shared" si="7"/>
        <v>0</v>
      </c>
      <c r="K66">
        <f t="shared" si="7"/>
        <v>0.3795</v>
      </c>
      <c r="L66">
        <f t="shared" si="7"/>
        <v>0.3795</v>
      </c>
      <c r="M66">
        <f t="shared" si="7"/>
        <v>0.3795</v>
      </c>
    </row>
    <row r="67" spans="1:13" x14ac:dyDescent="0.3">
      <c r="A67" t="s">
        <v>9</v>
      </c>
      <c r="B67">
        <f t="shared" si="7"/>
        <v>0.21210000000000001</v>
      </c>
      <c r="C67">
        <f t="shared" si="7"/>
        <v>7.0699999999999999E-2</v>
      </c>
      <c r="D67">
        <f t="shared" si="7"/>
        <v>6.3200000000000006E-2</v>
      </c>
      <c r="E67">
        <f t="shared" si="7"/>
        <v>0.1414</v>
      </c>
      <c r="F67">
        <f t="shared" si="7"/>
        <v>0.1095</v>
      </c>
      <c r="G67">
        <f t="shared" si="7"/>
        <v>3.1600000000000003E-2</v>
      </c>
      <c r="H67">
        <f t="shared" si="7"/>
        <v>8.3699999999999997E-2</v>
      </c>
      <c r="I67">
        <f t="shared" si="7"/>
        <v>0.1414</v>
      </c>
      <c r="J67">
        <f t="shared" si="7"/>
        <v>7.0699999999999999E-2</v>
      </c>
      <c r="K67">
        <f t="shared" si="7"/>
        <v>0</v>
      </c>
      <c r="L67">
        <f t="shared" si="7"/>
        <v>7.0699999999999999E-2</v>
      </c>
      <c r="M67">
        <f t="shared" si="7"/>
        <v>0.1414</v>
      </c>
    </row>
    <row r="68" spans="1:13" x14ac:dyDescent="0.3">
      <c r="A68" t="s">
        <v>10</v>
      </c>
      <c r="B68">
        <f t="shared" si="7"/>
        <v>0.1414</v>
      </c>
      <c r="C68">
        <f t="shared" si="7"/>
        <v>3.1600000000000003E-2</v>
      </c>
      <c r="D68">
        <f t="shared" si="7"/>
        <v>0.1414</v>
      </c>
      <c r="E68">
        <f t="shared" si="7"/>
        <v>7.0699999999999999E-2</v>
      </c>
      <c r="F68">
        <f t="shared" si="7"/>
        <v>7.0699999999999999E-2</v>
      </c>
      <c r="G68">
        <f t="shared" si="7"/>
        <v>0.1414</v>
      </c>
      <c r="H68">
        <f t="shared" si="7"/>
        <v>3.1600000000000003E-2</v>
      </c>
      <c r="I68">
        <f t="shared" si="7"/>
        <v>0.1095</v>
      </c>
      <c r="J68">
        <f t="shared" si="7"/>
        <v>0.1414</v>
      </c>
      <c r="K68">
        <f t="shared" si="7"/>
        <v>0.1414</v>
      </c>
      <c r="L68">
        <f t="shared" si="7"/>
        <v>0</v>
      </c>
      <c r="M68">
        <f t="shared" si="7"/>
        <v>0.3795</v>
      </c>
    </row>
    <row r="69" spans="1:13" x14ac:dyDescent="0.3">
      <c r="A69" t="s">
        <v>11</v>
      </c>
      <c r="B69">
        <f t="shared" si="7"/>
        <v>7.0699999999999999E-2</v>
      </c>
      <c r="C69">
        <f t="shared" si="7"/>
        <v>6.3200000000000006E-2</v>
      </c>
      <c r="D69">
        <f t="shared" si="7"/>
        <v>5.4800000000000001E-2</v>
      </c>
      <c r="E69">
        <f t="shared" si="7"/>
        <v>6.3200000000000006E-2</v>
      </c>
      <c r="F69">
        <f t="shared" si="7"/>
        <v>5.4800000000000001E-2</v>
      </c>
      <c r="G69">
        <f t="shared" si="7"/>
        <v>7.0699999999999999E-2</v>
      </c>
      <c r="H69">
        <f t="shared" si="7"/>
        <v>5.4800000000000001E-2</v>
      </c>
      <c r="I69">
        <f t="shared" si="7"/>
        <v>7.0699999999999999E-2</v>
      </c>
      <c r="J69">
        <f t="shared" si="7"/>
        <v>7.0699999999999999E-2</v>
      </c>
      <c r="K69">
        <f t="shared" si="7"/>
        <v>0.1673</v>
      </c>
      <c r="L69">
        <f t="shared" si="7"/>
        <v>0.1414</v>
      </c>
      <c r="M69">
        <f t="shared" si="7"/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0"/>
  <dimension ref="A1:M69"/>
  <sheetViews>
    <sheetView workbookViewId="0">
      <selection activeCell="A15" sqref="A15:M69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13</v>
      </c>
      <c r="D2" t="s">
        <v>12</v>
      </c>
      <c r="E2" t="s">
        <v>15</v>
      </c>
      <c r="F2" t="s">
        <v>12</v>
      </c>
      <c r="G2" t="s">
        <v>23</v>
      </c>
      <c r="H2" t="s">
        <v>17</v>
      </c>
      <c r="I2" t="s">
        <v>24</v>
      </c>
      <c r="J2" t="s">
        <v>12</v>
      </c>
      <c r="K2" t="s">
        <v>16</v>
      </c>
      <c r="L2" t="s">
        <v>22</v>
      </c>
      <c r="M2" t="s">
        <v>17</v>
      </c>
    </row>
    <row r="3" spans="1:13" x14ac:dyDescent="0.3">
      <c r="A3" s="1" t="s">
        <v>1</v>
      </c>
      <c r="B3" t="s">
        <v>20</v>
      </c>
      <c r="C3">
        <v>0</v>
      </c>
      <c r="D3" t="s">
        <v>13</v>
      </c>
      <c r="E3" t="s">
        <v>25</v>
      </c>
      <c r="F3" t="s">
        <v>20</v>
      </c>
      <c r="G3" t="s">
        <v>25</v>
      </c>
      <c r="H3" t="s">
        <v>25</v>
      </c>
      <c r="I3" t="s">
        <v>20</v>
      </c>
      <c r="J3" t="s">
        <v>18</v>
      </c>
      <c r="K3" t="s">
        <v>18</v>
      </c>
      <c r="L3" t="s">
        <v>15</v>
      </c>
      <c r="M3" t="s">
        <v>18</v>
      </c>
    </row>
    <row r="4" spans="1:13" x14ac:dyDescent="0.3">
      <c r="A4" s="1" t="s">
        <v>2</v>
      </c>
      <c r="B4" t="s">
        <v>19</v>
      </c>
      <c r="C4" t="s">
        <v>17</v>
      </c>
      <c r="D4">
        <v>0</v>
      </c>
      <c r="E4" t="s">
        <v>12</v>
      </c>
      <c r="F4" t="s">
        <v>24</v>
      </c>
      <c r="G4" t="s">
        <v>22</v>
      </c>
      <c r="H4" t="s">
        <v>20</v>
      </c>
      <c r="I4" t="s">
        <v>22</v>
      </c>
      <c r="J4" t="s">
        <v>18</v>
      </c>
      <c r="K4" t="s">
        <v>18</v>
      </c>
      <c r="L4" t="s">
        <v>12</v>
      </c>
      <c r="M4" t="s">
        <v>13</v>
      </c>
    </row>
    <row r="5" spans="1:13" x14ac:dyDescent="0.3">
      <c r="A5" s="1" t="s">
        <v>3</v>
      </c>
      <c r="B5" t="s">
        <v>24</v>
      </c>
      <c r="C5" t="s">
        <v>16</v>
      </c>
      <c r="D5" t="s">
        <v>15</v>
      </c>
      <c r="E5">
        <v>0</v>
      </c>
      <c r="F5" t="s">
        <v>15</v>
      </c>
      <c r="G5" t="s">
        <v>20</v>
      </c>
      <c r="H5" t="s">
        <v>12</v>
      </c>
      <c r="I5" t="s">
        <v>15</v>
      </c>
      <c r="J5" t="s">
        <v>13</v>
      </c>
      <c r="K5" t="s">
        <v>16</v>
      </c>
      <c r="L5" t="s">
        <v>13</v>
      </c>
      <c r="M5" t="s">
        <v>16</v>
      </c>
    </row>
    <row r="6" spans="1:13" x14ac:dyDescent="0.3">
      <c r="A6" s="1" t="s">
        <v>4</v>
      </c>
      <c r="B6" t="s">
        <v>16</v>
      </c>
      <c r="C6" t="s">
        <v>22</v>
      </c>
      <c r="D6" t="s">
        <v>23</v>
      </c>
      <c r="E6" t="s">
        <v>23</v>
      </c>
      <c r="F6">
        <v>0</v>
      </c>
      <c r="G6" t="s">
        <v>12</v>
      </c>
      <c r="H6" t="s">
        <v>15</v>
      </c>
      <c r="I6" t="s">
        <v>15</v>
      </c>
      <c r="J6" t="s">
        <v>13</v>
      </c>
      <c r="K6" t="s">
        <v>13</v>
      </c>
      <c r="L6" t="s">
        <v>23</v>
      </c>
      <c r="M6" t="s">
        <v>16</v>
      </c>
    </row>
    <row r="7" spans="1:13" x14ac:dyDescent="0.3">
      <c r="A7" s="1" t="s">
        <v>5</v>
      </c>
      <c r="B7" t="s">
        <v>15</v>
      </c>
      <c r="C7" t="s">
        <v>15</v>
      </c>
      <c r="D7" t="s">
        <v>15</v>
      </c>
      <c r="E7" t="s">
        <v>24</v>
      </c>
      <c r="F7" t="s">
        <v>24</v>
      </c>
      <c r="G7">
        <v>0</v>
      </c>
      <c r="H7" t="s">
        <v>22</v>
      </c>
      <c r="I7" t="s">
        <v>16</v>
      </c>
      <c r="J7" t="s">
        <v>25</v>
      </c>
      <c r="K7" t="s">
        <v>71</v>
      </c>
      <c r="L7" t="s">
        <v>16</v>
      </c>
      <c r="M7" t="s">
        <v>17</v>
      </c>
    </row>
    <row r="8" spans="1:13" x14ac:dyDescent="0.3">
      <c r="A8" s="1" t="s">
        <v>6</v>
      </c>
      <c r="B8" t="s">
        <v>24</v>
      </c>
      <c r="C8" t="s">
        <v>24</v>
      </c>
      <c r="D8" t="s">
        <v>71</v>
      </c>
      <c r="E8" t="s">
        <v>20</v>
      </c>
      <c r="F8" t="s">
        <v>24</v>
      </c>
      <c r="G8" t="s">
        <v>62</v>
      </c>
      <c r="H8">
        <v>0</v>
      </c>
      <c r="I8" t="s">
        <v>15</v>
      </c>
      <c r="J8" t="s">
        <v>15</v>
      </c>
      <c r="K8" t="s">
        <v>62</v>
      </c>
      <c r="L8" t="s">
        <v>22</v>
      </c>
      <c r="M8" t="s">
        <v>24</v>
      </c>
    </row>
    <row r="9" spans="1:13" x14ac:dyDescent="0.3">
      <c r="A9" s="1" t="s">
        <v>7</v>
      </c>
      <c r="B9" t="s">
        <v>16</v>
      </c>
      <c r="C9" t="s">
        <v>15</v>
      </c>
      <c r="D9" t="s">
        <v>15</v>
      </c>
      <c r="E9" t="s">
        <v>16</v>
      </c>
      <c r="F9" t="s">
        <v>15</v>
      </c>
      <c r="G9" t="s">
        <v>15</v>
      </c>
      <c r="H9" t="s">
        <v>24</v>
      </c>
      <c r="I9">
        <v>0</v>
      </c>
      <c r="J9" t="s">
        <v>20</v>
      </c>
      <c r="K9" t="s">
        <v>18</v>
      </c>
      <c r="L9" t="s">
        <v>13</v>
      </c>
      <c r="M9" t="s">
        <v>13</v>
      </c>
    </row>
    <row r="10" spans="1:13" x14ac:dyDescent="0.3">
      <c r="A10" s="1" t="s">
        <v>8</v>
      </c>
      <c r="B10" t="s">
        <v>21</v>
      </c>
      <c r="C10" t="s">
        <v>15</v>
      </c>
      <c r="D10" t="s">
        <v>71</v>
      </c>
      <c r="E10" t="s">
        <v>15</v>
      </c>
      <c r="F10" t="s">
        <v>71</v>
      </c>
      <c r="G10" t="s">
        <v>16</v>
      </c>
      <c r="H10" t="s">
        <v>18</v>
      </c>
      <c r="I10" t="s">
        <v>20</v>
      </c>
      <c r="J10">
        <v>0</v>
      </c>
      <c r="K10" t="s">
        <v>25</v>
      </c>
      <c r="L10" t="s">
        <v>18</v>
      </c>
      <c r="M10" t="s">
        <v>13</v>
      </c>
    </row>
    <row r="11" spans="1:13" x14ac:dyDescent="0.3">
      <c r="A11" s="1" t="s">
        <v>9</v>
      </c>
      <c r="B11" t="s">
        <v>16</v>
      </c>
      <c r="C11" t="s">
        <v>16</v>
      </c>
      <c r="D11" t="s">
        <v>16</v>
      </c>
      <c r="E11" t="s">
        <v>16</v>
      </c>
      <c r="F11" t="s">
        <v>23</v>
      </c>
      <c r="G11" t="s">
        <v>16</v>
      </c>
      <c r="H11" t="s">
        <v>20</v>
      </c>
      <c r="I11" t="s">
        <v>17</v>
      </c>
      <c r="J11" t="s">
        <v>71</v>
      </c>
      <c r="K11">
        <v>0</v>
      </c>
      <c r="L11" t="s">
        <v>22</v>
      </c>
      <c r="M11" t="s">
        <v>24</v>
      </c>
    </row>
    <row r="12" spans="1:13" x14ac:dyDescent="0.3">
      <c r="A12" s="1" t="s">
        <v>10</v>
      </c>
      <c r="B12" t="s">
        <v>22</v>
      </c>
      <c r="C12" t="s">
        <v>20</v>
      </c>
      <c r="D12" t="s">
        <v>15</v>
      </c>
      <c r="E12" t="s">
        <v>24</v>
      </c>
      <c r="F12" t="s">
        <v>24</v>
      </c>
      <c r="G12" t="s">
        <v>17</v>
      </c>
      <c r="H12" t="s">
        <v>16</v>
      </c>
      <c r="I12" t="s">
        <v>22</v>
      </c>
      <c r="J12" t="s">
        <v>15</v>
      </c>
      <c r="K12" t="s">
        <v>16</v>
      </c>
      <c r="L12">
        <v>0</v>
      </c>
      <c r="M12" t="s">
        <v>18</v>
      </c>
    </row>
    <row r="13" spans="1:13" x14ac:dyDescent="0.3">
      <c r="A13" s="1" t="s">
        <v>11</v>
      </c>
      <c r="B13" t="s">
        <v>15</v>
      </c>
      <c r="C13" t="s">
        <v>15</v>
      </c>
      <c r="D13" t="s">
        <v>16</v>
      </c>
      <c r="E13" t="s">
        <v>15</v>
      </c>
      <c r="F13" t="s">
        <v>24</v>
      </c>
      <c r="G13" t="s">
        <v>16</v>
      </c>
      <c r="H13" t="s">
        <v>15</v>
      </c>
      <c r="I13" t="s">
        <v>15</v>
      </c>
      <c r="J13" t="s">
        <v>16</v>
      </c>
      <c r="K13" t="s">
        <v>15</v>
      </c>
      <c r="L13" t="s">
        <v>24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(0,1897; 0,2846; 0,3795)</v>
      </c>
      <c r="D16" t="str">
        <f>VLOOKUP(D2,'Thang đánh giá'!$C$2:$D$27,2,FALSE)</f>
        <v>(0,1673; 0,251; 0,3347)</v>
      </c>
      <c r="E16" t="str">
        <f>VLOOKUP(E2,'Thang đánh giá'!$C$2:$D$27,2,FALSE)</f>
        <v>(0; 0,0707; 0,1414)</v>
      </c>
      <c r="F16" t="str">
        <f>VLOOKUP(F2,'Thang đánh giá'!$C$2:$D$27,2,FALSE)</f>
        <v>(0,1673; 0,251; 0,3347)</v>
      </c>
      <c r="G16" t="str">
        <f>VLOOKUP(G2,'Thang đánh giá'!$C$2:$D$27,2,FALSE)</f>
        <v>(0; 0; 0,0316)</v>
      </c>
      <c r="H16" t="str">
        <f>VLOOKUP(H2,'Thang đánh giá'!$C$2:$D$27,2,FALSE)</f>
        <v>(0; 0,0316; 0,0632)</v>
      </c>
      <c r="I16" t="str">
        <f>VLOOKUP(I2,'Thang đánh giá'!$C$2:$D$27,2,FALSE)</f>
        <v>(0; 0; 0,0548)</v>
      </c>
      <c r="J16" t="str">
        <f>VLOOKUP(J2,'Thang đánh giá'!$C$2:$D$27,2,FALSE)</f>
        <v>(0,1673; 0,251; 0,3347)</v>
      </c>
      <c r="K16" t="str">
        <f>VLOOKUP(K2,'Thang đánh giá'!$C$2:$D$27,2,FALSE)</f>
        <v>(0; 0; 0,0707)</v>
      </c>
      <c r="L16" t="str">
        <f>VLOOKUP(L2,'Thang đánh giá'!$C$2:$D$27,2,FALSE)</f>
        <v>(0,0707; 0,1414; 0,2121)</v>
      </c>
      <c r="M16" t="str">
        <f>VLOOKUP(M2,'Thang đánh giá'!$C$2:$D$27,2,FALSE)</f>
        <v>(0; 0,0316; 0,0632)</v>
      </c>
    </row>
    <row r="17" spans="1:13" x14ac:dyDescent="0.3">
      <c r="A17" t="s">
        <v>1</v>
      </c>
      <c r="B17" t="str">
        <f>VLOOKUP(B3,'Thang đánh giá'!$C$2:$D$27,2,FALSE)</f>
        <v>(0; 0,0548; 0,1095)</v>
      </c>
      <c r="C17" t="str">
        <f>VLOOKUP(C3,'Thang đánh giá'!$C$2:$D$27,2,FALSE)</f>
        <v>(0; 0; 0)</v>
      </c>
      <c r="D17" t="str">
        <f>VLOOKUP(D3,'Thang đánh giá'!$C$2:$D$27,2,FALSE)</f>
        <v>(0,1897; 0,2846; 0,3795)</v>
      </c>
      <c r="E17" t="str">
        <f>VLOOKUP(E3,'Thang đánh giá'!$C$2:$D$27,2,FALSE)</f>
        <v>(0,251; 0,3347; 0,3347)</v>
      </c>
      <c r="F17" t="str">
        <f>VLOOKUP(F3,'Thang đánh giá'!$C$2:$D$27,2,FALSE)</f>
        <v>(0; 0,0548; 0,1095)</v>
      </c>
      <c r="G17" t="str">
        <f>VLOOKUP(G3,'Thang đánh giá'!$C$2:$D$27,2,FALSE)</f>
        <v>(0,251; 0,3347; 0,3347)</v>
      </c>
      <c r="H17" t="str">
        <f>VLOOKUP(H3,'Thang đánh giá'!$C$2:$D$27,2,FALSE)</f>
        <v>(0,251; 0,3347; 0,3347)</v>
      </c>
      <c r="I17" t="str">
        <f>VLOOKUP(I3,'Thang đánh giá'!$C$2:$D$27,2,FALSE)</f>
        <v>(0; 0,0548; 0,1095)</v>
      </c>
      <c r="J17" t="str">
        <f>VLOOKUP(J3,'Thang đánh giá'!$C$2:$D$27,2,FALSE)</f>
        <v>(0,2846; 0,3795; 0,3795)</v>
      </c>
      <c r="K17" t="str">
        <f>VLOOKUP(K3,'Thang đánh giá'!$C$2:$D$27,2,FALSE)</f>
        <v>(0,2846; 0,3795; 0,3795)</v>
      </c>
      <c r="L17" t="str">
        <f>VLOOKUP(L3,'Thang đánh giá'!$C$2:$D$27,2,FALSE)</f>
        <v>(0; 0,0707; 0,1414)</v>
      </c>
      <c r="M17" t="str">
        <f>VLOOKUP(M3,'Thang đánh giá'!$C$2:$D$27,2,FALSE)</f>
        <v>(0,2846; 0,3795; 0,3795)</v>
      </c>
    </row>
    <row r="18" spans="1:13" x14ac:dyDescent="0.3">
      <c r="A18" t="s">
        <v>2</v>
      </c>
      <c r="B18" t="str">
        <f>VLOOKUP(B4,'Thang đánh giá'!$C$2:$D$27,2,FALSE)</f>
        <v>(0,1414; 0,2121; 0,2828)</v>
      </c>
      <c r="C18" t="str">
        <f>VLOOKUP(C4,'Thang đánh giá'!$C$2:$D$27,2,FALSE)</f>
        <v>(0; 0,0316; 0,0632)</v>
      </c>
      <c r="D18" t="str">
        <f>VLOOKUP(D4,'Thang đánh giá'!$C$2:$D$27,2,FALSE)</f>
        <v>(0; 0; 0)</v>
      </c>
      <c r="E18" t="str">
        <f>VLOOKUP(E4,'Thang đánh giá'!$C$2:$D$27,2,FALSE)</f>
        <v>(0,1673; 0,251; 0,3347)</v>
      </c>
      <c r="F18" t="str">
        <f>VLOOKUP(F4,'Thang đánh giá'!$C$2:$D$27,2,FALSE)</f>
        <v>(0; 0; 0,0548)</v>
      </c>
      <c r="G18" t="str">
        <f>VLOOKUP(G4,'Thang đánh giá'!$C$2:$D$27,2,FALSE)</f>
        <v>(0,0707; 0,1414; 0,2121)</v>
      </c>
      <c r="H18" t="str">
        <f>VLOOKUP(H4,'Thang đánh giá'!$C$2:$D$27,2,FALSE)</f>
        <v>(0; 0,0548; 0,1095)</v>
      </c>
      <c r="I18" t="str">
        <f>VLOOKUP(I4,'Thang đánh giá'!$C$2:$D$27,2,FALSE)</f>
        <v>(0,0707; 0,1414; 0,2121)</v>
      </c>
      <c r="J18" t="str">
        <f>VLOOKUP(J4,'Thang đánh giá'!$C$2:$D$27,2,FALSE)</f>
        <v>(0,2846; 0,3795; 0,3795)</v>
      </c>
      <c r="K18" t="str">
        <f>VLOOKUP(K4,'Thang đánh giá'!$C$2:$D$27,2,FALSE)</f>
        <v>(0,2846; 0,3795; 0,3795)</v>
      </c>
      <c r="L18" t="str">
        <f>VLOOKUP(L4,'Thang đánh giá'!$C$2:$D$27,2,FALSE)</f>
        <v>(0,1673; 0,251; 0,3347)</v>
      </c>
      <c r="M18" t="str">
        <f>VLOOKUP(M4,'Thang đánh giá'!$C$2:$D$27,2,FALSE)</f>
        <v>(0,1897; 0,2846; 0,3795)</v>
      </c>
    </row>
    <row r="19" spans="1:13" x14ac:dyDescent="0.3">
      <c r="A19" t="s">
        <v>3</v>
      </c>
      <c r="B19" t="str">
        <f>VLOOKUP(B5,'Thang đánh giá'!$C$2:$D$27,2,FALSE)</f>
        <v>(0; 0; 0,0548)</v>
      </c>
      <c r="C19" t="str">
        <f>VLOOKUP(C5,'Thang đánh giá'!$C$2:$D$27,2,FALSE)</f>
        <v>(0; 0; 0,0707)</v>
      </c>
      <c r="D19" t="str">
        <f>VLOOKUP(D5,'Thang đánh giá'!$C$2:$D$27,2,FALSE)</f>
        <v>(0; 0,0707; 0,1414)</v>
      </c>
      <c r="E19" t="str">
        <f>VLOOKUP(E5,'Thang đánh giá'!$C$2:$D$27,2,FALSE)</f>
        <v>(0; 0; 0)</v>
      </c>
      <c r="F19" t="str">
        <f>VLOOKUP(F5,'Thang đánh giá'!$C$2:$D$27,2,FALSE)</f>
        <v>(0; 0,0707; 0,1414)</v>
      </c>
      <c r="G19" t="str">
        <f>VLOOKUP(G5,'Thang đánh giá'!$C$2:$D$27,2,FALSE)</f>
        <v>(0; 0,0548; 0,1095)</v>
      </c>
      <c r="H19" t="str">
        <f>VLOOKUP(H5,'Thang đánh giá'!$C$2:$D$27,2,FALSE)</f>
        <v>(0,1673; 0,251; 0,3347)</v>
      </c>
      <c r="I19" t="str">
        <f>VLOOKUP(I5,'Thang đánh giá'!$C$2:$D$27,2,FALSE)</f>
        <v>(0; 0,0707; 0,1414)</v>
      </c>
      <c r="J19" t="str">
        <f>VLOOKUP(J5,'Thang đánh giá'!$C$2:$D$27,2,FALSE)</f>
        <v>(0,1897; 0,2846; 0,3795)</v>
      </c>
      <c r="K19" t="str">
        <f>VLOOKUP(K5,'Thang đánh giá'!$C$2:$D$27,2,FALSE)</f>
        <v>(0; 0; 0,0707)</v>
      </c>
      <c r="L19" t="str">
        <f>VLOOKUP(L5,'Thang đánh giá'!$C$2:$D$27,2,FALSE)</f>
        <v>(0,1897; 0,2846; 0,3795)</v>
      </c>
      <c r="M19" t="str">
        <f>VLOOKUP(M5,'Thang đánh giá'!$C$2:$D$27,2,FALSE)</f>
        <v>(0; 0; 0,0707)</v>
      </c>
    </row>
    <row r="20" spans="1:13" x14ac:dyDescent="0.3">
      <c r="A20" t="s">
        <v>4</v>
      </c>
      <c r="B20" t="str">
        <f>VLOOKUP(B6,'Thang đánh giá'!$C$2:$D$27,2,FALSE)</f>
        <v>(0; 0; 0,0707)</v>
      </c>
      <c r="C20" t="str">
        <f>VLOOKUP(C6,'Thang đánh giá'!$C$2:$D$27,2,FALSE)</f>
        <v>(0,0707; 0,1414; 0,2121)</v>
      </c>
      <c r="D20" t="str">
        <f>VLOOKUP(D6,'Thang đánh giá'!$C$2:$D$27,2,FALSE)</f>
        <v>(0; 0; 0,0316)</v>
      </c>
      <c r="E20" t="str">
        <f>VLOOKUP(E6,'Thang đánh giá'!$C$2:$D$27,2,FALSE)</f>
        <v>(0; 0; 0,0316)</v>
      </c>
      <c r="F20" t="str">
        <f>VLOOKUP(F6,'Thang đánh giá'!$C$2:$D$27,2,FALSE)</f>
        <v>(0; 0; 0)</v>
      </c>
      <c r="G20" t="str">
        <f>VLOOKUP(G6,'Thang đánh giá'!$C$2:$D$27,2,FALSE)</f>
        <v>(0,1673; 0,251; 0,3347)</v>
      </c>
      <c r="H20" t="str">
        <f>VLOOKUP(H6,'Thang đánh giá'!$C$2:$D$27,2,FALSE)</f>
        <v>(0; 0,0707; 0,1414)</v>
      </c>
      <c r="I20" t="str">
        <f>VLOOKUP(I6,'Thang đánh giá'!$C$2:$D$27,2,FALSE)</f>
        <v>(0; 0,0707; 0,1414)</v>
      </c>
      <c r="J20" t="str">
        <f>VLOOKUP(J6,'Thang đánh giá'!$C$2:$D$27,2,FALSE)</f>
        <v>(0,1897; 0,2846; 0,3795)</v>
      </c>
      <c r="K20" t="str">
        <f>VLOOKUP(K6,'Thang đánh giá'!$C$2:$D$27,2,FALSE)</f>
        <v>(0,1897; 0,2846; 0,3795)</v>
      </c>
      <c r="L20" t="str">
        <f>VLOOKUP(L6,'Thang đánh giá'!$C$2:$D$27,2,FALSE)</f>
        <v>(0; 0; 0,0316)</v>
      </c>
      <c r="M20" t="str">
        <f>VLOOKUP(M6,'Thang đánh giá'!$C$2:$D$27,2,FALSE)</f>
        <v>(0; 0; 0,0707)</v>
      </c>
    </row>
    <row r="21" spans="1:13" x14ac:dyDescent="0.3">
      <c r="A21" t="s">
        <v>5</v>
      </c>
      <c r="B21" t="str">
        <f>VLOOKUP(B7,'Thang đánh giá'!$C$2:$D$27,2,FALSE)</f>
        <v>(0; 0,0707; 0,1414)</v>
      </c>
      <c r="C21" t="str">
        <f>VLOOKUP(C7,'Thang đánh giá'!$C$2:$D$27,2,FALSE)</f>
        <v>(0; 0,0707; 0,1414)</v>
      </c>
      <c r="D21" t="str">
        <f>VLOOKUP(D7,'Thang đánh giá'!$C$2:$D$27,2,FALSE)</f>
        <v>(0; 0,0707; 0,1414)</v>
      </c>
      <c r="E21" t="str">
        <f>VLOOKUP(E7,'Thang đánh giá'!$C$2:$D$27,2,FALSE)</f>
        <v>(0; 0; 0,0548)</v>
      </c>
      <c r="F21" t="str">
        <f>VLOOKUP(F7,'Thang đánh giá'!$C$2:$D$27,2,FALSE)</f>
        <v>(0; 0; 0,0548)</v>
      </c>
      <c r="G21" t="str">
        <f>VLOOKUP(G7,'Thang đánh giá'!$C$2:$D$27,2,FALSE)</f>
        <v>(0; 0; 0)</v>
      </c>
      <c r="H21" t="str">
        <f>VLOOKUP(H7,'Thang đánh giá'!$C$2:$D$27,2,FALSE)</f>
        <v>(0,0707; 0,1414; 0,2121)</v>
      </c>
      <c r="I21" t="str">
        <f>VLOOKUP(I7,'Thang đánh giá'!$C$2:$D$27,2,FALSE)</f>
        <v>(0; 0; 0,0707)</v>
      </c>
      <c r="J21" t="str">
        <f>VLOOKUP(J7,'Thang đánh giá'!$C$2:$D$27,2,FALSE)</f>
        <v>(0,251; 0,3347; 0,3347)</v>
      </c>
      <c r="K21" t="str">
        <f>VLOOKUP(K7,'Thang đánh giá'!$C$2:$D$27,2,FALSE)</f>
        <v>(0; 0; 0,0837)</v>
      </c>
      <c r="L21" t="str">
        <f>VLOOKUP(L7,'Thang đánh giá'!$C$2:$D$27,2,FALSE)</f>
        <v>(0; 0; 0,0707)</v>
      </c>
      <c r="M21" t="str">
        <f>VLOOKUP(M7,'Thang đánh giá'!$C$2:$D$27,2,FALSE)</f>
        <v>(0; 0,0316; 0,0632)</v>
      </c>
    </row>
    <row r="22" spans="1:13" x14ac:dyDescent="0.3">
      <c r="A22" t="s">
        <v>6</v>
      </c>
      <c r="B22" t="str">
        <f>VLOOKUP(B8,'Thang đánh giá'!$C$2:$D$27,2,FALSE)</f>
        <v>(0; 0; 0,0548)</v>
      </c>
      <c r="C22" t="str">
        <f>VLOOKUP(C8,'Thang đánh giá'!$C$2:$D$27,2,FALSE)</f>
        <v>(0; 0; 0,0548)</v>
      </c>
      <c r="D22" t="str">
        <f>VLOOKUP(D8,'Thang đánh giá'!$C$2:$D$27,2,FALSE)</f>
        <v>(0; 0; 0,0837)</v>
      </c>
      <c r="E22" t="str">
        <f>VLOOKUP(E8,'Thang đánh giá'!$C$2:$D$27,2,FALSE)</f>
        <v>(0; 0,0548; 0,1095)</v>
      </c>
      <c r="F22" t="str">
        <f>VLOOKUP(F8,'Thang đánh giá'!$C$2:$D$27,2,FALSE)</f>
        <v>(0; 0; 0,0548)</v>
      </c>
      <c r="G22" t="str">
        <f>VLOOKUP(G8,'Thang đánh giá'!$C$2:$D$27,2,FALSE)</f>
        <v>(0; 0,0837; 0,1673)</v>
      </c>
      <c r="H22" t="str">
        <f>VLOOKUP(H8,'Thang đánh giá'!$C$2:$D$27,2,FALSE)</f>
        <v>(0; 0; 0)</v>
      </c>
      <c r="I22" t="str">
        <f>VLOOKUP(I8,'Thang đánh giá'!$C$2:$D$27,2,FALSE)</f>
        <v>(0; 0,0707; 0,1414)</v>
      </c>
      <c r="J22" t="str">
        <f>VLOOKUP(J8,'Thang đánh giá'!$C$2:$D$27,2,FALSE)</f>
        <v>(0; 0,0707; 0,1414)</v>
      </c>
      <c r="K22" t="str">
        <f>VLOOKUP(K8,'Thang đánh giá'!$C$2:$D$27,2,FALSE)</f>
        <v>(0; 0,0837; 0,1673)</v>
      </c>
      <c r="L22" t="str">
        <f>VLOOKUP(L8,'Thang đánh giá'!$C$2:$D$27,2,FALSE)</f>
        <v>(0,0707; 0,1414; 0,2121)</v>
      </c>
      <c r="M22" t="str">
        <f>VLOOKUP(M8,'Thang đánh giá'!$C$2:$D$27,2,FALSE)</f>
        <v>(0; 0; 0,0548)</v>
      </c>
    </row>
    <row r="23" spans="1:13" x14ac:dyDescent="0.3">
      <c r="A23" t="s">
        <v>7</v>
      </c>
      <c r="B23" t="str">
        <f>VLOOKUP(B9,'Thang đánh giá'!$C$2:$D$27,2,FALSE)</f>
        <v>(0; 0; 0,0707)</v>
      </c>
      <c r="C23" t="str">
        <f>VLOOKUP(C9,'Thang đánh giá'!$C$2:$D$27,2,FALSE)</f>
        <v>(0; 0,0707; 0,1414)</v>
      </c>
      <c r="D23" t="str">
        <f>VLOOKUP(D9,'Thang đánh giá'!$C$2:$D$27,2,FALSE)</f>
        <v>(0; 0,0707; 0,1414)</v>
      </c>
      <c r="E23" t="str">
        <f>VLOOKUP(E9,'Thang đánh giá'!$C$2:$D$27,2,FALSE)</f>
        <v>(0; 0; 0,0707)</v>
      </c>
      <c r="F23" t="str">
        <f>VLOOKUP(F9,'Thang đánh giá'!$C$2:$D$27,2,FALSE)</f>
        <v>(0; 0,0707; 0,1414)</v>
      </c>
      <c r="G23" t="str">
        <f>VLOOKUP(G9,'Thang đánh giá'!$C$2:$D$27,2,FALSE)</f>
        <v>(0; 0,0707; 0,1414)</v>
      </c>
      <c r="H23" t="str">
        <f>VLOOKUP(H9,'Thang đánh giá'!$C$2:$D$27,2,FALSE)</f>
        <v>(0; 0; 0,0548)</v>
      </c>
      <c r="I23" t="str">
        <f>VLOOKUP(I9,'Thang đánh giá'!$C$2:$D$27,2,FALSE)</f>
        <v>(0; 0; 0)</v>
      </c>
      <c r="J23" t="str">
        <f>VLOOKUP(J9,'Thang đánh giá'!$C$2:$D$27,2,FALSE)</f>
        <v>(0; 0,0548; 0,1095)</v>
      </c>
      <c r="K23" t="str">
        <f>VLOOKUP(K9,'Thang đánh giá'!$C$2:$D$27,2,FALSE)</f>
        <v>(0,2846; 0,3795; 0,3795)</v>
      </c>
      <c r="L23" t="str">
        <f>VLOOKUP(L9,'Thang đánh giá'!$C$2:$D$27,2,FALSE)</f>
        <v>(0,1897; 0,2846; 0,3795)</v>
      </c>
      <c r="M23" t="str">
        <f>VLOOKUP(M9,'Thang đánh giá'!$C$2:$D$27,2,FALSE)</f>
        <v>(0,1897; 0,2846; 0,3795)</v>
      </c>
    </row>
    <row r="24" spans="1:13" x14ac:dyDescent="0.3">
      <c r="A24" t="s">
        <v>8</v>
      </c>
      <c r="B24" t="str">
        <f>VLOOKUP(B10,'Thang đánh giá'!$C$2:$D$27,2,FALSE)</f>
        <v>(0,0837; 0,1673; 0,251)</v>
      </c>
      <c r="C24" t="str">
        <f>VLOOKUP(C10,'Thang đánh giá'!$C$2:$D$27,2,FALSE)</f>
        <v>(0; 0,0707; 0,1414)</v>
      </c>
      <c r="D24" t="str">
        <f>VLOOKUP(D10,'Thang đánh giá'!$C$2:$D$27,2,FALSE)</f>
        <v>(0; 0; 0,0837)</v>
      </c>
      <c r="E24" t="str">
        <f>VLOOKUP(E10,'Thang đánh giá'!$C$2:$D$27,2,FALSE)</f>
        <v>(0; 0,0707; 0,1414)</v>
      </c>
      <c r="F24" t="str">
        <f>VLOOKUP(F10,'Thang đánh giá'!$C$2:$D$27,2,FALSE)</f>
        <v>(0; 0; 0,0837)</v>
      </c>
      <c r="G24" t="str">
        <f>VLOOKUP(G10,'Thang đánh giá'!$C$2:$D$27,2,FALSE)</f>
        <v>(0; 0; 0,0707)</v>
      </c>
      <c r="H24" t="str">
        <f>VLOOKUP(H10,'Thang đánh giá'!$C$2:$D$27,2,FALSE)</f>
        <v>(0,2846; 0,3795; 0,3795)</v>
      </c>
      <c r="I24" t="str">
        <f>VLOOKUP(I10,'Thang đánh giá'!$C$2:$D$27,2,FALSE)</f>
        <v>(0; 0,0548; 0,1095)</v>
      </c>
      <c r="J24" t="str">
        <f>VLOOKUP(J10,'Thang đánh giá'!$C$2:$D$27,2,FALSE)</f>
        <v>(0; 0; 0)</v>
      </c>
      <c r="K24" t="str">
        <f>VLOOKUP(K10,'Thang đánh giá'!$C$2:$D$27,2,FALSE)</f>
        <v>(0,251; 0,3347; 0,3347)</v>
      </c>
      <c r="L24" t="str">
        <f>VLOOKUP(L10,'Thang đánh giá'!$C$2:$D$27,2,FALSE)</f>
        <v>(0,2846; 0,3795; 0,3795)</v>
      </c>
      <c r="M24" t="str">
        <f>VLOOKUP(M10,'Thang đánh giá'!$C$2:$D$27,2,FALSE)</f>
        <v>(0,1897; 0,2846; 0,3795)</v>
      </c>
    </row>
    <row r="25" spans="1:13" x14ac:dyDescent="0.3">
      <c r="A25" t="s">
        <v>9</v>
      </c>
      <c r="B25" t="str">
        <f>VLOOKUP(B11,'Thang đánh giá'!$C$2:$D$27,2,FALSE)</f>
        <v>(0; 0; 0,0707)</v>
      </c>
      <c r="C25" t="str">
        <f>VLOOKUP(C11,'Thang đánh giá'!$C$2:$D$27,2,FALSE)</f>
        <v>(0; 0; 0,0707)</v>
      </c>
      <c r="D25" t="str">
        <f>VLOOKUP(D11,'Thang đánh giá'!$C$2:$D$27,2,FALSE)</f>
        <v>(0; 0; 0,0707)</v>
      </c>
      <c r="E25" t="str">
        <f>VLOOKUP(E11,'Thang đánh giá'!$C$2:$D$27,2,FALSE)</f>
        <v>(0; 0; 0,0707)</v>
      </c>
      <c r="F25" t="str">
        <f>VLOOKUP(F11,'Thang đánh giá'!$C$2:$D$27,2,FALSE)</f>
        <v>(0; 0; 0,0316)</v>
      </c>
      <c r="G25" t="str">
        <f>VLOOKUP(G11,'Thang đánh giá'!$C$2:$D$27,2,FALSE)</f>
        <v>(0; 0; 0,0707)</v>
      </c>
      <c r="H25" t="str">
        <f>VLOOKUP(H11,'Thang đánh giá'!$C$2:$D$27,2,FALSE)</f>
        <v>(0; 0,0548; 0,1095)</v>
      </c>
      <c r="I25" t="str">
        <f>VLOOKUP(I11,'Thang đánh giá'!$C$2:$D$27,2,FALSE)</f>
        <v>(0; 0,0316; 0,0632)</v>
      </c>
      <c r="J25" t="str">
        <f>VLOOKUP(J11,'Thang đánh giá'!$C$2:$D$27,2,FALSE)</f>
        <v>(0; 0; 0,0837)</v>
      </c>
      <c r="K25" t="str">
        <f>VLOOKUP(K11,'Thang đánh giá'!$C$2:$D$27,2,FALSE)</f>
        <v>(0; 0; 0)</v>
      </c>
      <c r="L25" t="str">
        <f>VLOOKUP(L11,'Thang đánh giá'!$C$2:$D$27,2,FALSE)</f>
        <v>(0,0707; 0,1414; 0,2121)</v>
      </c>
      <c r="M25" t="str">
        <f>VLOOKUP(M11,'Thang đánh giá'!$C$2:$D$27,2,FALSE)</f>
        <v>(0; 0; 0,0548)</v>
      </c>
    </row>
    <row r="26" spans="1:13" x14ac:dyDescent="0.3">
      <c r="A26" t="s">
        <v>10</v>
      </c>
      <c r="B26" t="str">
        <f>VLOOKUP(B12,'Thang đánh giá'!$C$2:$D$27,2,FALSE)</f>
        <v>(0,0707; 0,1414; 0,2121)</v>
      </c>
      <c r="C26" t="str">
        <f>VLOOKUP(C12,'Thang đánh giá'!$C$2:$D$27,2,FALSE)</f>
        <v>(0; 0,0548; 0,1095)</v>
      </c>
      <c r="D26" t="str">
        <f>VLOOKUP(D12,'Thang đánh giá'!$C$2:$D$27,2,FALSE)</f>
        <v>(0; 0,0707; 0,1414)</v>
      </c>
      <c r="E26" t="str">
        <f>VLOOKUP(E12,'Thang đánh giá'!$C$2:$D$27,2,FALSE)</f>
        <v>(0; 0; 0,0548)</v>
      </c>
      <c r="F26" t="str">
        <f>VLOOKUP(F12,'Thang đánh giá'!$C$2:$D$27,2,FALSE)</f>
        <v>(0; 0; 0,0548)</v>
      </c>
      <c r="G26" t="str">
        <f>VLOOKUP(G12,'Thang đánh giá'!$C$2:$D$27,2,FALSE)</f>
        <v>(0; 0,0316; 0,0632)</v>
      </c>
      <c r="H26" t="str">
        <f>VLOOKUP(H12,'Thang đánh giá'!$C$2:$D$27,2,FALSE)</f>
        <v>(0; 0; 0,0707)</v>
      </c>
      <c r="I26" t="str">
        <f>VLOOKUP(I12,'Thang đánh giá'!$C$2:$D$27,2,FALSE)</f>
        <v>(0,0707; 0,1414; 0,2121)</v>
      </c>
      <c r="J26" t="str">
        <f>VLOOKUP(J12,'Thang đánh giá'!$C$2:$D$27,2,FALSE)</f>
        <v>(0; 0,0707; 0,1414)</v>
      </c>
      <c r="K26" t="str">
        <f>VLOOKUP(K12,'Thang đánh giá'!$C$2:$D$27,2,FALSE)</f>
        <v>(0; 0; 0,0707)</v>
      </c>
      <c r="L26" t="str">
        <f>VLOOKUP(L12,'Thang đánh giá'!$C$2:$D$27,2,FALSE)</f>
        <v>(0; 0; 0)</v>
      </c>
      <c r="M26" t="str">
        <f>VLOOKUP(M12,'Thang đánh giá'!$C$2:$D$27,2,FALSE)</f>
        <v>(0,2846; 0,3795; 0,3795)</v>
      </c>
    </row>
    <row r="27" spans="1:13" x14ac:dyDescent="0.3">
      <c r="A27" t="s">
        <v>11</v>
      </c>
      <c r="B27" t="str">
        <f>VLOOKUP(B13,'Thang đánh giá'!$C$2:$D$27,2,FALSE)</f>
        <v>(0; 0,0707; 0,1414)</v>
      </c>
      <c r="C27" t="str">
        <f>VLOOKUP(C13,'Thang đánh giá'!$C$2:$D$27,2,FALSE)</f>
        <v>(0; 0,0707; 0,1414)</v>
      </c>
      <c r="D27" t="str">
        <f>VLOOKUP(D13,'Thang đánh giá'!$C$2:$D$27,2,FALSE)</f>
        <v>(0; 0; 0,0707)</v>
      </c>
      <c r="E27" t="str">
        <f>VLOOKUP(E13,'Thang đánh giá'!$C$2:$D$27,2,FALSE)</f>
        <v>(0; 0,0707; 0,1414)</v>
      </c>
      <c r="F27" t="str">
        <f>VLOOKUP(F13,'Thang đánh giá'!$C$2:$D$27,2,FALSE)</f>
        <v>(0; 0; 0,0548)</v>
      </c>
      <c r="G27" t="str">
        <f>VLOOKUP(G13,'Thang đánh giá'!$C$2:$D$27,2,FALSE)</f>
        <v>(0; 0; 0,0707)</v>
      </c>
      <c r="H27" t="str">
        <f>VLOOKUP(H13,'Thang đánh giá'!$C$2:$D$27,2,FALSE)</f>
        <v>(0; 0,0707; 0,1414)</v>
      </c>
      <c r="I27" t="str">
        <f>VLOOKUP(I13,'Thang đánh giá'!$C$2:$D$27,2,FALSE)</f>
        <v>(0; 0,0707; 0,1414)</v>
      </c>
      <c r="J27" t="str">
        <f>VLOOKUP(J13,'Thang đánh giá'!$C$2:$D$27,2,FALSE)</f>
        <v>(0; 0; 0,0707)</v>
      </c>
      <c r="K27" t="str">
        <f>VLOOKUP(K13,'Thang đánh giá'!$C$2:$D$27,2,FALSE)</f>
        <v>(0; 0,0707; 0,1414)</v>
      </c>
      <c r="L27" t="str">
        <f>VLOOKUP(L13,'Thang đánh giá'!$C$2:$D$27,2,FALSE)</f>
        <v>(0; 0; 0,0548)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0.18970000000000001</v>
      </c>
      <c r="D30">
        <f t="shared" si="0"/>
        <v>0.1673</v>
      </c>
      <c r="E30">
        <f t="shared" si="0"/>
        <v>0</v>
      </c>
      <c r="F30">
        <f t="shared" si="0"/>
        <v>0.1673</v>
      </c>
      <c r="G30">
        <f t="shared" si="0"/>
        <v>0</v>
      </c>
      <c r="H30">
        <f t="shared" si="0"/>
        <v>0</v>
      </c>
      <c r="I30">
        <f t="shared" si="0"/>
        <v>0</v>
      </c>
      <c r="J30">
        <f t="shared" si="0"/>
        <v>0.1673</v>
      </c>
      <c r="K30">
        <f t="shared" si="0"/>
        <v>0</v>
      </c>
      <c r="L30">
        <f t="shared" si="0"/>
        <v>7.0699999999999999E-2</v>
      </c>
      <c r="M30">
        <f t="shared" si="0"/>
        <v>0</v>
      </c>
    </row>
    <row r="31" spans="1:13" x14ac:dyDescent="0.3">
      <c r="A31" t="s">
        <v>1</v>
      </c>
      <c r="B31">
        <f t="shared" ref="B31:M41" si="1">_xlfn.NUMBERVALUE(MID(B17,2,FIND(";",B17,1)-2))</f>
        <v>0</v>
      </c>
      <c r="C31">
        <f t="shared" si="1"/>
        <v>0</v>
      </c>
      <c r="D31">
        <f t="shared" si="1"/>
        <v>0.18970000000000001</v>
      </c>
      <c r="E31">
        <f t="shared" si="1"/>
        <v>0.251</v>
      </c>
      <c r="F31">
        <f t="shared" si="1"/>
        <v>0</v>
      </c>
      <c r="G31">
        <f t="shared" si="1"/>
        <v>0.251</v>
      </c>
      <c r="H31">
        <f t="shared" si="1"/>
        <v>0.251</v>
      </c>
      <c r="I31">
        <f t="shared" si="1"/>
        <v>0</v>
      </c>
      <c r="J31">
        <f t="shared" si="1"/>
        <v>0.28460000000000002</v>
      </c>
      <c r="K31">
        <f t="shared" si="1"/>
        <v>0.28460000000000002</v>
      </c>
      <c r="L31">
        <f t="shared" si="1"/>
        <v>0</v>
      </c>
      <c r="M31">
        <f t="shared" si="1"/>
        <v>0.28460000000000002</v>
      </c>
    </row>
    <row r="32" spans="1:13" x14ac:dyDescent="0.3">
      <c r="A32" t="s">
        <v>2</v>
      </c>
      <c r="B32">
        <f t="shared" si="1"/>
        <v>0.1414</v>
      </c>
      <c r="C32">
        <f t="shared" si="1"/>
        <v>0</v>
      </c>
      <c r="D32">
        <f t="shared" si="1"/>
        <v>0</v>
      </c>
      <c r="E32">
        <f t="shared" si="1"/>
        <v>0.1673</v>
      </c>
      <c r="F32">
        <f t="shared" si="1"/>
        <v>0</v>
      </c>
      <c r="G32">
        <f t="shared" si="1"/>
        <v>7.0699999999999999E-2</v>
      </c>
      <c r="H32">
        <f t="shared" si="1"/>
        <v>0</v>
      </c>
      <c r="I32">
        <f t="shared" si="1"/>
        <v>7.0699999999999999E-2</v>
      </c>
      <c r="J32">
        <f t="shared" si="1"/>
        <v>0.28460000000000002</v>
      </c>
      <c r="K32">
        <f t="shared" si="1"/>
        <v>0.28460000000000002</v>
      </c>
      <c r="L32">
        <f t="shared" si="1"/>
        <v>0.1673</v>
      </c>
      <c r="M32">
        <f t="shared" si="1"/>
        <v>0.18970000000000001</v>
      </c>
    </row>
    <row r="33" spans="1:13" x14ac:dyDescent="0.3">
      <c r="A33" t="s">
        <v>3</v>
      </c>
      <c r="B33">
        <f t="shared" si="1"/>
        <v>0</v>
      </c>
      <c r="C33">
        <f t="shared" si="1"/>
        <v>0</v>
      </c>
      <c r="D33">
        <f t="shared" si="1"/>
        <v>0</v>
      </c>
      <c r="E33">
        <f t="shared" si="1"/>
        <v>0</v>
      </c>
      <c r="F33">
        <f t="shared" si="1"/>
        <v>0</v>
      </c>
      <c r="G33">
        <f t="shared" si="1"/>
        <v>0</v>
      </c>
      <c r="H33">
        <f t="shared" si="1"/>
        <v>0.1673</v>
      </c>
      <c r="I33">
        <f t="shared" si="1"/>
        <v>0</v>
      </c>
      <c r="J33">
        <f t="shared" si="1"/>
        <v>0.18970000000000001</v>
      </c>
      <c r="K33">
        <f t="shared" si="1"/>
        <v>0</v>
      </c>
      <c r="L33">
        <f t="shared" si="1"/>
        <v>0.18970000000000001</v>
      </c>
      <c r="M33">
        <f t="shared" si="1"/>
        <v>0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7.0699999999999999E-2</v>
      </c>
      <c r="D34">
        <f t="shared" si="2"/>
        <v>0</v>
      </c>
      <c r="E34">
        <f t="shared" si="2"/>
        <v>0</v>
      </c>
      <c r="F34">
        <f t="shared" si="2"/>
        <v>0</v>
      </c>
      <c r="G34">
        <f t="shared" si="2"/>
        <v>0.1673</v>
      </c>
      <c r="H34">
        <f t="shared" si="2"/>
        <v>0</v>
      </c>
      <c r="I34">
        <f t="shared" si="2"/>
        <v>0</v>
      </c>
      <c r="J34">
        <f t="shared" si="2"/>
        <v>0.18970000000000001</v>
      </c>
      <c r="K34">
        <f t="shared" si="2"/>
        <v>0.18970000000000001</v>
      </c>
      <c r="L34">
        <f t="shared" si="2"/>
        <v>0</v>
      </c>
      <c r="M34">
        <f t="shared" si="2"/>
        <v>0</v>
      </c>
    </row>
    <row r="35" spans="1:13" x14ac:dyDescent="0.3">
      <c r="A35" t="s">
        <v>5</v>
      </c>
      <c r="B35">
        <f t="shared" si="1"/>
        <v>0</v>
      </c>
      <c r="C35">
        <f t="shared" si="1"/>
        <v>0</v>
      </c>
      <c r="D35">
        <f t="shared" si="1"/>
        <v>0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7.0699999999999999E-2</v>
      </c>
      <c r="I35">
        <f t="shared" si="1"/>
        <v>0</v>
      </c>
      <c r="J35">
        <f t="shared" si="1"/>
        <v>0.251</v>
      </c>
      <c r="K35">
        <f t="shared" si="1"/>
        <v>0</v>
      </c>
      <c r="L35">
        <f t="shared" si="1"/>
        <v>0</v>
      </c>
      <c r="M35">
        <f t="shared" si="1"/>
        <v>0</v>
      </c>
    </row>
    <row r="36" spans="1:13" x14ac:dyDescent="0.3">
      <c r="A36" t="s">
        <v>6</v>
      </c>
      <c r="B36">
        <f t="shared" si="1"/>
        <v>0</v>
      </c>
      <c r="C36">
        <f t="shared" si="1"/>
        <v>0</v>
      </c>
      <c r="D36">
        <f t="shared" si="1"/>
        <v>0</v>
      </c>
      <c r="E36">
        <f t="shared" si="1"/>
        <v>0</v>
      </c>
      <c r="F36">
        <f t="shared" si="1"/>
        <v>0</v>
      </c>
      <c r="G36">
        <f t="shared" si="1"/>
        <v>0</v>
      </c>
      <c r="H36">
        <f t="shared" si="1"/>
        <v>0</v>
      </c>
      <c r="I36">
        <f t="shared" si="1"/>
        <v>0</v>
      </c>
      <c r="J36">
        <f t="shared" si="1"/>
        <v>0</v>
      </c>
      <c r="K36">
        <f t="shared" si="1"/>
        <v>0</v>
      </c>
      <c r="L36">
        <f t="shared" si="1"/>
        <v>7.0699999999999999E-2</v>
      </c>
      <c r="M36">
        <f t="shared" si="1"/>
        <v>0</v>
      </c>
    </row>
    <row r="37" spans="1:13" x14ac:dyDescent="0.3">
      <c r="A37" t="s">
        <v>7</v>
      </c>
      <c r="B37">
        <f t="shared" si="1"/>
        <v>0</v>
      </c>
      <c r="C37">
        <f t="shared" si="1"/>
        <v>0</v>
      </c>
      <c r="D37">
        <f t="shared" si="1"/>
        <v>0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0</v>
      </c>
      <c r="K37">
        <f t="shared" si="1"/>
        <v>0.28460000000000002</v>
      </c>
      <c r="L37">
        <f t="shared" si="1"/>
        <v>0.18970000000000001</v>
      </c>
      <c r="M37">
        <f t="shared" si="1"/>
        <v>0.18970000000000001</v>
      </c>
    </row>
    <row r="38" spans="1:13" x14ac:dyDescent="0.3">
      <c r="A38" t="s">
        <v>8</v>
      </c>
      <c r="B38">
        <f t="shared" si="1"/>
        <v>8.3699999999999997E-2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0.28460000000000002</v>
      </c>
      <c r="I38">
        <f t="shared" si="1"/>
        <v>0</v>
      </c>
      <c r="J38">
        <f t="shared" si="1"/>
        <v>0</v>
      </c>
      <c r="K38">
        <f t="shared" si="1"/>
        <v>0.251</v>
      </c>
      <c r="L38">
        <f t="shared" si="1"/>
        <v>0.28460000000000002</v>
      </c>
      <c r="M38">
        <f t="shared" si="1"/>
        <v>0.18970000000000001</v>
      </c>
    </row>
    <row r="39" spans="1:13" x14ac:dyDescent="0.3">
      <c r="A39" t="s">
        <v>9</v>
      </c>
      <c r="B39">
        <f t="shared" si="1"/>
        <v>0</v>
      </c>
      <c r="C39">
        <f t="shared" si="1"/>
        <v>0</v>
      </c>
      <c r="D39">
        <f t="shared" si="1"/>
        <v>0</v>
      </c>
      <c r="E39">
        <f t="shared" si="1"/>
        <v>0</v>
      </c>
      <c r="F39">
        <f t="shared" si="1"/>
        <v>0</v>
      </c>
      <c r="G39">
        <f t="shared" si="1"/>
        <v>0</v>
      </c>
      <c r="H39">
        <f t="shared" si="1"/>
        <v>0</v>
      </c>
      <c r="I39">
        <f t="shared" si="1"/>
        <v>0</v>
      </c>
      <c r="J39">
        <f t="shared" si="1"/>
        <v>0</v>
      </c>
      <c r="K39">
        <f t="shared" si="1"/>
        <v>0</v>
      </c>
      <c r="L39">
        <f t="shared" si="1"/>
        <v>7.0699999999999999E-2</v>
      </c>
      <c r="M39">
        <f t="shared" si="1"/>
        <v>0</v>
      </c>
    </row>
    <row r="40" spans="1:13" x14ac:dyDescent="0.3">
      <c r="A40" t="s">
        <v>10</v>
      </c>
      <c r="B40">
        <f t="shared" si="1"/>
        <v>7.0699999999999999E-2</v>
      </c>
      <c r="C40">
        <f t="shared" si="1"/>
        <v>0</v>
      </c>
      <c r="D40">
        <f t="shared" si="1"/>
        <v>0</v>
      </c>
      <c r="E40">
        <f t="shared" si="1"/>
        <v>0</v>
      </c>
      <c r="F40">
        <f t="shared" si="1"/>
        <v>0</v>
      </c>
      <c r="G40">
        <f t="shared" si="1"/>
        <v>0</v>
      </c>
      <c r="H40">
        <f t="shared" si="1"/>
        <v>0</v>
      </c>
      <c r="I40">
        <f t="shared" si="1"/>
        <v>7.0699999999999999E-2</v>
      </c>
      <c r="J40">
        <f t="shared" si="1"/>
        <v>0</v>
      </c>
      <c r="K40">
        <f t="shared" si="1"/>
        <v>0</v>
      </c>
      <c r="L40">
        <f t="shared" si="1"/>
        <v>0</v>
      </c>
      <c r="M40">
        <f t="shared" si="1"/>
        <v>0.28460000000000002</v>
      </c>
    </row>
    <row r="41" spans="1:13" x14ac:dyDescent="0.3">
      <c r="A41" t="s">
        <v>11</v>
      </c>
      <c r="B41">
        <f t="shared" si="1"/>
        <v>0</v>
      </c>
      <c r="C41">
        <f t="shared" si="1"/>
        <v>0</v>
      </c>
      <c r="D41">
        <f t="shared" si="1"/>
        <v>0</v>
      </c>
      <c r="E41">
        <f t="shared" si="1"/>
        <v>0</v>
      </c>
      <c r="F41">
        <f t="shared" si="1"/>
        <v>0</v>
      </c>
      <c r="G41">
        <f t="shared" si="1"/>
        <v>0</v>
      </c>
      <c r="H41">
        <f t="shared" si="1"/>
        <v>0</v>
      </c>
      <c r="I41">
        <f t="shared" si="1"/>
        <v>0</v>
      </c>
      <c r="J41">
        <f t="shared" si="1"/>
        <v>0</v>
      </c>
      <c r="K41">
        <f t="shared" si="1"/>
        <v>0</v>
      </c>
      <c r="L41">
        <f t="shared" si="1"/>
        <v>0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0.28460000000000002</v>
      </c>
      <c r="D44">
        <f t="shared" si="3"/>
        <v>0.251</v>
      </c>
      <c r="E44">
        <f t="shared" si="3"/>
        <v>7.0699999999999999E-2</v>
      </c>
      <c r="F44">
        <f t="shared" si="3"/>
        <v>0.251</v>
      </c>
      <c r="G44">
        <f t="shared" si="3"/>
        <v>0</v>
      </c>
      <c r="H44">
        <f t="shared" si="3"/>
        <v>3.1600000000000003E-2</v>
      </c>
      <c r="I44">
        <f t="shared" si="3"/>
        <v>0</v>
      </c>
      <c r="J44">
        <f t="shared" si="3"/>
        <v>0.251</v>
      </c>
      <c r="K44">
        <f t="shared" si="3"/>
        <v>0</v>
      </c>
      <c r="L44">
        <f t="shared" si="3"/>
        <v>0.1414</v>
      </c>
      <c r="M44">
        <f t="shared" si="3"/>
        <v>3.1600000000000003E-2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5.4800000000000001E-2</v>
      </c>
      <c r="C45">
        <f t="shared" si="4"/>
        <v>0</v>
      </c>
      <c r="D45">
        <f t="shared" si="4"/>
        <v>0.28460000000000002</v>
      </c>
      <c r="E45">
        <f t="shared" si="4"/>
        <v>0.3347</v>
      </c>
      <c r="F45">
        <f t="shared" si="4"/>
        <v>5.4800000000000001E-2</v>
      </c>
      <c r="G45">
        <f t="shared" si="4"/>
        <v>0.3347</v>
      </c>
      <c r="H45">
        <f t="shared" si="4"/>
        <v>0.3347</v>
      </c>
      <c r="I45">
        <f t="shared" si="4"/>
        <v>5.4800000000000001E-2</v>
      </c>
      <c r="J45">
        <f t="shared" si="4"/>
        <v>0.3795</v>
      </c>
      <c r="K45">
        <f t="shared" si="4"/>
        <v>0.3795</v>
      </c>
      <c r="L45">
        <f t="shared" si="4"/>
        <v>7.0699999999999999E-2</v>
      </c>
      <c r="M45">
        <f t="shared" si="4"/>
        <v>0.3795</v>
      </c>
    </row>
    <row r="46" spans="1:13" x14ac:dyDescent="0.3">
      <c r="A46" t="s">
        <v>2</v>
      </c>
      <c r="B46">
        <f t="shared" si="4"/>
        <v>0.21210000000000001</v>
      </c>
      <c r="C46">
        <f t="shared" si="4"/>
        <v>3.1600000000000003E-2</v>
      </c>
      <c r="D46">
        <f t="shared" si="4"/>
        <v>0</v>
      </c>
      <c r="E46">
        <f t="shared" si="4"/>
        <v>0.251</v>
      </c>
      <c r="F46">
        <f t="shared" si="4"/>
        <v>0</v>
      </c>
      <c r="G46">
        <f t="shared" si="4"/>
        <v>0.1414</v>
      </c>
      <c r="H46">
        <f t="shared" si="4"/>
        <v>5.4800000000000001E-2</v>
      </c>
      <c r="I46">
        <f t="shared" si="4"/>
        <v>0.1414</v>
      </c>
      <c r="J46">
        <f t="shared" si="4"/>
        <v>0.3795</v>
      </c>
      <c r="K46">
        <f t="shared" si="4"/>
        <v>0.3795</v>
      </c>
      <c r="L46">
        <f t="shared" si="4"/>
        <v>0.251</v>
      </c>
      <c r="M46">
        <f t="shared" si="4"/>
        <v>0.28460000000000002</v>
      </c>
    </row>
    <row r="47" spans="1:13" x14ac:dyDescent="0.3">
      <c r="A47" t="s">
        <v>3</v>
      </c>
      <c r="B47">
        <f t="shared" si="4"/>
        <v>0</v>
      </c>
      <c r="C47">
        <f t="shared" si="4"/>
        <v>0</v>
      </c>
      <c r="D47">
        <f t="shared" si="4"/>
        <v>7.0699999999999999E-2</v>
      </c>
      <c r="E47">
        <f t="shared" si="4"/>
        <v>0</v>
      </c>
      <c r="F47">
        <f t="shared" si="4"/>
        <v>7.0699999999999999E-2</v>
      </c>
      <c r="G47">
        <f t="shared" si="4"/>
        <v>5.4800000000000001E-2</v>
      </c>
      <c r="H47">
        <f t="shared" si="4"/>
        <v>0.251</v>
      </c>
      <c r="I47">
        <f t="shared" si="4"/>
        <v>7.0699999999999999E-2</v>
      </c>
      <c r="J47">
        <f t="shared" si="4"/>
        <v>0.28460000000000002</v>
      </c>
      <c r="K47">
        <f t="shared" si="4"/>
        <v>0</v>
      </c>
      <c r="L47">
        <f t="shared" si="4"/>
        <v>0.28460000000000002</v>
      </c>
      <c r="M47">
        <f t="shared" si="4"/>
        <v>0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0</v>
      </c>
      <c r="C48">
        <f t="shared" si="5"/>
        <v>0.1414</v>
      </c>
      <c r="D48">
        <f t="shared" si="5"/>
        <v>0</v>
      </c>
      <c r="E48">
        <f t="shared" si="5"/>
        <v>0</v>
      </c>
      <c r="F48">
        <f t="shared" si="5"/>
        <v>0</v>
      </c>
      <c r="G48">
        <f t="shared" si="5"/>
        <v>0.251</v>
      </c>
      <c r="H48">
        <f t="shared" si="5"/>
        <v>7.0699999999999999E-2</v>
      </c>
      <c r="I48">
        <f t="shared" si="5"/>
        <v>7.0699999999999999E-2</v>
      </c>
      <c r="J48">
        <f t="shared" si="5"/>
        <v>0.28460000000000002</v>
      </c>
      <c r="K48">
        <f t="shared" si="5"/>
        <v>0.28460000000000002</v>
      </c>
      <c r="L48">
        <f t="shared" si="5"/>
        <v>0</v>
      </c>
      <c r="M48">
        <f t="shared" si="5"/>
        <v>0</v>
      </c>
    </row>
    <row r="49" spans="1:13" x14ac:dyDescent="0.3">
      <c r="A49" t="s">
        <v>5</v>
      </c>
      <c r="B49">
        <f t="shared" si="4"/>
        <v>7.0699999999999999E-2</v>
      </c>
      <c r="C49">
        <f t="shared" si="4"/>
        <v>7.0699999999999999E-2</v>
      </c>
      <c r="D49">
        <f t="shared" si="4"/>
        <v>7.0699999999999999E-2</v>
      </c>
      <c r="E49">
        <f t="shared" si="4"/>
        <v>0</v>
      </c>
      <c r="F49">
        <f t="shared" si="4"/>
        <v>0</v>
      </c>
      <c r="G49">
        <f t="shared" si="4"/>
        <v>0</v>
      </c>
      <c r="H49">
        <f t="shared" si="4"/>
        <v>0.1414</v>
      </c>
      <c r="I49">
        <f t="shared" si="4"/>
        <v>0</v>
      </c>
      <c r="J49">
        <f t="shared" si="4"/>
        <v>0.3347</v>
      </c>
      <c r="K49">
        <f t="shared" si="4"/>
        <v>0</v>
      </c>
      <c r="L49">
        <f t="shared" si="4"/>
        <v>0</v>
      </c>
      <c r="M49">
        <f t="shared" si="4"/>
        <v>3.1600000000000003E-2</v>
      </c>
    </row>
    <row r="50" spans="1:13" x14ac:dyDescent="0.3">
      <c r="A50" t="s">
        <v>6</v>
      </c>
      <c r="B50">
        <f t="shared" si="4"/>
        <v>0</v>
      </c>
      <c r="C50">
        <f t="shared" si="4"/>
        <v>0</v>
      </c>
      <c r="D50">
        <f t="shared" si="4"/>
        <v>0</v>
      </c>
      <c r="E50">
        <f t="shared" si="4"/>
        <v>5.4800000000000001E-2</v>
      </c>
      <c r="F50">
        <f t="shared" si="4"/>
        <v>0</v>
      </c>
      <c r="G50">
        <f t="shared" si="4"/>
        <v>8.3699999999999997E-2</v>
      </c>
      <c r="H50">
        <f t="shared" si="4"/>
        <v>0</v>
      </c>
      <c r="I50">
        <f t="shared" si="4"/>
        <v>7.0699999999999999E-2</v>
      </c>
      <c r="J50">
        <f t="shared" si="4"/>
        <v>7.0699999999999999E-2</v>
      </c>
      <c r="K50">
        <f t="shared" si="4"/>
        <v>8.3699999999999997E-2</v>
      </c>
      <c r="L50">
        <f t="shared" si="4"/>
        <v>0.1414</v>
      </c>
      <c r="M50">
        <f t="shared" si="4"/>
        <v>0</v>
      </c>
    </row>
    <row r="51" spans="1:13" x14ac:dyDescent="0.3">
      <c r="A51" t="s">
        <v>7</v>
      </c>
      <c r="B51">
        <f t="shared" si="4"/>
        <v>0</v>
      </c>
      <c r="C51">
        <f t="shared" si="4"/>
        <v>7.0699999999999999E-2</v>
      </c>
      <c r="D51">
        <f t="shared" si="4"/>
        <v>7.0699999999999999E-2</v>
      </c>
      <c r="E51">
        <f t="shared" si="4"/>
        <v>0</v>
      </c>
      <c r="F51">
        <f t="shared" si="4"/>
        <v>7.0699999999999999E-2</v>
      </c>
      <c r="G51">
        <f t="shared" si="4"/>
        <v>7.0699999999999999E-2</v>
      </c>
      <c r="H51">
        <f t="shared" si="4"/>
        <v>0</v>
      </c>
      <c r="I51">
        <f t="shared" si="4"/>
        <v>0</v>
      </c>
      <c r="J51">
        <f t="shared" si="4"/>
        <v>5.4800000000000001E-2</v>
      </c>
      <c r="K51">
        <f t="shared" si="4"/>
        <v>0.3795</v>
      </c>
      <c r="L51">
        <f t="shared" si="4"/>
        <v>0.28460000000000002</v>
      </c>
      <c r="M51">
        <f t="shared" si="4"/>
        <v>0.28460000000000002</v>
      </c>
    </row>
    <row r="52" spans="1:13" x14ac:dyDescent="0.3">
      <c r="A52" t="s">
        <v>8</v>
      </c>
      <c r="B52">
        <f t="shared" si="4"/>
        <v>0.1673</v>
      </c>
      <c r="C52">
        <f t="shared" si="4"/>
        <v>7.0699999999999999E-2</v>
      </c>
      <c r="D52">
        <f t="shared" si="4"/>
        <v>0</v>
      </c>
      <c r="E52">
        <f t="shared" si="4"/>
        <v>7.0699999999999999E-2</v>
      </c>
      <c r="F52">
        <f t="shared" si="4"/>
        <v>0</v>
      </c>
      <c r="G52">
        <f t="shared" si="4"/>
        <v>0</v>
      </c>
      <c r="H52">
        <f t="shared" si="4"/>
        <v>0.3795</v>
      </c>
      <c r="I52">
        <f t="shared" si="4"/>
        <v>5.4800000000000001E-2</v>
      </c>
      <c r="J52">
        <f t="shared" si="4"/>
        <v>0</v>
      </c>
      <c r="K52">
        <f t="shared" si="4"/>
        <v>0.3347</v>
      </c>
      <c r="L52">
        <f t="shared" si="4"/>
        <v>0.3795</v>
      </c>
      <c r="M52">
        <f t="shared" si="4"/>
        <v>0.28460000000000002</v>
      </c>
    </row>
    <row r="53" spans="1:13" x14ac:dyDescent="0.3">
      <c r="A53" t="s">
        <v>9</v>
      </c>
      <c r="B53">
        <f t="shared" si="4"/>
        <v>0</v>
      </c>
      <c r="C53">
        <f t="shared" si="4"/>
        <v>0</v>
      </c>
      <c r="D53">
        <f t="shared" si="4"/>
        <v>0</v>
      </c>
      <c r="E53">
        <f t="shared" si="4"/>
        <v>0</v>
      </c>
      <c r="F53">
        <f t="shared" si="4"/>
        <v>0</v>
      </c>
      <c r="G53">
        <f t="shared" si="4"/>
        <v>0</v>
      </c>
      <c r="H53">
        <f t="shared" si="4"/>
        <v>5.4800000000000001E-2</v>
      </c>
      <c r="I53">
        <f t="shared" si="4"/>
        <v>3.1600000000000003E-2</v>
      </c>
      <c r="J53">
        <f t="shared" si="4"/>
        <v>0</v>
      </c>
      <c r="K53">
        <f t="shared" si="4"/>
        <v>0</v>
      </c>
      <c r="L53">
        <f t="shared" si="4"/>
        <v>0.1414</v>
      </c>
      <c r="M53">
        <f t="shared" si="4"/>
        <v>0</v>
      </c>
    </row>
    <row r="54" spans="1:13" x14ac:dyDescent="0.3">
      <c r="A54" t="s">
        <v>10</v>
      </c>
      <c r="B54">
        <f t="shared" si="4"/>
        <v>0.1414</v>
      </c>
      <c r="C54">
        <f t="shared" si="4"/>
        <v>5.4800000000000001E-2</v>
      </c>
      <c r="D54">
        <f t="shared" si="4"/>
        <v>7.0699999999999999E-2</v>
      </c>
      <c r="E54">
        <f t="shared" si="4"/>
        <v>0</v>
      </c>
      <c r="F54">
        <f t="shared" si="4"/>
        <v>0</v>
      </c>
      <c r="G54">
        <f t="shared" si="4"/>
        <v>3.1600000000000003E-2</v>
      </c>
      <c r="H54">
        <f t="shared" si="4"/>
        <v>0</v>
      </c>
      <c r="I54">
        <f t="shared" si="4"/>
        <v>0.1414</v>
      </c>
      <c r="J54">
        <f t="shared" si="4"/>
        <v>7.0699999999999999E-2</v>
      </c>
      <c r="K54">
        <f t="shared" si="4"/>
        <v>0</v>
      </c>
      <c r="L54">
        <f t="shared" si="4"/>
        <v>0</v>
      </c>
      <c r="M54">
        <f t="shared" si="4"/>
        <v>0.3795</v>
      </c>
    </row>
    <row r="55" spans="1:13" x14ac:dyDescent="0.3">
      <c r="A55" t="s">
        <v>11</v>
      </c>
      <c r="B55">
        <f t="shared" si="4"/>
        <v>7.0699999999999999E-2</v>
      </c>
      <c r="C55">
        <f t="shared" si="4"/>
        <v>7.0699999999999999E-2</v>
      </c>
      <c r="D55">
        <f t="shared" si="4"/>
        <v>0</v>
      </c>
      <c r="E55">
        <f t="shared" si="4"/>
        <v>7.0699999999999999E-2</v>
      </c>
      <c r="F55">
        <f t="shared" si="4"/>
        <v>0</v>
      </c>
      <c r="G55">
        <f t="shared" si="4"/>
        <v>0</v>
      </c>
      <c r="H55">
        <f t="shared" si="4"/>
        <v>7.0699999999999999E-2</v>
      </c>
      <c r="I55">
        <f t="shared" si="4"/>
        <v>7.0699999999999999E-2</v>
      </c>
      <c r="J55">
        <f t="shared" si="4"/>
        <v>0</v>
      </c>
      <c r="K55">
        <f t="shared" si="4"/>
        <v>7.0699999999999999E-2</v>
      </c>
      <c r="L55">
        <f t="shared" si="4"/>
        <v>0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0.3795</v>
      </c>
      <c r="D58">
        <f t="shared" si="6"/>
        <v>0.3347</v>
      </c>
      <c r="E58">
        <f t="shared" si="6"/>
        <v>0.1414</v>
      </c>
      <c r="F58">
        <f t="shared" si="6"/>
        <v>0.3347</v>
      </c>
      <c r="G58">
        <f t="shared" si="6"/>
        <v>3.1600000000000003E-2</v>
      </c>
      <c r="H58">
        <f t="shared" si="6"/>
        <v>6.3200000000000006E-2</v>
      </c>
      <c r="I58">
        <f t="shared" si="6"/>
        <v>5.4800000000000001E-2</v>
      </c>
      <c r="J58">
        <f t="shared" si="6"/>
        <v>0.3347</v>
      </c>
      <c r="K58">
        <f t="shared" si="6"/>
        <v>7.0699999999999999E-2</v>
      </c>
      <c r="L58">
        <f t="shared" si="6"/>
        <v>0.21210000000000001</v>
      </c>
      <c r="M58">
        <f t="shared" si="6"/>
        <v>6.3200000000000006E-2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0.1095</v>
      </c>
      <c r="C59">
        <f t="shared" si="7"/>
        <v>0</v>
      </c>
      <c r="D59">
        <f t="shared" si="7"/>
        <v>0.3795</v>
      </c>
      <c r="E59">
        <f t="shared" si="7"/>
        <v>0.3347</v>
      </c>
      <c r="F59">
        <f t="shared" si="7"/>
        <v>0.1095</v>
      </c>
      <c r="G59">
        <f t="shared" si="7"/>
        <v>0.3347</v>
      </c>
      <c r="H59">
        <f t="shared" si="7"/>
        <v>0.3347</v>
      </c>
      <c r="I59">
        <f t="shared" si="7"/>
        <v>0.1095</v>
      </c>
      <c r="J59">
        <f t="shared" si="7"/>
        <v>0.3795</v>
      </c>
      <c r="K59">
        <f t="shared" si="7"/>
        <v>0.3795</v>
      </c>
      <c r="L59">
        <f t="shared" si="7"/>
        <v>0.1414</v>
      </c>
      <c r="M59">
        <f t="shared" si="7"/>
        <v>0.3795</v>
      </c>
    </row>
    <row r="60" spans="1:13" x14ac:dyDescent="0.3">
      <c r="A60" t="s">
        <v>2</v>
      </c>
      <c r="B60">
        <f t="shared" si="7"/>
        <v>0.2828</v>
      </c>
      <c r="C60">
        <f t="shared" si="7"/>
        <v>6.3200000000000006E-2</v>
      </c>
      <c r="D60">
        <f t="shared" si="7"/>
        <v>0</v>
      </c>
      <c r="E60">
        <f t="shared" si="7"/>
        <v>0.3347</v>
      </c>
      <c r="F60">
        <f t="shared" si="7"/>
        <v>5.4800000000000001E-2</v>
      </c>
      <c r="G60">
        <f t="shared" si="7"/>
        <v>0.21210000000000001</v>
      </c>
      <c r="H60">
        <f t="shared" si="7"/>
        <v>0.1095</v>
      </c>
      <c r="I60">
        <f t="shared" si="7"/>
        <v>0.21210000000000001</v>
      </c>
      <c r="J60">
        <f t="shared" si="7"/>
        <v>0.3795</v>
      </c>
      <c r="K60">
        <f t="shared" si="7"/>
        <v>0.3795</v>
      </c>
      <c r="L60">
        <f t="shared" si="7"/>
        <v>0.3347</v>
      </c>
      <c r="M60">
        <f t="shared" si="7"/>
        <v>0.3795</v>
      </c>
    </row>
    <row r="61" spans="1:13" x14ac:dyDescent="0.3">
      <c r="A61" t="s">
        <v>3</v>
      </c>
      <c r="B61">
        <f t="shared" si="7"/>
        <v>5.4800000000000001E-2</v>
      </c>
      <c r="C61">
        <f t="shared" si="7"/>
        <v>7.0699999999999999E-2</v>
      </c>
      <c r="D61">
        <f t="shared" si="7"/>
        <v>0.1414</v>
      </c>
      <c r="E61">
        <f t="shared" si="7"/>
        <v>0</v>
      </c>
      <c r="F61">
        <f t="shared" si="7"/>
        <v>0.1414</v>
      </c>
      <c r="G61">
        <f t="shared" si="7"/>
        <v>0.1095</v>
      </c>
      <c r="H61">
        <f t="shared" si="7"/>
        <v>0.3347</v>
      </c>
      <c r="I61">
        <f t="shared" si="7"/>
        <v>0.1414</v>
      </c>
      <c r="J61">
        <f t="shared" si="7"/>
        <v>0.3795</v>
      </c>
      <c r="K61">
        <f t="shared" si="7"/>
        <v>7.0699999999999999E-2</v>
      </c>
      <c r="L61">
        <f t="shared" si="7"/>
        <v>0.3795</v>
      </c>
      <c r="M61">
        <f t="shared" si="7"/>
        <v>7.0699999999999999E-2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7.0699999999999999E-2</v>
      </c>
      <c r="C62">
        <f t="shared" si="8"/>
        <v>0.21210000000000001</v>
      </c>
      <c r="D62">
        <f t="shared" si="8"/>
        <v>3.1600000000000003E-2</v>
      </c>
      <c r="E62">
        <f t="shared" si="8"/>
        <v>3.1600000000000003E-2</v>
      </c>
      <c r="F62">
        <f t="shared" si="8"/>
        <v>0</v>
      </c>
      <c r="G62">
        <f t="shared" si="8"/>
        <v>0.3347</v>
      </c>
      <c r="H62">
        <f t="shared" si="8"/>
        <v>0.1414</v>
      </c>
      <c r="I62">
        <f t="shared" si="8"/>
        <v>0.1414</v>
      </c>
      <c r="J62">
        <f t="shared" si="8"/>
        <v>0.3795</v>
      </c>
      <c r="K62">
        <f t="shared" si="8"/>
        <v>0.3795</v>
      </c>
      <c r="L62">
        <f t="shared" si="8"/>
        <v>3.1600000000000003E-2</v>
      </c>
      <c r="M62">
        <f t="shared" si="8"/>
        <v>7.0699999999999999E-2</v>
      </c>
    </row>
    <row r="63" spans="1:13" x14ac:dyDescent="0.3">
      <c r="A63" t="s">
        <v>5</v>
      </c>
      <c r="B63">
        <f t="shared" si="7"/>
        <v>0.1414</v>
      </c>
      <c r="C63">
        <f t="shared" si="7"/>
        <v>0.1414</v>
      </c>
      <c r="D63">
        <f t="shared" si="7"/>
        <v>0.1414</v>
      </c>
      <c r="E63">
        <f t="shared" si="7"/>
        <v>5.4800000000000001E-2</v>
      </c>
      <c r="F63">
        <f t="shared" si="7"/>
        <v>5.4800000000000001E-2</v>
      </c>
      <c r="G63">
        <f t="shared" si="7"/>
        <v>0</v>
      </c>
      <c r="H63">
        <f t="shared" si="7"/>
        <v>0.21210000000000001</v>
      </c>
      <c r="I63">
        <f t="shared" si="7"/>
        <v>7.0699999999999999E-2</v>
      </c>
      <c r="J63">
        <f t="shared" si="7"/>
        <v>0.3347</v>
      </c>
      <c r="K63">
        <f t="shared" si="7"/>
        <v>8.3699999999999997E-2</v>
      </c>
      <c r="L63">
        <f t="shared" si="7"/>
        <v>7.0699999999999999E-2</v>
      </c>
      <c r="M63">
        <f t="shared" si="7"/>
        <v>6.3200000000000006E-2</v>
      </c>
    </row>
    <row r="64" spans="1:13" x14ac:dyDescent="0.3">
      <c r="A64" t="s">
        <v>6</v>
      </c>
      <c r="B64">
        <f t="shared" si="7"/>
        <v>5.4800000000000001E-2</v>
      </c>
      <c r="C64">
        <f t="shared" si="7"/>
        <v>5.4800000000000001E-2</v>
      </c>
      <c r="D64">
        <f t="shared" si="7"/>
        <v>8.3699999999999997E-2</v>
      </c>
      <c r="E64">
        <f t="shared" si="7"/>
        <v>0.1095</v>
      </c>
      <c r="F64">
        <f t="shared" si="7"/>
        <v>5.4800000000000001E-2</v>
      </c>
      <c r="G64">
        <f t="shared" si="7"/>
        <v>0.1673</v>
      </c>
      <c r="H64">
        <f t="shared" si="7"/>
        <v>0</v>
      </c>
      <c r="I64">
        <f t="shared" si="7"/>
        <v>0.1414</v>
      </c>
      <c r="J64">
        <f t="shared" si="7"/>
        <v>0.1414</v>
      </c>
      <c r="K64">
        <f t="shared" si="7"/>
        <v>0.1673</v>
      </c>
      <c r="L64">
        <f t="shared" si="7"/>
        <v>0.21210000000000001</v>
      </c>
      <c r="M64">
        <f t="shared" si="7"/>
        <v>5.4800000000000001E-2</v>
      </c>
    </row>
    <row r="65" spans="1:13" x14ac:dyDescent="0.3">
      <c r="A65" t="s">
        <v>7</v>
      </c>
      <c r="B65">
        <f t="shared" si="7"/>
        <v>7.0699999999999999E-2</v>
      </c>
      <c r="C65">
        <f t="shared" si="7"/>
        <v>0.1414</v>
      </c>
      <c r="D65">
        <f t="shared" si="7"/>
        <v>0.1414</v>
      </c>
      <c r="E65">
        <f t="shared" si="7"/>
        <v>7.0699999999999999E-2</v>
      </c>
      <c r="F65">
        <f t="shared" si="7"/>
        <v>0.1414</v>
      </c>
      <c r="G65">
        <f t="shared" si="7"/>
        <v>0.1414</v>
      </c>
      <c r="H65">
        <f t="shared" si="7"/>
        <v>5.4800000000000001E-2</v>
      </c>
      <c r="I65">
        <f t="shared" si="7"/>
        <v>0</v>
      </c>
      <c r="J65">
        <f t="shared" si="7"/>
        <v>0.1095</v>
      </c>
      <c r="K65">
        <f t="shared" si="7"/>
        <v>0.3795</v>
      </c>
      <c r="L65">
        <f t="shared" si="7"/>
        <v>0.3795</v>
      </c>
      <c r="M65">
        <f t="shared" si="7"/>
        <v>0.3795</v>
      </c>
    </row>
    <row r="66" spans="1:13" x14ac:dyDescent="0.3">
      <c r="A66" t="s">
        <v>8</v>
      </c>
      <c r="B66">
        <f t="shared" si="7"/>
        <v>0.251</v>
      </c>
      <c r="C66">
        <f t="shared" si="7"/>
        <v>0.1414</v>
      </c>
      <c r="D66">
        <f t="shared" si="7"/>
        <v>8.3699999999999997E-2</v>
      </c>
      <c r="E66">
        <f t="shared" si="7"/>
        <v>0.1414</v>
      </c>
      <c r="F66">
        <f t="shared" si="7"/>
        <v>8.3699999999999997E-2</v>
      </c>
      <c r="G66">
        <f t="shared" si="7"/>
        <v>7.0699999999999999E-2</v>
      </c>
      <c r="H66">
        <f t="shared" si="7"/>
        <v>0.3795</v>
      </c>
      <c r="I66">
        <f t="shared" si="7"/>
        <v>0.1095</v>
      </c>
      <c r="J66">
        <f t="shared" si="7"/>
        <v>0</v>
      </c>
      <c r="K66">
        <f t="shared" si="7"/>
        <v>0.3347</v>
      </c>
      <c r="L66">
        <f t="shared" si="7"/>
        <v>0.3795</v>
      </c>
      <c r="M66">
        <f t="shared" si="7"/>
        <v>0.3795</v>
      </c>
    </row>
    <row r="67" spans="1:13" x14ac:dyDescent="0.3">
      <c r="A67" t="s">
        <v>9</v>
      </c>
      <c r="B67">
        <f t="shared" si="7"/>
        <v>7.0699999999999999E-2</v>
      </c>
      <c r="C67">
        <f t="shared" si="7"/>
        <v>7.0699999999999999E-2</v>
      </c>
      <c r="D67">
        <f t="shared" si="7"/>
        <v>7.0699999999999999E-2</v>
      </c>
      <c r="E67">
        <f t="shared" si="7"/>
        <v>7.0699999999999999E-2</v>
      </c>
      <c r="F67">
        <f t="shared" si="7"/>
        <v>3.1600000000000003E-2</v>
      </c>
      <c r="G67">
        <f t="shared" si="7"/>
        <v>7.0699999999999999E-2</v>
      </c>
      <c r="H67">
        <f t="shared" si="7"/>
        <v>0.1095</v>
      </c>
      <c r="I67">
        <f t="shared" si="7"/>
        <v>6.3200000000000006E-2</v>
      </c>
      <c r="J67">
        <f t="shared" si="7"/>
        <v>8.3699999999999997E-2</v>
      </c>
      <c r="K67">
        <f t="shared" si="7"/>
        <v>0</v>
      </c>
      <c r="L67">
        <f t="shared" si="7"/>
        <v>0.21210000000000001</v>
      </c>
      <c r="M67">
        <f t="shared" si="7"/>
        <v>5.4800000000000001E-2</v>
      </c>
    </row>
    <row r="68" spans="1:13" x14ac:dyDescent="0.3">
      <c r="A68" t="s">
        <v>10</v>
      </c>
      <c r="B68">
        <f t="shared" si="7"/>
        <v>0.21210000000000001</v>
      </c>
      <c r="C68">
        <f t="shared" si="7"/>
        <v>0.1095</v>
      </c>
      <c r="D68">
        <f t="shared" si="7"/>
        <v>0.1414</v>
      </c>
      <c r="E68">
        <f t="shared" si="7"/>
        <v>5.4800000000000001E-2</v>
      </c>
      <c r="F68">
        <f t="shared" si="7"/>
        <v>5.4800000000000001E-2</v>
      </c>
      <c r="G68">
        <f t="shared" si="7"/>
        <v>6.3200000000000006E-2</v>
      </c>
      <c r="H68">
        <f t="shared" si="7"/>
        <v>7.0699999999999999E-2</v>
      </c>
      <c r="I68">
        <f t="shared" si="7"/>
        <v>0.21210000000000001</v>
      </c>
      <c r="J68">
        <f t="shared" si="7"/>
        <v>0.1414</v>
      </c>
      <c r="K68">
        <f t="shared" si="7"/>
        <v>7.0699999999999999E-2</v>
      </c>
      <c r="L68">
        <f t="shared" si="7"/>
        <v>0</v>
      </c>
      <c r="M68">
        <f t="shared" si="7"/>
        <v>0.3795</v>
      </c>
    </row>
    <row r="69" spans="1:13" x14ac:dyDescent="0.3">
      <c r="A69" t="s">
        <v>11</v>
      </c>
      <c r="B69">
        <f t="shared" si="7"/>
        <v>0.1414</v>
      </c>
      <c r="C69">
        <f t="shared" si="7"/>
        <v>0.1414</v>
      </c>
      <c r="D69">
        <f t="shared" si="7"/>
        <v>7.0699999999999999E-2</v>
      </c>
      <c r="E69">
        <f t="shared" si="7"/>
        <v>0.1414</v>
      </c>
      <c r="F69">
        <f t="shared" si="7"/>
        <v>5.4800000000000001E-2</v>
      </c>
      <c r="G69">
        <f t="shared" si="7"/>
        <v>7.0699999999999999E-2</v>
      </c>
      <c r="H69">
        <f t="shared" si="7"/>
        <v>0.1414</v>
      </c>
      <c r="I69">
        <f t="shared" si="7"/>
        <v>0.1414</v>
      </c>
      <c r="J69">
        <f t="shared" si="7"/>
        <v>7.0699999999999999E-2</v>
      </c>
      <c r="K69">
        <f t="shared" si="7"/>
        <v>0.1414</v>
      </c>
      <c r="L69">
        <f t="shared" si="7"/>
        <v>5.4800000000000001E-2</v>
      </c>
      <c r="M69">
        <f t="shared" si="7"/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1"/>
  <dimension ref="A1:M69"/>
  <sheetViews>
    <sheetView workbookViewId="0">
      <selection activeCell="A15" sqref="A15:M69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13</v>
      </c>
      <c r="D2" t="s">
        <v>12</v>
      </c>
      <c r="E2" t="s">
        <v>21</v>
      </c>
      <c r="F2" t="s">
        <v>16</v>
      </c>
      <c r="G2" t="s">
        <v>16</v>
      </c>
      <c r="H2" t="s">
        <v>15</v>
      </c>
      <c r="I2" t="s">
        <v>62</v>
      </c>
      <c r="J2" t="s">
        <v>13</v>
      </c>
      <c r="K2" t="s">
        <v>20</v>
      </c>
      <c r="L2" t="s">
        <v>20</v>
      </c>
      <c r="M2" t="s">
        <v>22</v>
      </c>
    </row>
    <row r="3" spans="1:13" x14ac:dyDescent="0.3">
      <c r="A3" s="1" t="s">
        <v>1</v>
      </c>
      <c r="B3" t="s">
        <v>22</v>
      </c>
      <c r="C3">
        <v>0</v>
      </c>
      <c r="D3" t="s">
        <v>25</v>
      </c>
      <c r="E3" t="s">
        <v>18</v>
      </c>
      <c r="F3" t="s">
        <v>12</v>
      </c>
      <c r="G3" t="s">
        <v>18</v>
      </c>
      <c r="H3" t="s">
        <v>18</v>
      </c>
      <c r="I3" t="s">
        <v>16</v>
      </c>
      <c r="J3" t="s">
        <v>18</v>
      </c>
      <c r="K3" t="s">
        <v>18</v>
      </c>
      <c r="L3" t="s">
        <v>18</v>
      </c>
      <c r="M3" t="s">
        <v>13</v>
      </c>
    </row>
    <row r="4" spans="1:13" x14ac:dyDescent="0.3">
      <c r="A4" s="1" t="s">
        <v>2</v>
      </c>
      <c r="B4" t="s">
        <v>22</v>
      </c>
      <c r="C4" t="s">
        <v>16</v>
      </c>
      <c r="D4">
        <v>0</v>
      </c>
      <c r="E4" t="s">
        <v>22</v>
      </c>
      <c r="F4" t="s">
        <v>15</v>
      </c>
      <c r="G4" t="s">
        <v>16</v>
      </c>
      <c r="H4" t="s">
        <v>21</v>
      </c>
      <c r="I4" t="s">
        <v>22</v>
      </c>
      <c r="J4" t="s">
        <v>13</v>
      </c>
      <c r="K4" t="s">
        <v>18</v>
      </c>
      <c r="L4" t="s">
        <v>12</v>
      </c>
      <c r="M4" t="s">
        <v>13</v>
      </c>
    </row>
    <row r="5" spans="1:13" x14ac:dyDescent="0.3">
      <c r="A5" s="1" t="s">
        <v>3</v>
      </c>
      <c r="B5" t="s">
        <v>15</v>
      </c>
      <c r="C5" t="s">
        <v>15</v>
      </c>
      <c r="D5" t="s">
        <v>15</v>
      </c>
      <c r="E5">
        <v>0</v>
      </c>
      <c r="F5" t="s">
        <v>12</v>
      </c>
      <c r="G5" t="s">
        <v>62</v>
      </c>
      <c r="H5" t="s">
        <v>12</v>
      </c>
      <c r="I5" t="s">
        <v>15</v>
      </c>
      <c r="J5" t="s">
        <v>25</v>
      </c>
      <c r="K5" t="s">
        <v>71</v>
      </c>
      <c r="L5" t="s">
        <v>13</v>
      </c>
      <c r="M5" t="s">
        <v>13</v>
      </c>
    </row>
    <row r="6" spans="1:13" x14ac:dyDescent="0.3">
      <c r="A6" s="1" t="s">
        <v>4</v>
      </c>
      <c r="B6" t="s">
        <v>23</v>
      </c>
      <c r="C6" t="s">
        <v>20</v>
      </c>
      <c r="D6" t="s">
        <v>23</v>
      </c>
      <c r="E6" t="s">
        <v>20</v>
      </c>
      <c r="F6">
        <v>0</v>
      </c>
      <c r="G6" t="s">
        <v>21</v>
      </c>
      <c r="H6" t="s">
        <v>16</v>
      </c>
      <c r="I6" t="s">
        <v>23</v>
      </c>
      <c r="J6" t="s">
        <v>12</v>
      </c>
      <c r="K6" t="s">
        <v>13</v>
      </c>
      <c r="L6" t="s">
        <v>20</v>
      </c>
      <c r="M6" t="s">
        <v>17</v>
      </c>
    </row>
    <row r="7" spans="1:13" x14ac:dyDescent="0.3">
      <c r="A7" s="1" t="s">
        <v>5</v>
      </c>
      <c r="B7" t="s">
        <v>24</v>
      </c>
      <c r="C7" t="s">
        <v>17</v>
      </c>
      <c r="D7" t="s">
        <v>15</v>
      </c>
      <c r="E7" t="s">
        <v>71</v>
      </c>
      <c r="F7" t="s">
        <v>24</v>
      </c>
      <c r="G7">
        <v>0</v>
      </c>
      <c r="H7" t="s">
        <v>21</v>
      </c>
      <c r="I7" t="s">
        <v>22</v>
      </c>
      <c r="J7" t="s">
        <v>13</v>
      </c>
      <c r="K7" t="s">
        <v>24</v>
      </c>
      <c r="L7" s="6" t="s">
        <v>15</v>
      </c>
      <c r="M7" t="s">
        <v>62</v>
      </c>
    </row>
    <row r="8" spans="1:13" x14ac:dyDescent="0.3">
      <c r="A8" s="1" t="s">
        <v>6</v>
      </c>
      <c r="B8" t="s">
        <v>17</v>
      </c>
      <c r="C8" t="s">
        <v>24</v>
      </c>
      <c r="D8" t="s">
        <v>15</v>
      </c>
      <c r="E8" t="s">
        <v>15</v>
      </c>
      <c r="F8" t="s">
        <v>15</v>
      </c>
      <c r="G8" t="s">
        <v>17</v>
      </c>
      <c r="H8">
        <v>0</v>
      </c>
      <c r="I8" t="s">
        <v>22</v>
      </c>
      <c r="J8" t="s">
        <v>62</v>
      </c>
      <c r="K8" t="s">
        <v>17</v>
      </c>
      <c r="L8" s="6" t="s">
        <v>15</v>
      </c>
      <c r="M8" t="s">
        <v>15</v>
      </c>
    </row>
    <row r="9" spans="1:13" x14ac:dyDescent="0.3">
      <c r="A9" s="1" t="s">
        <v>7</v>
      </c>
      <c r="B9" t="s">
        <v>24</v>
      </c>
      <c r="C9" t="s">
        <v>20</v>
      </c>
      <c r="D9" t="s">
        <v>15</v>
      </c>
      <c r="E9" t="s">
        <v>15</v>
      </c>
      <c r="F9" t="s">
        <v>71</v>
      </c>
      <c r="G9" t="s">
        <v>16</v>
      </c>
      <c r="H9" t="s">
        <v>16</v>
      </c>
      <c r="I9">
        <v>0</v>
      </c>
      <c r="J9" t="s">
        <v>71</v>
      </c>
      <c r="K9" t="s">
        <v>18</v>
      </c>
      <c r="L9" s="6" t="s">
        <v>13</v>
      </c>
      <c r="M9" t="s">
        <v>13</v>
      </c>
    </row>
    <row r="10" spans="1:13" x14ac:dyDescent="0.3">
      <c r="A10" s="1" t="s">
        <v>8</v>
      </c>
      <c r="B10" t="s">
        <v>12</v>
      </c>
      <c r="C10" t="s">
        <v>24</v>
      </c>
      <c r="D10" t="s">
        <v>71</v>
      </c>
      <c r="E10" t="s">
        <v>23</v>
      </c>
      <c r="F10" t="s">
        <v>15</v>
      </c>
      <c r="G10" t="s">
        <v>22</v>
      </c>
      <c r="H10" t="s">
        <v>12</v>
      </c>
      <c r="I10" t="s">
        <v>24</v>
      </c>
      <c r="J10">
        <v>0</v>
      </c>
      <c r="K10" t="s">
        <v>25</v>
      </c>
      <c r="L10" s="6" t="s">
        <v>13</v>
      </c>
      <c r="M10" t="s">
        <v>13</v>
      </c>
    </row>
    <row r="11" spans="1:13" x14ac:dyDescent="0.3">
      <c r="A11" s="1" t="s">
        <v>9</v>
      </c>
      <c r="B11" t="s">
        <v>17</v>
      </c>
      <c r="C11" t="s">
        <v>16</v>
      </c>
      <c r="D11" t="s">
        <v>20</v>
      </c>
      <c r="E11" t="s">
        <v>24</v>
      </c>
      <c r="F11" t="s">
        <v>20</v>
      </c>
      <c r="G11" t="s">
        <v>15</v>
      </c>
      <c r="H11" t="s">
        <v>16</v>
      </c>
      <c r="I11" t="s">
        <v>22</v>
      </c>
      <c r="J11" t="s">
        <v>71</v>
      </c>
      <c r="K11">
        <v>0</v>
      </c>
      <c r="L11" s="6" t="s">
        <v>16</v>
      </c>
      <c r="M11" t="s">
        <v>16</v>
      </c>
    </row>
    <row r="12" spans="1:13" x14ac:dyDescent="0.3">
      <c r="A12" s="1" t="s">
        <v>10</v>
      </c>
      <c r="B12" t="s">
        <v>16</v>
      </c>
      <c r="C12" t="s">
        <v>22</v>
      </c>
      <c r="D12" t="s">
        <v>15</v>
      </c>
      <c r="E12" t="s">
        <v>23</v>
      </c>
      <c r="F12" t="s">
        <v>15</v>
      </c>
      <c r="G12" t="s">
        <v>15</v>
      </c>
      <c r="H12" t="s">
        <v>20</v>
      </c>
      <c r="I12" t="s">
        <v>16</v>
      </c>
      <c r="J12" t="s">
        <v>22</v>
      </c>
      <c r="K12" t="s">
        <v>22</v>
      </c>
      <c r="L12">
        <v>0</v>
      </c>
      <c r="M12" t="s">
        <v>18</v>
      </c>
    </row>
    <row r="13" spans="1:13" x14ac:dyDescent="0.3">
      <c r="A13" s="1" t="s">
        <v>11</v>
      </c>
      <c r="B13" t="s">
        <v>15</v>
      </c>
      <c r="C13" t="s">
        <v>17</v>
      </c>
      <c r="D13" t="s">
        <v>24</v>
      </c>
      <c r="E13" t="s">
        <v>24</v>
      </c>
      <c r="F13" t="s">
        <v>16</v>
      </c>
      <c r="G13" t="s">
        <v>16</v>
      </c>
      <c r="H13" t="s">
        <v>23</v>
      </c>
      <c r="I13" t="s">
        <v>23</v>
      </c>
      <c r="J13" t="s">
        <v>62</v>
      </c>
      <c r="K13" t="s">
        <v>71</v>
      </c>
      <c r="L13" t="s">
        <v>16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(0,1897; 0,2846; 0,3795)</v>
      </c>
      <c r="D16" t="str">
        <f>VLOOKUP(D2,'Thang đánh giá'!$C$2:$D$27,2,FALSE)</f>
        <v>(0,1673; 0,251; 0,3347)</v>
      </c>
      <c r="E16" t="str">
        <f>VLOOKUP(E2,'Thang đánh giá'!$C$2:$D$27,2,FALSE)</f>
        <v>(0,0837; 0,1673; 0,251)</v>
      </c>
      <c r="F16" t="str">
        <f>VLOOKUP(F2,'Thang đánh giá'!$C$2:$D$27,2,FALSE)</f>
        <v>(0; 0; 0,0707)</v>
      </c>
      <c r="G16" t="str">
        <f>VLOOKUP(G2,'Thang đánh giá'!$C$2:$D$27,2,FALSE)</f>
        <v>(0; 0; 0,0707)</v>
      </c>
      <c r="H16" t="str">
        <f>VLOOKUP(H2,'Thang đánh giá'!$C$2:$D$27,2,FALSE)</f>
        <v>(0; 0,0707; 0,1414)</v>
      </c>
      <c r="I16" t="str">
        <f>VLOOKUP(I2,'Thang đánh giá'!$C$2:$D$27,2,FALSE)</f>
        <v>(0; 0,0837; 0,1673)</v>
      </c>
      <c r="J16" t="str">
        <f>VLOOKUP(J2,'Thang đánh giá'!$C$2:$D$27,2,FALSE)</f>
        <v>(0,1897; 0,2846; 0,3795)</v>
      </c>
      <c r="K16" t="str">
        <f>VLOOKUP(K2,'Thang đánh giá'!$C$2:$D$27,2,FALSE)</f>
        <v>(0; 0,0548; 0,1095)</v>
      </c>
      <c r="L16" t="str">
        <f>VLOOKUP(L2,'Thang đánh giá'!$C$2:$D$27,2,FALSE)</f>
        <v>(0; 0,0548; 0,1095)</v>
      </c>
      <c r="M16" t="str">
        <f>VLOOKUP(M2,'Thang đánh giá'!$C$2:$D$27,2,FALSE)</f>
        <v>(0,0707; 0,1414; 0,2121)</v>
      </c>
    </row>
    <row r="17" spans="1:13" x14ac:dyDescent="0.3">
      <c r="A17" t="s">
        <v>1</v>
      </c>
      <c r="B17" t="str">
        <f>VLOOKUP(B3,'Thang đánh giá'!$C$2:$D$27,2,FALSE)</f>
        <v>(0,0707; 0,1414; 0,2121)</v>
      </c>
      <c r="C17" t="str">
        <f>VLOOKUP(C3,'Thang đánh giá'!$C$2:$D$27,2,FALSE)</f>
        <v>(0; 0; 0)</v>
      </c>
      <c r="D17" t="str">
        <f>VLOOKUP(D3,'Thang đánh giá'!$C$2:$D$27,2,FALSE)</f>
        <v>(0,251; 0,3347; 0,3347)</v>
      </c>
      <c r="E17" t="str">
        <f>VLOOKUP(E3,'Thang đánh giá'!$C$2:$D$27,2,FALSE)</f>
        <v>(0,2846; 0,3795; 0,3795)</v>
      </c>
      <c r="F17" t="str">
        <f>VLOOKUP(F3,'Thang đánh giá'!$C$2:$D$27,2,FALSE)</f>
        <v>(0,1673; 0,251; 0,3347)</v>
      </c>
      <c r="G17" t="str">
        <f>VLOOKUP(G3,'Thang đánh giá'!$C$2:$D$27,2,FALSE)</f>
        <v>(0,2846; 0,3795; 0,3795)</v>
      </c>
      <c r="H17" t="str">
        <f>VLOOKUP(H3,'Thang đánh giá'!$C$2:$D$27,2,FALSE)</f>
        <v>(0,2846; 0,3795; 0,3795)</v>
      </c>
      <c r="I17" t="str">
        <f>VLOOKUP(I3,'Thang đánh giá'!$C$2:$D$27,2,FALSE)</f>
        <v>(0; 0; 0,0707)</v>
      </c>
      <c r="J17" t="str">
        <f>VLOOKUP(J3,'Thang đánh giá'!$C$2:$D$27,2,FALSE)</f>
        <v>(0,2846; 0,3795; 0,3795)</v>
      </c>
      <c r="K17" t="str">
        <f>VLOOKUP(K3,'Thang đánh giá'!$C$2:$D$27,2,FALSE)</f>
        <v>(0,2846; 0,3795; 0,3795)</v>
      </c>
      <c r="L17" t="str">
        <f>VLOOKUP(L3,'Thang đánh giá'!$C$2:$D$27,2,FALSE)</f>
        <v>(0,2846; 0,3795; 0,3795)</v>
      </c>
      <c r="M17" t="str">
        <f>VLOOKUP(M3,'Thang đánh giá'!$C$2:$D$27,2,FALSE)</f>
        <v>(0,1897; 0,2846; 0,3795)</v>
      </c>
    </row>
    <row r="18" spans="1:13" x14ac:dyDescent="0.3">
      <c r="A18" t="s">
        <v>2</v>
      </c>
      <c r="B18" t="str">
        <f>VLOOKUP(B4,'Thang đánh giá'!$C$2:$D$27,2,FALSE)</f>
        <v>(0,0707; 0,1414; 0,2121)</v>
      </c>
      <c r="C18" t="str">
        <f>VLOOKUP(C4,'Thang đánh giá'!$C$2:$D$27,2,FALSE)</f>
        <v>(0; 0; 0,0707)</v>
      </c>
      <c r="D18" t="str">
        <f>VLOOKUP(D4,'Thang đánh giá'!$C$2:$D$27,2,FALSE)</f>
        <v>(0; 0; 0)</v>
      </c>
      <c r="E18" t="str">
        <f>VLOOKUP(E4,'Thang đánh giá'!$C$2:$D$27,2,FALSE)</f>
        <v>(0,0707; 0,1414; 0,2121)</v>
      </c>
      <c r="F18" t="str">
        <f>VLOOKUP(F4,'Thang đánh giá'!$C$2:$D$27,2,FALSE)</f>
        <v>(0; 0,0707; 0,1414)</v>
      </c>
      <c r="G18" t="str">
        <f>VLOOKUP(G4,'Thang đánh giá'!$C$2:$D$27,2,FALSE)</f>
        <v>(0; 0; 0,0707)</v>
      </c>
      <c r="H18" t="str">
        <f>VLOOKUP(H4,'Thang đánh giá'!$C$2:$D$27,2,FALSE)</f>
        <v>(0,0837; 0,1673; 0,251)</v>
      </c>
      <c r="I18" t="str">
        <f>VLOOKUP(I4,'Thang đánh giá'!$C$2:$D$27,2,FALSE)</f>
        <v>(0,0707; 0,1414; 0,2121)</v>
      </c>
      <c r="J18" t="str">
        <f>VLOOKUP(J4,'Thang đánh giá'!$C$2:$D$27,2,FALSE)</f>
        <v>(0,1897; 0,2846; 0,3795)</v>
      </c>
      <c r="K18" t="str">
        <f>VLOOKUP(K4,'Thang đánh giá'!$C$2:$D$27,2,FALSE)</f>
        <v>(0,2846; 0,3795; 0,3795)</v>
      </c>
      <c r="L18" t="str">
        <f>VLOOKUP(L4,'Thang đánh giá'!$C$2:$D$27,2,FALSE)</f>
        <v>(0,1673; 0,251; 0,3347)</v>
      </c>
      <c r="M18" t="str">
        <f>VLOOKUP(M4,'Thang đánh giá'!$C$2:$D$27,2,FALSE)</f>
        <v>(0,1897; 0,2846; 0,3795)</v>
      </c>
    </row>
    <row r="19" spans="1:13" x14ac:dyDescent="0.3">
      <c r="A19" t="s">
        <v>3</v>
      </c>
      <c r="B19" t="str">
        <f>VLOOKUP(B5,'Thang đánh giá'!$C$2:$D$27,2,FALSE)</f>
        <v>(0; 0,0707; 0,1414)</v>
      </c>
      <c r="C19" t="str">
        <f>VLOOKUP(C5,'Thang đánh giá'!$C$2:$D$27,2,FALSE)</f>
        <v>(0; 0,0707; 0,1414)</v>
      </c>
      <c r="D19" t="str">
        <f>VLOOKUP(D5,'Thang đánh giá'!$C$2:$D$27,2,FALSE)</f>
        <v>(0; 0,0707; 0,1414)</v>
      </c>
      <c r="E19" t="str">
        <f>VLOOKUP(E5,'Thang đánh giá'!$C$2:$D$27,2,FALSE)</f>
        <v>(0; 0; 0)</v>
      </c>
      <c r="F19" t="str">
        <f>VLOOKUP(F5,'Thang đánh giá'!$C$2:$D$27,2,FALSE)</f>
        <v>(0,1673; 0,251; 0,3347)</v>
      </c>
      <c r="G19" t="str">
        <f>VLOOKUP(G5,'Thang đánh giá'!$C$2:$D$27,2,FALSE)</f>
        <v>(0; 0,0837; 0,1673)</v>
      </c>
      <c r="H19" t="str">
        <f>VLOOKUP(H5,'Thang đánh giá'!$C$2:$D$27,2,FALSE)</f>
        <v>(0,1673; 0,251; 0,3347)</v>
      </c>
      <c r="I19" t="str">
        <f>VLOOKUP(I5,'Thang đánh giá'!$C$2:$D$27,2,FALSE)</f>
        <v>(0; 0,0707; 0,1414)</v>
      </c>
      <c r="J19" t="str">
        <f>VLOOKUP(J5,'Thang đánh giá'!$C$2:$D$27,2,FALSE)</f>
        <v>(0,251; 0,3347; 0,3347)</v>
      </c>
      <c r="K19" t="str">
        <f>VLOOKUP(K5,'Thang đánh giá'!$C$2:$D$27,2,FALSE)</f>
        <v>(0; 0; 0,0837)</v>
      </c>
      <c r="L19" t="str">
        <f>VLOOKUP(L5,'Thang đánh giá'!$C$2:$D$27,2,FALSE)</f>
        <v>(0,1897; 0,2846; 0,3795)</v>
      </c>
      <c r="M19" t="str">
        <f>VLOOKUP(M5,'Thang đánh giá'!$C$2:$D$27,2,FALSE)</f>
        <v>(0,1897; 0,2846; 0,3795)</v>
      </c>
    </row>
    <row r="20" spans="1:13" x14ac:dyDescent="0.3">
      <c r="A20" t="s">
        <v>4</v>
      </c>
      <c r="B20" t="str">
        <f>VLOOKUP(B6,'Thang đánh giá'!$C$2:$D$27,2,FALSE)</f>
        <v>(0; 0; 0,0316)</v>
      </c>
      <c r="C20" t="str">
        <f>VLOOKUP(C6,'Thang đánh giá'!$C$2:$D$27,2,FALSE)</f>
        <v>(0; 0,0548; 0,1095)</v>
      </c>
      <c r="D20" t="str">
        <f>VLOOKUP(D6,'Thang đánh giá'!$C$2:$D$27,2,FALSE)</f>
        <v>(0; 0; 0,0316)</v>
      </c>
      <c r="E20" t="str">
        <f>VLOOKUP(E6,'Thang đánh giá'!$C$2:$D$27,2,FALSE)</f>
        <v>(0; 0,0548; 0,1095)</v>
      </c>
      <c r="F20" t="str">
        <f>VLOOKUP(F6,'Thang đánh giá'!$C$2:$D$27,2,FALSE)</f>
        <v>(0; 0; 0)</v>
      </c>
      <c r="G20" t="str">
        <f>VLOOKUP(G6,'Thang đánh giá'!$C$2:$D$27,2,FALSE)</f>
        <v>(0,0837; 0,1673; 0,251)</v>
      </c>
      <c r="H20" t="str">
        <f>VLOOKUP(H6,'Thang đánh giá'!$C$2:$D$27,2,FALSE)</f>
        <v>(0; 0; 0,0707)</v>
      </c>
      <c r="I20" t="str">
        <f>VLOOKUP(I6,'Thang đánh giá'!$C$2:$D$27,2,FALSE)</f>
        <v>(0; 0; 0,0316)</v>
      </c>
      <c r="J20" t="str">
        <f>VLOOKUP(J6,'Thang đánh giá'!$C$2:$D$27,2,FALSE)</f>
        <v>(0,1673; 0,251; 0,3347)</v>
      </c>
      <c r="K20" t="str">
        <f>VLOOKUP(K6,'Thang đánh giá'!$C$2:$D$27,2,FALSE)</f>
        <v>(0,1897; 0,2846; 0,3795)</v>
      </c>
      <c r="L20" t="str">
        <f>VLOOKUP(L6,'Thang đánh giá'!$C$2:$D$27,2,FALSE)</f>
        <v>(0; 0,0548; 0,1095)</v>
      </c>
      <c r="M20" t="str">
        <f>VLOOKUP(M6,'Thang đánh giá'!$C$2:$D$27,2,FALSE)</f>
        <v>(0; 0,0316; 0,0632)</v>
      </c>
    </row>
    <row r="21" spans="1:13" x14ac:dyDescent="0.3">
      <c r="A21" t="s">
        <v>5</v>
      </c>
      <c r="B21" t="str">
        <f>VLOOKUP(B7,'Thang đánh giá'!$C$2:$D$27,2,FALSE)</f>
        <v>(0; 0; 0,0548)</v>
      </c>
      <c r="C21" t="str">
        <f>VLOOKUP(C7,'Thang đánh giá'!$C$2:$D$27,2,FALSE)</f>
        <v>(0; 0,0316; 0,0632)</v>
      </c>
      <c r="D21" t="str">
        <f>VLOOKUP(D7,'Thang đánh giá'!$C$2:$D$27,2,FALSE)</f>
        <v>(0; 0,0707; 0,1414)</v>
      </c>
      <c r="E21" t="str">
        <f>VLOOKUP(E7,'Thang đánh giá'!$C$2:$D$27,2,FALSE)</f>
        <v>(0; 0; 0,0837)</v>
      </c>
      <c r="F21" t="str">
        <f>VLOOKUP(F7,'Thang đánh giá'!$C$2:$D$27,2,FALSE)</f>
        <v>(0; 0; 0,0548)</v>
      </c>
      <c r="G21" t="str">
        <f>VLOOKUP(G7,'Thang đánh giá'!$C$2:$D$27,2,FALSE)</f>
        <v>(0; 0; 0)</v>
      </c>
      <c r="H21" t="str">
        <f>VLOOKUP(H7,'Thang đánh giá'!$C$2:$D$27,2,FALSE)</f>
        <v>(0,0837; 0,1673; 0,251)</v>
      </c>
      <c r="I21" t="str">
        <f>VLOOKUP(I7,'Thang đánh giá'!$C$2:$D$27,2,FALSE)</f>
        <v>(0,0707; 0,1414; 0,2121)</v>
      </c>
      <c r="J21" t="str">
        <f>VLOOKUP(J7,'Thang đánh giá'!$C$2:$D$27,2,FALSE)</f>
        <v>(0,1897; 0,2846; 0,3795)</v>
      </c>
      <c r="K21" t="str">
        <f>VLOOKUP(K7,'Thang đánh giá'!$C$2:$D$27,2,FALSE)</f>
        <v>(0; 0; 0,0548)</v>
      </c>
      <c r="L21" t="str">
        <f>VLOOKUP(L7,'Thang đánh giá'!$C$2:$D$27,2,FALSE)</f>
        <v>(0; 0,0707; 0,1414)</v>
      </c>
      <c r="M21" t="str">
        <f>VLOOKUP(M7,'Thang đánh giá'!$C$2:$D$27,2,FALSE)</f>
        <v>(0; 0,0837; 0,1673)</v>
      </c>
    </row>
    <row r="22" spans="1:13" x14ac:dyDescent="0.3">
      <c r="A22" t="s">
        <v>6</v>
      </c>
      <c r="B22" t="str">
        <f>VLOOKUP(B8,'Thang đánh giá'!$C$2:$D$27,2,FALSE)</f>
        <v>(0; 0,0316; 0,0632)</v>
      </c>
      <c r="C22" t="str">
        <f>VLOOKUP(C8,'Thang đánh giá'!$C$2:$D$27,2,FALSE)</f>
        <v>(0; 0; 0,0548)</v>
      </c>
      <c r="D22" t="str">
        <f>VLOOKUP(D8,'Thang đánh giá'!$C$2:$D$27,2,FALSE)</f>
        <v>(0; 0,0707; 0,1414)</v>
      </c>
      <c r="E22" t="str">
        <f>VLOOKUP(E8,'Thang đánh giá'!$C$2:$D$27,2,FALSE)</f>
        <v>(0; 0,0707; 0,1414)</v>
      </c>
      <c r="F22" t="str">
        <f>VLOOKUP(F8,'Thang đánh giá'!$C$2:$D$27,2,FALSE)</f>
        <v>(0; 0,0707; 0,1414)</v>
      </c>
      <c r="G22" t="str">
        <f>VLOOKUP(G8,'Thang đánh giá'!$C$2:$D$27,2,FALSE)</f>
        <v>(0; 0,0316; 0,0632)</v>
      </c>
      <c r="H22" t="str">
        <f>VLOOKUP(H8,'Thang đánh giá'!$C$2:$D$27,2,FALSE)</f>
        <v>(0; 0; 0)</v>
      </c>
      <c r="I22" t="str">
        <f>VLOOKUP(I8,'Thang đánh giá'!$C$2:$D$27,2,FALSE)</f>
        <v>(0,0707; 0,1414; 0,2121)</v>
      </c>
      <c r="J22" t="str">
        <f>VLOOKUP(J8,'Thang đánh giá'!$C$2:$D$27,2,FALSE)</f>
        <v>(0; 0,0837; 0,1673)</v>
      </c>
      <c r="K22" t="str">
        <f>VLOOKUP(K8,'Thang đánh giá'!$C$2:$D$27,2,FALSE)</f>
        <v>(0; 0,0316; 0,0632)</v>
      </c>
      <c r="L22" t="str">
        <f>VLOOKUP(L8,'Thang đánh giá'!$C$2:$D$27,2,FALSE)</f>
        <v>(0; 0,0707; 0,1414)</v>
      </c>
      <c r="M22" t="str">
        <f>VLOOKUP(M8,'Thang đánh giá'!$C$2:$D$27,2,FALSE)</f>
        <v>(0; 0,0707; 0,1414)</v>
      </c>
    </row>
    <row r="23" spans="1:13" x14ac:dyDescent="0.3">
      <c r="A23" t="s">
        <v>7</v>
      </c>
      <c r="B23" t="str">
        <f>VLOOKUP(B9,'Thang đánh giá'!$C$2:$D$27,2,FALSE)</f>
        <v>(0; 0; 0,0548)</v>
      </c>
      <c r="C23" t="str">
        <f>VLOOKUP(C9,'Thang đánh giá'!$C$2:$D$27,2,FALSE)</f>
        <v>(0; 0,0548; 0,1095)</v>
      </c>
      <c r="D23" t="str">
        <f>VLOOKUP(D9,'Thang đánh giá'!$C$2:$D$27,2,FALSE)</f>
        <v>(0; 0,0707; 0,1414)</v>
      </c>
      <c r="E23" t="str">
        <f>VLOOKUP(E9,'Thang đánh giá'!$C$2:$D$27,2,FALSE)</f>
        <v>(0; 0,0707; 0,1414)</v>
      </c>
      <c r="F23" t="str">
        <f>VLOOKUP(F9,'Thang đánh giá'!$C$2:$D$27,2,FALSE)</f>
        <v>(0; 0; 0,0837)</v>
      </c>
      <c r="G23" t="str">
        <f>VLOOKUP(G9,'Thang đánh giá'!$C$2:$D$27,2,FALSE)</f>
        <v>(0; 0; 0,0707)</v>
      </c>
      <c r="H23" t="str">
        <f>VLOOKUP(H9,'Thang đánh giá'!$C$2:$D$27,2,FALSE)</f>
        <v>(0; 0; 0,0707)</v>
      </c>
      <c r="I23" t="str">
        <f>VLOOKUP(I9,'Thang đánh giá'!$C$2:$D$27,2,FALSE)</f>
        <v>(0; 0; 0)</v>
      </c>
      <c r="J23" t="str">
        <f>VLOOKUP(J9,'Thang đánh giá'!$C$2:$D$27,2,FALSE)</f>
        <v>(0; 0; 0,0837)</v>
      </c>
      <c r="K23" t="str">
        <f>VLOOKUP(K9,'Thang đánh giá'!$C$2:$D$27,2,FALSE)</f>
        <v>(0,2846; 0,3795; 0,3795)</v>
      </c>
      <c r="L23" t="str">
        <f>VLOOKUP(L9,'Thang đánh giá'!$C$2:$D$27,2,FALSE)</f>
        <v>(0,1897; 0,2846; 0,3795)</v>
      </c>
      <c r="M23" t="str">
        <f>VLOOKUP(M9,'Thang đánh giá'!$C$2:$D$27,2,FALSE)</f>
        <v>(0,1897; 0,2846; 0,3795)</v>
      </c>
    </row>
    <row r="24" spans="1:13" x14ac:dyDescent="0.3">
      <c r="A24" t="s">
        <v>8</v>
      </c>
      <c r="B24" t="str">
        <f>VLOOKUP(B10,'Thang đánh giá'!$C$2:$D$27,2,FALSE)</f>
        <v>(0,1673; 0,251; 0,3347)</v>
      </c>
      <c r="C24" t="str">
        <f>VLOOKUP(C10,'Thang đánh giá'!$C$2:$D$27,2,FALSE)</f>
        <v>(0; 0; 0,0548)</v>
      </c>
      <c r="D24" t="str">
        <f>VLOOKUP(D10,'Thang đánh giá'!$C$2:$D$27,2,FALSE)</f>
        <v>(0; 0; 0,0837)</v>
      </c>
      <c r="E24" t="str">
        <f>VLOOKUP(E10,'Thang đánh giá'!$C$2:$D$27,2,FALSE)</f>
        <v>(0; 0; 0,0316)</v>
      </c>
      <c r="F24" t="str">
        <f>VLOOKUP(F10,'Thang đánh giá'!$C$2:$D$27,2,FALSE)</f>
        <v>(0; 0,0707; 0,1414)</v>
      </c>
      <c r="G24" t="str">
        <f>VLOOKUP(G10,'Thang đánh giá'!$C$2:$D$27,2,FALSE)</f>
        <v>(0,0707; 0,1414; 0,2121)</v>
      </c>
      <c r="H24" t="str">
        <f>VLOOKUP(H10,'Thang đánh giá'!$C$2:$D$27,2,FALSE)</f>
        <v>(0,1673; 0,251; 0,3347)</v>
      </c>
      <c r="I24" t="str">
        <f>VLOOKUP(I10,'Thang đánh giá'!$C$2:$D$27,2,FALSE)</f>
        <v>(0; 0; 0,0548)</v>
      </c>
      <c r="J24" t="str">
        <f>VLOOKUP(J10,'Thang đánh giá'!$C$2:$D$27,2,FALSE)</f>
        <v>(0; 0; 0)</v>
      </c>
      <c r="K24" t="str">
        <f>VLOOKUP(K10,'Thang đánh giá'!$C$2:$D$27,2,FALSE)</f>
        <v>(0,251; 0,3347; 0,3347)</v>
      </c>
      <c r="L24" t="str">
        <f>VLOOKUP(L10,'Thang đánh giá'!$C$2:$D$27,2,FALSE)</f>
        <v>(0,1897; 0,2846; 0,3795)</v>
      </c>
      <c r="M24" t="str">
        <f>VLOOKUP(M10,'Thang đánh giá'!$C$2:$D$27,2,FALSE)</f>
        <v>(0,1897; 0,2846; 0,3795)</v>
      </c>
    </row>
    <row r="25" spans="1:13" x14ac:dyDescent="0.3">
      <c r="A25" t="s">
        <v>9</v>
      </c>
      <c r="B25" t="str">
        <f>VLOOKUP(B11,'Thang đánh giá'!$C$2:$D$27,2,FALSE)</f>
        <v>(0; 0,0316; 0,0632)</v>
      </c>
      <c r="C25" t="str">
        <f>VLOOKUP(C11,'Thang đánh giá'!$C$2:$D$27,2,FALSE)</f>
        <v>(0; 0; 0,0707)</v>
      </c>
      <c r="D25" t="str">
        <f>VLOOKUP(D11,'Thang đánh giá'!$C$2:$D$27,2,FALSE)</f>
        <v>(0; 0,0548; 0,1095)</v>
      </c>
      <c r="E25" t="str">
        <f>VLOOKUP(E11,'Thang đánh giá'!$C$2:$D$27,2,FALSE)</f>
        <v>(0; 0; 0,0548)</v>
      </c>
      <c r="F25" t="str">
        <f>VLOOKUP(F11,'Thang đánh giá'!$C$2:$D$27,2,FALSE)</f>
        <v>(0; 0,0548; 0,1095)</v>
      </c>
      <c r="G25" t="str">
        <f>VLOOKUP(G11,'Thang đánh giá'!$C$2:$D$27,2,FALSE)</f>
        <v>(0; 0,0707; 0,1414)</v>
      </c>
      <c r="H25" t="str">
        <f>VLOOKUP(H11,'Thang đánh giá'!$C$2:$D$27,2,FALSE)</f>
        <v>(0; 0; 0,0707)</v>
      </c>
      <c r="I25" t="str">
        <f>VLOOKUP(I11,'Thang đánh giá'!$C$2:$D$27,2,FALSE)</f>
        <v>(0,0707; 0,1414; 0,2121)</v>
      </c>
      <c r="J25" t="str">
        <f>VLOOKUP(J11,'Thang đánh giá'!$C$2:$D$27,2,FALSE)</f>
        <v>(0; 0; 0,0837)</v>
      </c>
      <c r="K25" t="str">
        <f>VLOOKUP(K11,'Thang đánh giá'!$C$2:$D$27,2,FALSE)</f>
        <v>(0; 0; 0)</v>
      </c>
      <c r="L25" t="str">
        <f>VLOOKUP(L11,'Thang đánh giá'!$C$2:$D$27,2,FALSE)</f>
        <v>(0; 0; 0,0707)</v>
      </c>
      <c r="M25" t="str">
        <f>VLOOKUP(M11,'Thang đánh giá'!$C$2:$D$27,2,FALSE)</f>
        <v>(0; 0; 0,0707)</v>
      </c>
    </row>
    <row r="26" spans="1:13" x14ac:dyDescent="0.3">
      <c r="A26" t="s">
        <v>10</v>
      </c>
      <c r="B26" t="str">
        <f>VLOOKUP(B12,'Thang đánh giá'!$C$2:$D$27,2,FALSE)</f>
        <v>(0; 0; 0,0707)</v>
      </c>
      <c r="C26" t="str">
        <f>VLOOKUP(C12,'Thang đánh giá'!$C$2:$D$27,2,FALSE)</f>
        <v>(0,0707; 0,1414; 0,2121)</v>
      </c>
      <c r="D26" t="str">
        <f>VLOOKUP(D12,'Thang đánh giá'!$C$2:$D$27,2,FALSE)</f>
        <v>(0; 0,0707; 0,1414)</v>
      </c>
      <c r="E26" t="str">
        <f>VLOOKUP(E12,'Thang đánh giá'!$C$2:$D$27,2,FALSE)</f>
        <v>(0; 0; 0,0316)</v>
      </c>
      <c r="F26" t="str">
        <f>VLOOKUP(F12,'Thang đánh giá'!$C$2:$D$27,2,FALSE)</f>
        <v>(0; 0,0707; 0,1414)</v>
      </c>
      <c r="G26" t="str">
        <f>VLOOKUP(G12,'Thang đánh giá'!$C$2:$D$27,2,FALSE)</f>
        <v>(0; 0,0707; 0,1414)</v>
      </c>
      <c r="H26" t="str">
        <f>VLOOKUP(H12,'Thang đánh giá'!$C$2:$D$27,2,FALSE)</f>
        <v>(0; 0,0548; 0,1095)</v>
      </c>
      <c r="I26" t="str">
        <f>VLOOKUP(I12,'Thang đánh giá'!$C$2:$D$27,2,FALSE)</f>
        <v>(0; 0; 0,0707)</v>
      </c>
      <c r="J26" t="str">
        <f>VLOOKUP(J12,'Thang đánh giá'!$C$2:$D$27,2,FALSE)</f>
        <v>(0,0707; 0,1414; 0,2121)</v>
      </c>
      <c r="K26" t="str">
        <f>VLOOKUP(K12,'Thang đánh giá'!$C$2:$D$27,2,FALSE)</f>
        <v>(0,0707; 0,1414; 0,2121)</v>
      </c>
      <c r="L26" t="str">
        <f>VLOOKUP(L12,'Thang đánh giá'!$C$2:$D$27,2,FALSE)</f>
        <v>(0; 0; 0)</v>
      </c>
      <c r="M26" t="str">
        <f>VLOOKUP(M12,'Thang đánh giá'!$C$2:$D$27,2,FALSE)</f>
        <v>(0,2846; 0,3795; 0,3795)</v>
      </c>
    </row>
    <row r="27" spans="1:13" x14ac:dyDescent="0.3">
      <c r="A27" t="s">
        <v>11</v>
      </c>
      <c r="B27" t="str">
        <f>VLOOKUP(B13,'Thang đánh giá'!$C$2:$D$27,2,FALSE)</f>
        <v>(0; 0,0707; 0,1414)</v>
      </c>
      <c r="C27" t="str">
        <f>VLOOKUP(C13,'Thang đánh giá'!$C$2:$D$27,2,FALSE)</f>
        <v>(0; 0,0316; 0,0632)</v>
      </c>
      <c r="D27" t="str">
        <f>VLOOKUP(D13,'Thang đánh giá'!$C$2:$D$27,2,FALSE)</f>
        <v>(0; 0; 0,0548)</v>
      </c>
      <c r="E27" t="str">
        <f>VLOOKUP(E13,'Thang đánh giá'!$C$2:$D$27,2,FALSE)</f>
        <v>(0; 0; 0,0548)</v>
      </c>
      <c r="F27" t="str">
        <f>VLOOKUP(F13,'Thang đánh giá'!$C$2:$D$27,2,FALSE)</f>
        <v>(0; 0; 0,0707)</v>
      </c>
      <c r="G27" t="str">
        <f>VLOOKUP(G13,'Thang đánh giá'!$C$2:$D$27,2,FALSE)</f>
        <v>(0; 0; 0,0707)</v>
      </c>
      <c r="H27" t="str">
        <f>VLOOKUP(H13,'Thang đánh giá'!$C$2:$D$27,2,FALSE)</f>
        <v>(0; 0; 0,0316)</v>
      </c>
      <c r="I27" t="str">
        <f>VLOOKUP(I13,'Thang đánh giá'!$C$2:$D$27,2,FALSE)</f>
        <v>(0; 0; 0,0316)</v>
      </c>
      <c r="J27" t="str">
        <f>VLOOKUP(J13,'Thang đánh giá'!$C$2:$D$27,2,FALSE)</f>
        <v>(0; 0,0837; 0,1673)</v>
      </c>
      <c r="K27" t="str">
        <f>VLOOKUP(K13,'Thang đánh giá'!$C$2:$D$27,2,FALSE)</f>
        <v>(0; 0; 0,0837)</v>
      </c>
      <c r="L27" t="str">
        <f>VLOOKUP(L13,'Thang đánh giá'!$C$2:$D$27,2,FALSE)</f>
        <v>(0; 0; 0,0707)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0.18970000000000001</v>
      </c>
      <c r="D30">
        <f t="shared" si="0"/>
        <v>0.1673</v>
      </c>
      <c r="E30">
        <f t="shared" si="0"/>
        <v>8.3699999999999997E-2</v>
      </c>
      <c r="F30">
        <f t="shared" si="0"/>
        <v>0</v>
      </c>
      <c r="G30">
        <f t="shared" si="0"/>
        <v>0</v>
      </c>
      <c r="H30">
        <f t="shared" si="0"/>
        <v>0</v>
      </c>
      <c r="I30">
        <f t="shared" si="0"/>
        <v>0</v>
      </c>
      <c r="J30">
        <f t="shared" si="0"/>
        <v>0.18970000000000001</v>
      </c>
      <c r="K30">
        <f t="shared" si="0"/>
        <v>0</v>
      </c>
      <c r="L30">
        <f t="shared" si="0"/>
        <v>0</v>
      </c>
      <c r="M30">
        <f t="shared" si="0"/>
        <v>7.0699999999999999E-2</v>
      </c>
    </row>
    <row r="31" spans="1:13" x14ac:dyDescent="0.3">
      <c r="A31" t="s">
        <v>1</v>
      </c>
      <c r="B31">
        <f t="shared" ref="B31:M41" si="1">_xlfn.NUMBERVALUE(MID(B17,2,FIND(";",B17,1)-2))</f>
        <v>7.0699999999999999E-2</v>
      </c>
      <c r="C31">
        <f t="shared" si="1"/>
        <v>0</v>
      </c>
      <c r="D31">
        <f t="shared" si="1"/>
        <v>0.251</v>
      </c>
      <c r="E31">
        <f t="shared" si="1"/>
        <v>0.28460000000000002</v>
      </c>
      <c r="F31">
        <f t="shared" si="1"/>
        <v>0.1673</v>
      </c>
      <c r="G31">
        <f t="shared" si="1"/>
        <v>0.28460000000000002</v>
      </c>
      <c r="H31">
        <f t="shared" si="1"/>
        <v>0.28460000000000002</v>
      </c>
      <c r="I31">
        <f t="shared" si="1"/>
        <v>0</v>
      </c>
      <c r="J31">
        <f t="shared" si="1"/>
        <v>0.28460000000000002</v>
      </c>
      <c r="K31">
        <f t="shared" si="1"/>
        <v>0.28460000000000002</v>
      </c>
      <c r="L31">
        <f t="shared" si="1"/>
        <v>0.28460000000000002</v>
      </c>
      <c r="M31">
        <f t="shared" si="1"/>
        <v>0.18970000000000001</v>
      </c>
    </row>
    <row r="32" spans="1:13" x14ac:dyDescent="0.3">
      <c r="A32" t="s">
        <v>2</v>
      </c>
      <c r="B32">
        <f t="shared" si="1"/>
        <v>7.0699999999999999E-2</v>
      </c>
      <c r="C32">
        <f t="shared" si="1"/>
        <v>0</v>
      </c>
      <c r="D32">
        <f t="shared" si="1"/>
        <v>0</v>
      </c>
      <c r="E32">
        <f t="shared" si="1"/>
        <v>7.0699999999999999E-2</v>
      </c>
      <c r="F32">
        <f t="shared" si="1"/>
        <v>0</v>
      </c>
      <c r="G32">
        <f t="shared" si="1"/>
        <v>0</v>
      </c>
      <c r="H32">
        <f t="shared" si="1"/>
        <v>8.3699999999999997E-2</v>
      </c>
      <c r="I32">
        <f t="shared" si="1"/>
        <v>7.0699999999999999E-2</v>
      </c>
      <c r="J32">
        <f t="shared" si="1"/>
        <v>0.18970000000000001</v>
      </c>
      <c r="K32">
        <f t="shared" si="1"/>
        <v>0.28460000000000002</v>
      </c>
      <c r="L32">
        <f t="shared" si="1"/>
        <v>0.1673</v>
      </c>
      <c r="M32">
        <f t="shared" si="1"/>
        <v>0.18970000000000001</v>
      </c>
    </row>
    <row r="33" spans="1:13" x14ac:dyDescent="0.3">
      <c r="A33" t="s">
        <v>3</v>
      </c>
      <c r="B33">
        <f t="shared" si="1"/>
        <v>0</v>
      </c>
      <c r="C33">
        <f t="shared" si="1"/>
        <v>0</v>
      </c>
      <c r="D33">
        <f t="shared" si="1"/>
        <v>0</v>
      </c>
      <c r="E33">
        <f t="shared" si="1"/>
        <v>0</v>
      </c>
      <c r="F33">
        <f t="shared" si="1"/>
        <v>0.1673</v>
      </c>
      <c r="G33">
        <f t="shared" si="1"/>
        <v>0</v>
      </c>
      <c r="H33">
        <f t="shared" si="1"/>
        <v>0.1673</v>
      </c>
      <c r="I33">
        <f t="shared" si="1"/>
        <v>0</v>
      </c>
      <c r="J33">
        <f t="shared" si="1"/>
        <v>0.251</v>
      </c>
      <c r="K33">
        <f t="shared" si="1"/>
        <v>0</v>
      </c>
      <c r="L33">
        <f t="shared" si="1"/>
        <v>0.18970000000000001</v>
      </c>
      <c r="M33">
        <f t="shared" si="1"/>
        <v>0.18970000000000001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0</v>
      </c>
      <c r="D34">
        <f t="shared" si="2"/>
        <v>0</v>
      </c>
      <c r="E34">
        <f t="shared" si="2"/>
        <v>0</v>
      </c>
      <c r="F34">
        <f t="shared" si="2"/>
        <v>0</v>
      </c>
      <c r="G34">
        <f t="shared" si="2"/>
        <v>8.3699999999999997E-2</v>
      </c>
      <c r="H34">
        <f t="shared" si="2"/>
        <v>0</v>
      </c>
      <c r="I34">
        <f t="shared" si="2"/>
        <v>0</v>
      </c>
      <c r="J34">
        <f t="shared" si="2"/>
        <v>0.1673</v>
      </c>
      <c r="K34">
        <f t="shared" si="2"/>
        <v>0.18970000000000001</v>
      </c>
      <c r="L34">
        <f t="shared" si="2"/>
        <v>0</v>
      </c>
      <c r="M34">
        <f t="shared" si="2"/>
        <v>0</v>
      </c>
    </row>
    <row r="35" spans="1:13" x14ac:dyDescent="0.3">
      <c r="A35" t="s">
        <v>5</v>
      </c>
      <c r="B35">
        <f t="shared" si="1"/>
        <v>0</v>
      </c>
      <c r="C35">
        <f t="shared" si="1"/>
        <v>0</v>
      </c>
      <c r="D35">
        <f t="shared" si="1"/>
        <v>0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8.3699999999999997E-2</v>
      </c>
      <c r="I35">
        <f t="shared" si="1"/>
        <v>7.0699999999999999E-2</v>
      </c>
      <c r="J35">
        <f t="shared" si="1"/>
        <v>0.18970000000000001</v>
      </c>
      <c r="K35">
        <f t="shared" si="1"/>
        <v>0</v>
      </c>
      <c r="L35">
        <f t="shared" si="1"/>
        <v>0</v>
      </c>
      <c r="M35">
        <f t="shared" si="1"/>
        <v>0</v>
      </c>
    </row>
    <row r="36" spans="1:13" x14ac:dyDescent="0.3">
      <c r="A36" t="s">
        <v>6</v>
      </c>
      <c r="B36">
        <f t="shared" si="1"/>
        <v>0</v>
      </c>
      <c r="C36">
        <f t="shared" si="1"/>
        <v>0</v>
      </c>
      <c r="D36">
        <f t="shared" si="1"/>
        <v>0</v>
      </c>
      <c r="E36">
        <f t="shared" si="1"/>
        <v>0</v>
      </c>
      <c r="F36">
        <f t="shared" si="1"/>
        <v>0</v>
      </c>
      <c r="G36">
        <f t="shared" si="1"/>
        <v>0</v>
      </c>
      <c r="H36">
        <f t="shared" si="1"/>
        <v>0</v>
      </c>
      <c r="I36">
        <f t="shared" si="1"/>
        <v>7.0699999999999999E-2</v>
      </c>
      <c r="J36">
        <f t="shared" si="1"/>
        <v>0</v>
      </c>
      <c r="K36">
        <f t="shared" si="1"/>
        <v>0</v>
      </c>
      <c r="L36">
        <f t="shared" si="1"/>
        <v>0</v>
      </c>
      <c r="M36">
        <f t="shared" si="1"/>
        <v>0</v>
      </c>
    </row>
    <row r="37" spans="1:13" x14ac:dyDescent="0.3">
      <c r="A37" t="s">
        <v>7</v>
      </c>
      <c r="B37">
        <f t="shared" si="1"/>
        <v>0</v>
      </c>
      <c r="C37">
        <f t="shared" si="1"/>
        <v>0</v>
      </c>
      <c r="D37">
        <f t="shared" si="1"/>
        <v>0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0</v>
      </c>
      <c r="K37">
        <f t="shared" si="1"/>
        <v>0.28460000000000002</v>
      </c>
      <c r="L37">
        <f t="shared" si="1"/>
        <v>0.18970000000000001</v>
      </c>
      <c r="M37">
        <f t="shared" si="1"/>
        <v>0.18970000000000001</v>
      </c>
    </row>
    <row r="38" spans="1:13" x14ac:dyDescent="0.3">
      <c r="A38" t="s">
        <v>8</v>
      </c>
      <c r="B38">
        <f t="shared" si="1"/>
        <v>0.1673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7.0699999999999999E-2</v>
      </c>
      <c r="H38">
        <f t="shared" si="1"/>
        <v>0.1673</v>
      </c>
      <c r="I38">
        <f t="shared" si="1"/>
        <v>0</v>
      </c>
      <c r="J38">
        <f t="shared" si="1"/>
        <v>0</v>
      </c>
      <c r="K38">
        <f t="shared" si="1"/>
        <v>0.251</v>
      </c>
      <c r="L38">
        <f t="shared" si="1"/>
        <v>0.18970000000000001</v>
      </c>
      <c r="M38">
        <f t="shared" si="1"/>
        <v>0.18970000000000001</v>
      </c>
    </row>
    <row r="39" spans="1:13" x14ac:dyDescent="0.3">
      <c r="A39" t="s">
        <v>9</v>
      </c>
      <c r="B39">
        <f t="shared" si="1"/>
        <v>0</v>
      </c>
      <c r="C39">
        <f t="shared" si="1"/>
        <v>0</v>
      </c>
      <c r="D39">
        <f t="shared" si="1"/>
        <v>0</v>
      </c>
      <c r="E39">
        <f t="shared" si="1"/>
        <v>0</v>
      </c>
      <c r="F39">
        <f t="shared" si="1"/>
        <v>0</v>
      </c>
      <c r="G39">
        <f t="shared" si="1"/>
        <v>0</v>
      </c>
      <c r="H39">
        <f t="shared" si="1"/>
        <v>0</v>
      </c>
      <c r="I39">
        <f t="shared" si="1"/>
        <v>7.0699999999999999E-2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0</v>
      </c>
    </row>
    <row r="40" spans="1:13" x14ac:dyDescent="0.3">
      <c r="A40" t="s">
        <v>10</v>
      </c>
      <c r="B40">
        <f t="shared" si="1"/>
        <v>0</v>
      </c>
      <c r="C40">
        <f t="shared" si="1"/>
        <v>7.0699999999999999E-2</v>
      </c>
      <c r="D40">
        <f t="shared" si="1"/>
        <v>0</v>
      </c>
      <c r="E40">
        <f t="shared" si="1"/>
        <v>0</v>
      </c>
      <c r="F40">
        <f t="shared" si="1"/>
        <v>0</v>
      </c>
      <c r="G40">
        <f t="shared" si="1"/>
        <v>0</v>
      </c>
      <c r="H40">
        <f t="shared" si="1"/>
        <v>0</v>
      </c>
      <c r="I40">
        <f t="shared" si="1"/>
        <v>0</v>
      </c>
      <c r="J40">
        <f t="shared" si="1"/>
        <v>7.0699999999999999E-2</v>
      </c>
      <c r="K40">
        <f t="shared" si="1"/>
        <v>7.0699999999999999E-2</v>
      </c>
      <c r="L40">
        <f t="shared" si="1"/>
        <v>0</v>
      </c>
      <c r="M40">
        <f t="shared" si="1"/>
        <v>0.28460000000000002</v>
      </c>
    </row>
    <row r="41" spans="1:13" x14ac:dyDescent="0.3">
      <c r="A41" t="s">
        <v>11</v>
      </c>
      <c r="B41">
        <f t="shared" si="1"/>
        <v>0</v>
      </c>
      <c r="C41">
        <f t="shared" si="1"/>
        <v>0</v>
      </c>
      <c r="D41">
        <f t="shared" si="1"/>
        <v>0</v>
      </c>
      <c r="E41">
        <f t="shared" si="1"/>
        <v>0</v>
      </c>
      <c r="F41">
        <f t="shared" si="1"/>
        <v>0</v>
      </c>
      <c r="G41">
        <f t="shared" si="1"/>
        <v>0</v>
      </c>
      <c r="H41">
        <f t="shared" si="1"/>
        <v>0</v>
      </c>
      <c r="I41">
        <f t="shared" si="1"/>
        <v>0</v>
      </c>
      <c r="J41">
        <f t="shared" si="1"/>
        <v>0</v>
      </c>
      <c r="K41">
        <f t="shared" si="1"/>
        <v>0</v>
      </c>
      <c r="L41">
        <f t="shared" si="1"/>
        <v>0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0.28460000000000002</v>
      </c>
      <c r="D44">
        <f t="shared" si="3"/>
        <v>0.251</v>
      </c>
      <c r="E44">
        <f t="shared" si="3"/>
        <v>0.1673</v>
      </c>
      <c r="F44">
        <f t="shared" si="3"/>
        <v>0</v>
      </c>
      <c r="G44">
        <f t="shared" si="3"/>
        <v>0</v>
      </c>
      <c r="H44">
        <f t="shared" si="3"/>
        <v>7.0699999999999999E-2</v>
      </c>
      <c r="I44">
        <f t="shared" si="3"/>
        <v>8.3699999999999997E-2</v>
      </c>
      <c r="J44">
        <f t="shared" si="3"/>
        <v>0.28460000000000002</v>
      </c>
      <c r="K44">
        <f t="shared" si="3"/>
        <v>5.4800000000000001E-2</v>
      </c>
      <c r="L44">
        <f t="shared" si="3"/>
        <v>5.4800000000000001E-2</v>
      </c>
      <c r="M44">
        <f t="shared" si="3"/>
        <v>0.1414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0.1414</v>
      </c>
      <c r="C45">
        <f t="shared" si="4"/>
        <v>0</v>
      </c>
      <c r="D45">
        <f t="shared" si="4"/>
        <v>0.3347</v>
      </c>
      <c r="E45">
        <f t="shared" si="4"/>
        <v>0.3795</v>
      </c>
      <c r="F45">
        <f t="shared" si="4"/>
        <v>0.251</v>
      </c>
      <c r="G45">
        <f t="shared" si="4"/>
        <v>0.3795</v>
      </c>
      <c r="H45">
        <f t="shared" si="4"/>
        <v>0.3795</v>
      </c>
      <c r="I45">
        <f t="shared" si="4"/>
        <v>0</v>
      </c>
      <c r="J45">
        <f t="shared" si="4"/>
        <v>0.3795</v>
      </c>
      <c r="K45">
        <f t="shared" si="4"/>
        <v>0.3795</v>
      </c>
      <c r="L45">
        <f t="shared" si="4"/>
        <v>0.3795</v>
      </c>
      <c r="M45">
        <f t="shared" si="4"/>
        <v>0.28460000000000002</v>
      </c>
    </row>
    <row r="46" spans="1:13" x14ac:dyDescent="0.3">
      <c r="A46" t="s">
        <v>2</v>
      </c>
      <c r="B46">
        <f t="shared" si="4"/>
        <v>0.1414</v>
      </c>
      <c r="C46">
        <f t="shared" si="4"/>
        <v>0</v>
      </c>
      <c r="D46">
        <f t="shared" si="4"/>
        <v>0</v>
      </c>
      <c r="E46">
        <f t="shared" si="4"/>
        <v>0.1414</v>
      </c>
      <c r="F46">
        <f t="shared" si="4"/>
        <v>7.0699999999999999E-2</v>
      </c>
      <c r="G46">
        <f t="shared" si="4"/>
        <v>0</v>
      </c>
      <c r="H46">
        <f t="shared" si="4"/>
        <v>0.1673</v>
      </c>
      <c r="I46">
        <f t="shared" si="4"/>
        <v>0.1414</v>
      </c>
      <c r="J46">
        <f t="shared" si="4"/>
        <v>0.28460000000000002</v>
      </c>
      <c r="K46">
        <f t="shared" si="4"/>
        <v>0.3795</v>
      </c>
      <c r="L46">
        <f t="shared" si="4"/>
        <v>0.251</v>
      </c>
      <c r="M46">
        <f t="shared" si="4"/>
        <v>0.28460000000000002</v>
      </c>
    </row>
    <row r="47" spans="1:13" x14ac:dyDescent="0.3">
      <c r="A47" t="s">
        <v>3</v>
      </c>
      <c r="B47">
        <f t="shared" si="4"/>
        <v>7.0699999999999999E-2</v>
      </c>
      <c r="C47">
        <f t="shared" si="4"/>
        <v>7.0699999999999999E-2</v>
      </c>
      <c r="D47">
        <f t="shared" si="4"/>
        <v>7.0699999999999999E-2</v>
      </c>
      <c r="E47">
        <f t="shared" si="4"/>
        <v>0</v>
      </c>
      <c r="F47">
        <f t="shared" si="4"/>
        <v>0.251</v>
      </c>
      <c r="G47">
        <f t="shared" si="4"/>
        <v>8.3699999999999997E-2</v>
      </c>
      <c r="H47">
        <f t="shared" si="4"/>
        <v>0.251</v>
      </c>
      <c r="I47">
        <f t="shared" si="4"/>
        <v>7.0699999999999999E-2</v>
      </c>
      <c r="J47">
        <f t="shared" si="4"/>
        <v>0.3347</v>
      </c>
      <c r="K47">
        <f t="shared" si="4"/>
        <v>0</v>
      </c>
      <c r="L47">
        <f t="shared" si="4"/>
        <v>0.28460000000000002</v>
      </c>
      <c r="M47">
        <f t="shared" si="4"/>
        <v>0.28460000000000002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0</v>
      </c>
      <c r="C48">
        <f t="shared" si="5"/>
        <v>5.4800000000000001E-2</v>
      </c>
      <c r="D48">
        <f t="shared" si="5"/>
        <v>0</v>
      </c>
      <c r="E48">
        <f t="shared" si="5"/>
        <v>5.4800000000000001E-2</v>
      </c>
      <c r="F48">
        <f t="shared" si="5"/>
        <v>0</v>
      </c>
      <c r="G48">
        <f t="shared" si="5"/>
        <v>0.1673</v>
      </c>
      <c r="H48">
        <f t="shared" si="5"/>
        <v>0</v>
      </c>
      <c r="I48">
        <f t="shared" si="5"/>
        <v>0</v>
      </c>
      <c r="J48">
        <f t="shared" si="5"/>
        <v>0.251</v>
      </c>
      <c r="K48">
        <f t="shared" si="5"/>
        <v>0.28460000000000002</v>
      </c>
      <c r="L48">
        <f t="shared" si="5"/>
        <v>5.4800000000000001E-2</v>
      </c>
      <c r="M48">
        <f t="shared" si="5"/>
        <v>3.1600000000000003E-2</v>
      </c>
    </row>
    <row r="49" spans="1:13" x14ac:dyDescent="0.3">
      <c r="A49" t="s">
        <v>5</v>
      </c>
      <c r="B49">
        <f t="shared" si="4"/>
        <v>0</v>
      </c>
      <c r="C49">
        <f t="shared" si="4"/>
        <v>3.1600000000000003E-2</v>
      </c>
      <c r="D49">
        <f t="shared" si="4"/>
        <v>7.0699999999999999E-2</v>
      </c>
      <c r="E49">
        <f t="shared" si="4"/>
        <v>0</v>
      </c>
      <c r="F49">
        <f t="shared" si="4"/>
        <v>0</v>
      </c>
      <c r="G49">
        <f t="shared" si="4"/>
        <v>0</v>
      </c>
      <c r="H49">
        <f t="shared" si="4"/>
        <v>0.1673</v>
      </c>
      <c r="I49">
        <f t="shared" si="4"/>
        <v>0.1414</v>
      </c>
      <c r="J49">
        <f t="shared" si="4"/>
        <v>0.28460000000000002</v>
      </c>
      <c r="K49">
        <f t="shared" si="4"/>
        <v>0</v>
      </c>
      <c r="L49">
        <f t="shared" si="4"/>
        <v>7.0699999999999999E-2</v>
      </c>
      <c r="M49">
        <f t="shared" si="4"/>
        <v>8.3699999999999997E-2</v>
      </c>
    </row>
    <row r="50" spans="1:13" x14ac:dyDescent="0.3">
      <c r="A50" t="s">
        <v>6</v>
      </c>
      <c r="B50">
        <f t="shared" si="4"/>
        <v>3.1600000000000003E-2</v>
      </c>
      <c r="C50">
        <f t="shared" si="4"/>
        <v>0</v>
      </c>
      <c r="D50">
        <f t="shared" si="4"/>
        <v>7.0699999999999999E-2</v>
      </c>
      <c r="E50">
        <f t="shared" si="4"/>
        <v>7.0699999999999999E-2</v>
      </c>
      <c r="F50">
        <f t="shared" si="4"/>
        <v>7.0699999999999999E-2</v>
      </c>
      <c r="G50">
        <f t="shared" si="4"/>
        <v>3.1600000000000003E-2</v>
      </c>
      <c r="H50">
        <f t="shared" si="4"/>
        <v>0</v>
      </c>
      <c r="I50">
        <f t="shared" si="4"/>
        <v>0.1414</v>
      </c>
      <c r="J50">
        <f t="shared" si="4"/>
        <v>8.3699999999999997E-2</v>
      </c>
      <c r="K50">
        <f t="shared" si="4"/>
        <v>3.1600000000000003E-2</v>
      </c>
      <c r="L50">
        <f t="shared" si="4"/>
        <v>7.0699999999999999E-2</v>
      </c>
      <c r="M50">
        <f t="shared" si="4"/>
        <v>7.0699999999999999E-2</v>
      </c>
    </row>
    <row r="51" spans="1:13" x14ac:dyDescent="0.3">
      <c r="A51" t="s">
        <v>7</v>
      </c>
      <c r="B51">
        <f t="shared" si="4"/>
        <v>0</v>
      </c>
      <c r="C51">
        <f t="shared" si="4"/>
        <v>5.4800000000000001E-2</v>
      </c>
      <c r="D51">
        <f t="shared" si="4"/>
        <v>7.0699999999999999E-2</v>
      </c>
      <c r="E51">
        <f t="shared" si="4"/>
        <v>7.0699999999999999E-2</v>
      </c>
      <c r="F51">
        <f t="shared" si="4"/>
        <v>0</v>
      </c>
      <c r="G51">
        <f t="shared" si="4"/>
        <v>0</v>
      </c>
      <c r="H51">
        <f t="shared" si="4"/>
        <v>0</v>
      </c>
      <c r="I51">
        <f t="shared" si="4"/>
        <v>0</v>
      </c>
      <c r="J51">
        <f t="shared" si="4"/>
        <v>0</v>
      </c>
      <c r="K51">
        <f t="shared" si="4"/>
        <v>0.3795</v>
      </c>
      <c r="L51">
        <f t="shared" si="4"/>
        <v>0.28460000000000002</v>
      </c>
      <c r="M51">
        <f t="shared" si="4"/>
        <v>0.28460000000000002</v>
      </c>
    </row>
    <row r="52" spans="1:13" x14ac:dyDescent="0.3">
      <c r="A52" t="s">
        <v>8</v>
      </c>
      <c r="B52">
        <f t="shared" si="4"/>
        <v>0.251</v>
      </c>
      <c r="C52">
        <f t="shared" si="4"/>
        <v>0</v>
      </c>
      <c r="D52">
        <f t="shared" si="4"/>
        <v>0</v>
      </c>
      <c r="E52">
        <f t="shared" si="4"/>
        <v>0</v>
      </c>
      <c r="F52">
        <f t="shared" si="4"/>
        <v>7.0699999999999999E-2</v>
      </c>
      <c r="G52">
        <f t="shared" si="4"/>
        <v>0.1414</v>
      </c>
      <c r="H52">
        <f t="shared" si="4"/>
        <v>0.251</v>
      </c>
      <c r="I52">
        <f t="shared" si="4"/>
        <v>0</v>
      </c>
      <c r="J52">
        <f t="shared" si="4"/>
        <v>0</v>
      </c>
      <c r="K52">
        <f t="shared" si="4"/>
        <v>0.3347</v>
      </c>
      <c r="L52">
        <f t="shared" si="4"/>
        <v>0.28460000000000002</v>
      </c>
      <c r="M52">
        <f t="shared" si="4"/>
        <v>0.28460000000000002</v>
      </c>
    </row>
    <row r="53" spans="1:13" x14ac:dyDescent="0.3">
      <c r="A53" t="s">
        <v>9</v>
      </c>
      <c r="B53">
        <f t="shared" si="4"/>
        <v>3.1600000000000003E-2</v>
      </c>
      <c r="C53">
        <f t="shared" si="4"/>
        <v>0</v>
      </c>
      <c r="D53">
        <f t="shared" si="4"/>
        <v>5.4800000000000001E-2</v>
      </c>
      <c r="E53">
        <f t="shared" si="4"/>
        <v>0</v>
      </c>
      <c r="F53">
        <f t="shared" si="4"/>
        <v>5.4800000000000001E-2</v>
      </c>
      <c r="G53">
        <f t="shared" si="4"/>
        <v>7.0699999999999999E-2</v>
      </c>
      <c r="H53">
        <f t="shared" si="4"/>
        <v>0</v>
      </c>
      <c r="I53">
        <f t="shared" si="4"/>
        <v>0.1414</v>
      </c>
      <c r="J53">
        <f t="shared" si="4"/>
        <v>0</v>
      </c>
      <c r="K53">
        <f t="shared" si="4"/>
        <v>0</v>
      </c>
      <c r="L53">
        <f t="shared" si="4"/>
        <v>0</v>
      </c>
      <c r="M53">
        <f t="shared" si="4"/>
        <v>0</v>
      </c>
    </row>
    <row r="54" spans="1:13" x14ac:dyDescent="0.3">
      <c r="A54" t="s">
        <v>10</v>
      </c>
      <c r="B54">
        <f t="shared" si="4"/>
        <v>0</v>
      </c>
      <c r="C54">
        <f t="shared" si="4"/>
        <v>0.1414</v>
      </c>
      <c r="D54">
        <f t="shared" si="4"/>
        <v>7.0699999999999999E-2</v>
      </c>
      <c r="E54">
        <f t="shared" si="4"/>
        <v>0</v>
      </c>
      <c r="F54">
        <f t="shared" si="4"/>
        <v>7.0699999999999999E-2</v>
      </c>
      <c r="G54">
        <f t="shared" si="4"/>
        <v>7.0699999999999999E-2</v>
      </c>
      <c r="H54">
        <f t="shared" si="4"/>
        <v>5.4800000000000001E-2</v>
      </c>
      <c r="I54">
        <f t="shared" si="4"/>
        <v>0</v>
      </c>
      <c r="J54">
        <f t="shared" si="4"/>
        <v>0.1414</v>
      </c>
      <c r="K54">
        <f t="shared" si="4"/>
        <v>0.1414</v>
      </c>
      <c r="L54">
        <f t="shared" si="4"/>
        <v>0</v>
      </c>
      <c r="M54">
        <f t="shared" si="4"/>
        <v>0.3795</v>
      </c>
    </row>
    <row r="55" spans="1:13" x14ac:dyDescent="0.3">
      <c r="A55" t="s">
        <v>11</v>
      </c>
      <c r="B55">
        <f t="shared" si="4"/>
        <v>7.0699999999999999E-2</v>
      </c>
      <c r="C55">
        <f t="shared" si="4"/>
        <v>3.1600000000000003E-2</v>
      </c>
      <c r="D55">
        <f t="shared" si="4"/>
        <v>0</v>
      </c>
      <c r="E55">
        <f t="shared" si="4"/>
        <v>0</v>
      </c>
      <c r="F55">
        <f t="shared" si="4"/>
        <v>0</v>
      </c>
      <c r="G55">
        <f t="shared" si="4"/>
        <v>0</v>
      </c>
      <c r="H55">
        <f t="shared" si="4"/>
        <v>0</v>
      </c>
      <c r="I55">
        <f t="shared" si="4"/>
        <v>0</v>
      </c>
      <c r="J55">
        <f t="shared" si="4"/>
        <v>8.3699999999999997E-2</v>
      </c>
      <c r="K55">
        <f t="shared" si="4"/>
        <v>0</v>
      </c>
      <c r="L55">
        <f t="shared" si="4"/>
        <v>0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0.3795</v>
      </c>
      <c r="D58">
        <f t="shared" si="6"/>
        <v>0.3347</v>
      </c>
      <c r="E58">
        <f t="shared" si="6"/>
        <v>0.251</v>
      </c>
      <c r="F58">
        <f t="shared" si="6"/>
        <v>7.0699999999999999E-2</v>
      </c>
      <c r="G58">
        <f t="shared" si="6"/>
        <v>7.0699999999999999E-2</v>
      </c>
      <c r="H58">
        <f t="shared" si="6"/>
        <v>0.1414</v>
      </c>
      <c r="I58">
        <f t="shared" si="6"/>
        <v>0.1673</v>
      </c>
      <c r="J58">
        <f t="shared" si="6"/>
        <v>0.3795</v>
      </c>
      <c r="K58">
        <f t="shared" si="6"/>
        <v>0.1095</v>
      </c>
      <c r="L58">
        <f t="shared" si="6"/>
        <v>0.1095</v>
      </c>
      <c r="M58">
        <f t="shared" si="6"/>
        <v>0.21210000000000001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0.21210000000000001</v>
      </c>
      <c r="C59">
        <f t="shared" si="7"/>
        <v>0</v>
      </c>
      <c r="D59">
        <f t="shared" si="7"/>
        <v>0.3347</v>
      </c>
      <c r="E59">
        <f t="shared" si="7"/>
        <v>0.3795</v>
      </c>
      <c r="F59">
        <f t="shared" si="7"/>
        <v>0.3347</v>
      </c>
      <c r="G59">
        <f t="shared" si="7"/>
        <v>0.3795</v>
      </c>
      <c r="H59">
        <f t="shared" si="7"/>
        <v>0.3795</v>
      </c>
      <c r="I59">
        <f t="shared" si="7"/>
        <v>7.0699999999999999E-2</v>
      </c>
      <c r="J59">
        <f t="shared" si="7"/>
        <v>0.3795</v>
      </c>
      <c r="K59">
        <f t="shared" si="7"/>
        <v>0.3795</v>
      </c>
      <c r="L59">
        <f t="shared" si="7"/>
        <v>0.3795</v>
      </c>
      <c r="M59">
        <f t="shared" si="7"/>
        <v>0.3795</v>
      </c>
    </row>
    <row r="60" spans="1:13" x14ac:dyDescent="0.3">
      <c r="A60" t="s">
        <v>2</v>
      </c>
      <c r="B60">
        <f t="shared" si="7"/>
        <v>0.21210000000000001</v>
      </c>
      <c r="C60">
        <f t="shared" si="7"/>
        <v>7.0699999999999999E-2</v>
      </c>
      <c r="D60">
        <f t="shared" si="7"/>
        <v>0</v>
      </c>
      <c r="E60">
        <f t="shared" si="7"/>
        <v>0.21210000000000001</v>
      </c>
      <c r="F60">
        <f t="shared" si="7"/>
        <v>0.1414</v>
      </c>
      <c r="G60">
        <f t="shared" si="7"/>
        <v>7.0699999999999999E-2</v>
      </c>
      <c r="H60">
        <f t="shared" si="7"/>
        <v>0.251</v>
      </c>
      <c r="I60">
        <f t="shared" si="7"/>
        <v>0.21210000000000001</v>
      </c>
      <c r="J60">
        <f t="shared" si="7"/>
        <v>0.3795</v>
      </c>
      <c r="K60">
        <f t="shared" si="7"/>
        <v>0.3795</v>
      </c>
      <c r="L60">
        <f t="shared" si="7"/>
        <v>0.3347</v>
      </c>
      <c r="M60">
        <f t="shared" si="7"/>
        <v>0.3795</v>
      </c>
    </row>
    <row r="61" spans="1:13" x14ac:dyDescent="0.3">
      <c r="A61" t="s">
        <v>3</v>
      </c>
      <c r="B61">
        <f t="shared" si="7"/>
        <v>0.1414</v>
      </c>
      <c r="C61">
        <f t="shared" si="7"/>
        <v>0.1414</v>
      </c>
      <c r="D61">
        <f t="shared" si="7"/>
        <v>0.1414</v>
      </c>
      <c r="E61">
        <f t="shared" si="7"/>
        <v>0</v>
      </c>
      <c r="F61">
        <f t="shared" si="7"/>
        <v>0.3347</v>
      </c>
      <c r="G61">
        <f t="shared" si="7"/>
        <v>0.1673</v>
      </c>
      <c r="H61">
        <f t="shared" si="7"/>
        <v>0.3347</v>
      </c>
      <c r="I61">
        <f t="shared" si="7"/>
        <v>0.1414</v>
      </c>
      <c r="J61">
        <f t="shared" si="7"/>
        <v>0.3347</v>
      </c>
      <c r="K61">
        <f t="shared" si="7"/>
        <v>8.3699999999999997E-2</v>
      </c>
      <c r="L61">
        <f t="shared" si="7"/>
        <v>0.3795</v>
      </c>
      <c r="M61">
        <f t="shared" si="7"/>
        <v>0.3795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3.1600000000000003E-2</v>
      </c>
      <c r="C62">
        <f t="shared" si="8"/>
        <v>0.1095</v>
      </c>
      <c r="D62">
        <f t="shared" si="8"/>
        <v>3.1600000000000003E-2</v>
      </c>
      <c r="E62">
        <f t="shared" si="8"/>
        <v>0.1095</v>
      </c>
      <c r="F62">
        <f t="shared" si="8"/>
        <v>0</v>
      </c>
      <c r="G62">
        <f t="shared" si="8"/>
        <v>0.251</v>
      </c>
      <c r="H62">
        <f t="shared" si="8"/>
        <v>7.0699999999999999E-2</v>
      </c>
      <c r="I62">
        <f t="shared" si="8"/>
        <v>3.1600000000000003E-2</v>
      </c>
      <c r="J62">
        <f t="shared" si="8"/>
        <v>0.3347</v>
      </c>
      <c r="K62">
        <f t="shared" si="8"/>
        <v>0.3795</v>
      </c>
      <c r="L62">
        <f t="shared" si="8"/>
        <v>0.1095</v>
      </c>
      <c r="M62">
        <f t="shared" si="8"/>
        <v>6.3200000000000006E-2</v>
      </c>
    </row>
    <row r="63" spans="1:13" x14ac:dyDescent="0.3">
      <c r="A63" t="s">
        <v>5</v>
      </c>
      <c r="B63">
        <f t="shared" si="7"/>
        <v>5.4800000000000001E-2</v>
      </c>
      <c r="C63">
        <f t="shared" si="7"/>
        <v>6.3200000000000006E-2</v>
      </c>
      <c r="D63">
        <f t="shared" si="7"/>
        <v>0.1414</v>
      </c>
      <c r="E63">
        <f t="shared" si="7"/>
        <v>8.3699999999999997E-2</v>
      </c>
      <c r="F63">
        <f t="shared" si="7"/>
        <v>5.4800000000000001E-2</v>
      </c>
      <c r="G63">
        <f t="shared" si="7"/>
        <v>0</v>
      </c>
      <c r="H63">
        <f t="shared" si="7"/>
        <v>0.251</v>
      </c>
      <c r="I63">
        <f t="shared" si="7"/>
        <v>0.21210000000000001</v>
      </c>
      <c r="J63">
        <f t="shared" si="7"/>
        <v>0.3795</v>
      </c>
      <c r="K63">
        <f t="shared" si="7"/>
        <v>5.4800000000000001E-2</v>
      </c>
      <c r="L63">
        <f t="shared" si="7"/>
        <v>0.1414</v>
      </c>
      <c r="M63">
        <f t="shared" si="7"/>
        <v>0.1673</v>
      </c>
    </row>
    <row r="64" spans="1:13" x14ac:dyDescent="0.3">
      <c r="A64" t="s">
        <v>6</v>
      </c>
      <c r="B64">
        <f t="shared" si="7"/>
        <v>6.3200000000000006E-2</v>
      </c>
      <c r="C64">
        <f t="shared" si="7"/>
        <v>5.4800000000000001E-2</v>
      </c>
      <c r="D64">
        <f t="shared" si="7"/>
        <v>0.1414</v>
      </c>
      <c r="E64">
        <f t="shared" si="7"/>
        <v>0.1414</v>
      </c>
      <c r="F64">
        <f t="shared" si="7"/>
        <v>0.1414</v>
      </c>
      <c r="G64">
        <f t="shared" si="7"/>
        <v>6.3200000000000006E-2</v>
      </c>
      <c r="H64">
        <f t="shared" si="7"/>
        <v>0</v>
      </c>
      <c r="I64">
        <f t="shared" si="7"/>
        <v>0.21210000000000001</v>
      </c>
      <c r="J64">
        <f t="shared" si="7"/>
        <v>0.1673</v>
      </c>
      <c r="K64">
        <f t="shared" si="7"/>
        <v>6.3200000000000006E-2</v>
      </c>
      <c r="L64">
        <f t="shared" si="7"/>
        <v>0.1414</v>
      </c>
      <c r="M64">
        <f t="shared" si="7"/>
        <v>0.1414</v>
      </c>
    </row>
    <row r="65" spans="1:13" x14ac:dyDescent="0.3">
      <c r="A65" t="s">
        <v>7</v>
      </c>
      <c r="B65">
        <f t="shared" si="7"/>
        <v>5.4800000000000001E-2</v>
      </c>
      <c r="C65">
        <f t="shared" si="7"/>
        <v>0.1095</v>
      </c>
      <c r="D65">
        <f t="shared" si="7"/>
        <v>0.1414</v>
      </c>
      <c r="E65">
        <f t="shared" si="7"/>
        <v>0.1414</v>
      </c>
      <c r="F65">
        <f t="shared" si="7"/>
        <v>8.3699999999999997E-2</v>
      </c>
      <c r="G65">
        <f t="shared" si="7"/>
        <v>7.0699999999999999E-2</v>
      </c>
      <c r="H65">
        <f t="shared" si="7"/>
        <v>7.0699999999999999E-2</v>
      </c>
      <c r="I65">
        <f t="shared" si="7"/>
        <v>0</v>
      </c>
      <c r="J65">
        <f t="shared" si="7"/>
        <v>8.3699999999999997E-2</v>
      </c>
      <c r="K65">
        <f t="shared" si="7"/>
        <v>0.3795</v>
      </c>
      <c r="L65">
        <f t="shared" si="7"/>
        <v>0.3795</v>
      </c>
      <c r="M65">
        <f t="shared" si="7"/>
        <v>0.3795</v>
      </c>
    </row>
    <row r="66" spans="1:13" x14ac:dyDescent="0.3">
      <c r="A66" t="s">
        <v>8</v>
      </c>
      <c r="B66">
        <f t="shared" si="7"/>
        <v>0.3347</v>
      </c>
      <c r="C66">
        <f t="shared" si="7"/>
        <v>5.4800000000000001E-2</v>
      </c>
      <c r="D66">
        <f t="shared" si="7"/>
        <v>8.3699999999999997E-2</v>
      </c>
      <c r="E66">
        <f t="shared" si="7"/>
        <v>3.1600000000000003E-2</v>
      </c>
      <c r="F66">
        <f t="shared" si="7"/>
        <v>0.1414</v>
      </c>
      <c r="G66">
        <f t="shared" si="7"/>
        <v>0.21210000000000001</v>
      </c>
      <c r="H66">
        <f t="shared" si="7"/>
        <v>0.3347</v>
      </c>
      <c r="I66">
        <f t="shared" si="7"/>
        <v>5.4800000000000001E-2</v>
      </c>
      <c r="J66">
        <f t="shared" si="7"/>
        <v>0</v>
      </c>
      <c r="K66">
        <f t="shared" si="7"/>
        <v>0.3347</v>
      </c>
      <c r="L66">
        <f t="shared" si="7"/>
        <v>0.3795</v>
      </c>
      <c r="M66">
        <f t="shared" si="7"/>
        <v>0.3795</v>
      </c>
    </row>
    <row r="67" spans="1:13" x14ac:dyDescent="0.3">
      <c r="A67" t="s">
        <v>9</v>
      </c>
      <c r="B67">
        <f t="shared" si="7"/>
        <v>6.3200000000000006E-2</v>
      </c>
      <c r="C67">
        <f t="shared" si="7"/>
        <v>7.0699999999999999E-2</v>
      </c>
      <c r="D67">
        <f t="shared" si="7"/>
        <v>0.1095</v>
      </c>
      <c r="E67">
        <f t="shared" si="7"/>
        <v>5.4800000000000001E-2</v>
      </c>
      <c r="F67">
        <f t="shared" si="7"/>
        <v>0.1095</v>
      </c>
      <c r="G67">
        <f t="shared" si="7"/>
        <v>0.1414</v>
      </c>
      <c r="H67">
        <f t="shared" si="7"/>
        <v>7.0699999999999999E-2</v>
      </c>
      <c r="I67">
        <f t="shared" si="7"/>
        <v>0.21210000000000001</v>
      </c>
      <c r="J67">
        <f t="shared" si="7"/>
        <v>8.3699999999999997E-2</v>
      </c>
      <c r="K67">
        <f t="shared" si="7"/>
        <v>0</v>
      </c>
      <c r="L67">
        <f t="shared" si="7"/>
        <v>7.0699999999999999E-2</v>
      </c>
      <c r="M67">
        <f t="shared" si="7"/>
        <v>7.0699999999999999E-2</v>
      </c>
    </row>
    <row r="68" spans="1:13" x14ac:dyDescent="0.3">
      <c r="A68" t="s">
        <v>10</v>
      </c>
      <c r="B68">
        <f t="shared" si="7"/>
        <v>7.0699999999999999E-2</v>
      </c>
      <c r="C68">
        <f t="shared" si="7"/>
        <v>0.21210000000000001</v>
      </c>
      <c r="D68">
        <f t="shared" si="7"/>
        <v>0.1414</v>
      </c>
      <c r="E68">
        <f t="shared" si="7"/>
        <v>3.1600000000000003E-2</v>
      </c>
      <c r="F68">
        <f t="shared" si="7"/>
        <v>0.1414</v>
      </c>
      <c r="G68">
        <f t="shared" si="7"/>
        <v>0.1414</v>
      </c>
      <c r="H68">
        <f t="shared" si="7"/>
        <v>0.1095</v>
      </c>
      <c r="I68">
        <f t="shared" si="7"/>
        <v>7.0699999999999999E-2</v>
      </c>
      <c r="J68">
        <f t="shared" si="7"/>
        <v>0.21210000000000001</v>
      </c>
      <c r="K68">
        <f t="shared" si="7"/>
        <v>0.21210000000000001</v>
      </c>
      <c r="L68">
        <f t="shared" si="7"/>
        <v>0</v>
      </c>
      <c r="M68">
        <f t="shared" si="7"/>
        <v>0.3795</v>
      </c>
    </row>
    <row r="69" spans="1:13" x14ac:dyDescent="0.3">
      <c r="A69" t="s">
        <v>11</v>
      </c>
      <c r="B69">
        <f t="shared" si="7"/>
        <v>0.1414</v>
      </c>
      <c r="C69">
        <f t="shared" si="7"/>
        <v>6.3200000000000006E-2</v>
      </c>
      <c r="D69">
        <f t="shared" si="7"/>
        <v>5.4800000000000001E-2</v>
      </c>
      <c r="E69">
        <f t="shared" si="7"/>
        <v>5.4800000000000001E-2</v>
      </c>
      <c r="F69">
        <f t="shared" si="7"/>
        <v>7.0699999999999999E-2</v>
      </c>
      <c r="G69">
        <f t="shared" si="7"/>
        <v>7.0699999999999999E-2</v>
      </c>
      <c r="H69">
        <f t="shared" si="7"/>
        <v>3.1600000000000003E-2</v>
      </c>
      <c r="I69">
        <f t="shared" si="7"/>
        <v>3.1600000000000003E-2</v>
      </c>
      <c r="J69">
        <f t="shared" si="7"/>
        <v>0.1673</v>
      </c>
      <c r="K69">
        <f t="shared" si="7"/>
        <v>8.3699999999999997E-2</v>
      </c>
      <c r="L69">
        <f t="shared" si="7"/>
        <v>7.0699999999999999E-2</v>
      </c>
      <c r="M69">
        <f t="shared" si="7"/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2"/>
  <dimension ref="A1:M69"/>
  <sheetViews>
    <sheetView workbookViewId="0">
      <selection activeCell="A15" sqref="A15:M69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13</v>
      </c>
      <c r="D2" t="s">
        <v>13</v>
      </c>
      <c r="E2" t="s">
        <v>16</v>
      </c>
      <c r="F2" t="s">
        <v>21</v>
      </c>
      <c r="G2" t="s">
        <v>22</v>
      </c>
      <c r="H2" t="s">
        <v>62</v>
      </c>
      <c r="I2" t="s">
        <v>71</v>
      </c>
      <c r="J2" t="s">
        <v>12</v>
      </c>
      <c r="K2" t="s">
        <v>16</v>
      </c>
      <c r="L2" t="s">
        <v>15</v>
      </c>
      <c r="M2" t="s">
        <v>22</v>
      </c>
    </row>
    <row r="3" spans="1:13" x14ac:dyDescent="0.3">
      <c r="A3" s="1" t="s">
        <v>1</v>
      </c>
      <c r="B3" t="s">
        <v>22</v>
      </c>
      <c r="C3">
        <v>0</v>
      </c>
      <c r="D3" t="s">
        <v>25</v>
      </c>
      <c r="E3" t="s">
        <v>18</v>
      </c>
      <c r="F3" t="s">
        <v>21</v>
      </c>
      <c r="G3" t="s">
        <v>18</v>
      </c>
      <c r="H3" t="s">
        <v>25</v>
      </c>
      <c r="I3" t="s">
        <v>16</v>
      </c>
      <c r="J3" t="s">
        <v>15</v>
      </c>
      <c r="K3" t="s">
        <v>25</v>
      </c>
      <c r="L3" t="s">
        <v>12</v>
      </c>
      <c r="M3" t="s">
        <v>13</v>
      </c>
    </row>
    <row r="4" spans="1:13" x14ac:dyDescent="0.3">
      <c r="A4" s="1" t="s">
        <v>2</v>
      </c>
      <c r="B4" t="s">
        <v>24</v>
      </c>
      <c r="C4" t="s">
        <v>16</v>
      </c>
      <c r="D4">
        <v>0</v>
      </c>
      <c r="E4" t="s">
        <v>21</v>
      </c>
      <c r="F4" t="s">
        <v>20</v>
      </c>
      <c r="G4" t="s">
        <v>21</v>
      </c>
      <c r="H4" t="s">
        <v>15</v>
      </c>
      <c r="I4" t="s">
        <v>16</v>
      </c>
      <c r="J4" t="s">
        <v>18</v>
      </c>
      <c r="K4" t="s">
        <v>18</v>
      </c>
      <c r="L4" t="s">
        <v>12</v>
      </c>
      <c r="M4" t="s">
        <v>18</v>
      </c>
    </row>
    <row r="5" spans="1:13" x14ac:dyDescent="0.3">
      <c r="A5" s="1" t="s">
        <v>3</v>
      </c>
      <c r="B5" t="s">
        <v>24</v>
      </c>
      <c r="C5" t="s">
        <v>16</v>
      </c>
      <c r="D5" t="s">
        <v>15</v>
      </c>
      <c r="E5">
        <v>0</v>
      </c>
      <c r="F5" t="s">
        <v>12</v>
      </c>
      <c r="G5" t="s">
        <v>22</v>
      </c>
      <c r="H5" t="s">
        <v>12</v>
      </c>
      <c r="I5" t="s">
        <v>16</v>
      </c>
      <c r="J5" t="s">
        <v>18</v>
      </c>
      <c r="K5" t="s">
        <v>16</v>
      </c>
      <c r="L5" t="s">
        <v>13</v>
      </c>
      <c r="M5" t="s">
        <v>15</v>
      </c>
    </row>
    <row r="6" spans="1:13" x14ac:dyDescent="0.3">
      <c r="A6" s="1" t="s">
        <v>4</v>
      </c>
      <c r="B6" t="s">
        <v>24</v>
      </c>
      <c r="C6" t="s">
        <v>24</v>
      </c>
      <c r="D6" t="s">
        <v>24</v>
      </c>
      <c r="E6" t="s">
        <v>15</v>
      </c>
      <c r="F6">
        <v>0</v>
      </c>
      <c r="G6" t="s">
        <v>18</v>
      </c>
      <c r="H6" t="s">
        <v>15</v>
      </c>
      <c r="I6" t="s">
        <v>16</v>
      </c>
      <c r="J6" t="s">
        <v>25</v>
      </c>
      <c r="K6" t="s">
        <v>25</v>
      </c>
      <c r="L6" t="s">
        <v>16</v>
      </c>
      <c r="M6" t="s">
        <v>15</v>
      </c>
    </row>
    <row r="7" spans="1:13" x14ac:dyDescent="0.3">
      <c r="A7" s="1" t="s">
        <v>5</v>
      </c>
      <c r="B7" t="s">
        <v>16</v>
      </c>
      <c r="C7" t="s">
        <v>20</v>
      </c>
      <c r="D7" t="s">
        <v>15</v>
      </c>
      <c r="E7" t="s">
        <v>20</v>
      </c>
      <c r="F7" t="s">
        <v>16</v>
      </c>
      <c r="G7">
        <v>0</v>
      </c>
      <c r="H7" t="s">
        <v>24</v>
      </c>
      <c r="I7" t="s">
        <v>71</v>
      </c>
      <c r="J7" t="s">
        <v>18</v>
      </c>
      <c r="K7" t="s">
        <v>15</v>
      </c>
      <c r="L7" t="s">
        <v>22</v>
      </c>
      <c r="M7" t="s">
        <v>20</v>
      </c>
    </row>
    <row r="8" spans="1:13" x14ac:dyDescent="0.3">
      <c r="A8" s="1" t="s">
        <v>6</v>
      </c>
      <c r="B8" t="s">
        <v>15</v>
      </c>
      <c r="C8" t="s">
        <v>24</v>
      </c>
      <c r="D8" t="s">
        <v>23</v>
      </c>
      <c r="E8" t="s">
        <v>16</v>
      </c>
      <c r="F8" t="s">
        <v>16</v>
      </c>
      <c r="G8" t="s">
        <v>16</v>
      </c>
      <c r="H8">
        <v>0</v>
      </c>
      <c r="I8" t="s">
        <v>16</v>
      </c>
      <c r="J8" t="s">
        <v>16</v>
      </c>
      <c r="K8" t="s">
        <v>24</v>
      </c>
      <c r="L8" t="s">
        <v>15</v>
      </c>
      <c r="M8" t="s">
        <v>24</v>
      </c>
    </row>
    <row r="9" spans="1:13" x14ac:dyDescent="0.3">
      <c r="A9" s="1" t="s">
        <v>7</v>
      </c>
      <c r="B9" t="s">
        <v>16</v>
      </c>
      <c r="C9" t="s">
        <v>23</v>
      </c>
      <c r="D9" t="s">
        <v>20</v>
      </c>
      <c r="E9" t="s">
        <v>22</v>
      </c>
      <c r="F9" t="s">
        <v>62</v>
      </c>
      <c r="G9" t="s">
        <v>62</v>
      </c>
      <c r="H9" t="s">
        <v>24</v>
      </c>
      <c r="I9">
        <v>0</v>
      </c>
      <c r="J9" t="s">
        <v>15</v>
      </c>
      <c r="K9" t="s">
        <v>25</v>
      </c>
      <c r="L9" t="s">
        <v>13</v>
      </c>
      <c r="M9" t="s">
        <v>18</v>
      </c>
    </row>
    <row r="10" spans="1:13" x14ac:dyDescent="0.3">
      <c r="A10" s="1" t="s">
        <v>8</v>
      </c>
      <c r="B10" t="s">
        <v>12</v>
      </c>
      <c r="C10" t="s">
        <v>71</v>
      </c>
      <c r="D10" t="s">
        <v>24</v>
      </c>
      <c r="E10" t="s">
        <v>21</v>
      </c>
      <c r="F10" t="s">
        <v>20</v>
      </c>
      <c r="G10" t="s">
        <v>16</v>
      </c>
      <c r="H10" t="s">
        <v>18</v>
      </c>
      <c r="I10" t="s">
        <v>62</v>
      </c>
      <c r="J10">
        <v>0</v>
      </c>
      <c r="K10" t="s">
        <v>25</v>
      </c>
      <c r="L10" t="s">
        <v>12</v>
      </c>
      <c r="M10" t="s">
        <v>13</v>
      </c>
    </row>
    <row r="11" spans="1:13" x14ac:dyDescent="0.3">
      <c r="A11" s="1" t="s">
        <v>9</v>
      </c>
      <c r="B11" t="s">
        <v>24</v>
      </c>
      <c r="C11" t="s">
        <v>15</v>
      </c>
      <c r="D11" t="s">
        <v>15</v>
      </c>
      <c r="E11" t="s">
        <v>15</v>
      </c>
      <c r="F11" t="s">
        <v>20</v>
      </c>
      <c r="G11" t="s">
        <v>16</v>
      </c>
      <c r="H11" t="s">
        <v>16</v>
      </c>
      <c r="I11" t="s">
        <v>23</v>
      </c>
      <c r="J11" t="s">
        <v>15</v>
      </c>
      <c r="K11">
        <v>0</v>
      </c>
      <c r="L11" t="s">
        <v>15</v>
      </c>
      <c r="M11" t="s">
        <v>16</v>
      </c>
    </row>
    <row r="12" spans="1:13" x14ac:dyDescent="0.3">
      <c r="A12" s="1" t="s">
        <v>10</v>
      </c>
      <c r="B12" t="s">
        <v>16</v>
      </c>
      <c r="C12" t="s">
        <v>22</v>
      </c>
      <c r="D12" t="s">
        <v>15</v>
      </c>
      <c r="E12" t="s">
        <v>15</v>
      </c>
      <c r="F12" t="s">
        <v>15</v>
      </c>
      <c r="G12" t="s">
        <v>16</v>
      </c>
      <c r="H12" t="s">
        <v>22</v>
      </c>
      <c r="I12" t="s">
        <v>71</v>
      </c>
      <c r="J12" t="s">
        <v>22</v>
      </c>
      <c r="K12" t="s">
        <v>20</v>
      </c>
      <c r="L12">
        <v>0</v>
      </c>
      <c r="M12" t="s">
        <v>18</v>
      </c>
    </row>
    <row r="13" spans="1:13" x14ac:dyDescent="0.3">
      <c r="A13" s="1" t="s">
        <v>11</v>
      </c>
      <c r="B13" t="s">
        <v>23</v>
      </c>
      <c r="C13" t="s">
        <v>62</v>
      </c>
      <c r="D13" t="s">
        <v>20</v>
      </c>
      <c r="E13" t="s">
        <v>21</v>
      </c>
      <c r="F13" t="s">
        <v>16</v>
      </c>
      <c r="G13" t="s">
        <v>17</v>
      </c>
      <c r="H13" t="s">
        <v>15</v>
      </c>
      <c r="I13" t="s">
        <v>24</v>
      </c>
      <c r="J13" t="s">
        <v>16</v>
      </c>
      <c r="K13" t="s">
        <v>15</v>
      </c>
      <c r="L13" t="s">
        <v>22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(0,1897; 0,2846; 0,3795)</v>
      </c>
      <c r="D16" t="str">
        <f>VLOOKUP(D2,'Thang đánh giá'!$C$2:$D$27,2,FALSE)</f>
        <v>(0,1897; 0,2846; 0,3795)</v>
      </c>
      <c r="E16" t="str">
        <f>VLOOKUP(E2,'Thang đánh giá'!$C$2:$D$27,2,FALSE)</f>
        <v>(0; 0; 0,0707)</v>
      </c>
      <c r="F16" t="str">
        <f>VLOOKUP(F2,'Thang đánh giá'!$C$2:$D$27,2,FALSE)</f>
        <v>(0,0837; 0,1673; 0,251)</v>
      </c>
      <c r="G16" t="str">
        <f>VLOOKUP(G2,'Thang đánh giá'!$C$2:$D$27,2,FALSE)</f>
        <v>(0,0707; 0,1414; 0,2121)</v>
      </c>
      <c r="H16" t="str">
        <f>VLOOKUP(H2,'Thang đánh giá'!$C$2:$D$27,2,FALSE)</f>
        <v>(0; 0,0837; 0,1673)</v>
      </c>
      <c r="I16" t="str">
        <f>VLOOKUP(I2,'Thang đánh giá'!$C$2:$D$27,2,FALSE)</f>
        <v>(0; 0; 0,0837)</v>
      </c>
      <c r="J16" t="str">
        <f>VLOOKUP(J2,'Thang đánh giá'!$C$2:$D$27,2,FALSE)</f>
        <v>(0,1673; 0,251; 0,3347)</v>
      </c>
      <c r="K16" t="str">
        <f>VLOOKUP(K2,'Thang đánh giá'!$C$2:$D$27,2,FALSE)</f>
        <v>(0; 0; 0,0707)</v>
      </c>
      <c r="L16" t="str">
        <f>VLOOKUP(L2,'Thang đánh giá'!$C$2:$D$27,2,FALSE)</f>
        <v>(0; 0,0707; 0,1414)</v>
      </c>
      <c r="M16" t="str">
        <f>VLOOKUP(M2,'Thang đánh giá'!$C$2:$D$27,2,FALSE)</f>
        <v>(0,0707; 0,1414; 0,2121)</v>
      </c>
    </row>
    <row r="17" spans="1:13" x14ac:dyDescent="0.3">
      <c r="A17" t="s">
        <v>1</v>
      </c>
      <c r="B17" t="str">
        <f>VLOOKUP(B3,'Thang đánh giá'!$C$2:$D$27,2,FALSE)</f>
        <v>(0,0707; 0,1414; 0,2121)</v>
      </c>
      <c r="C17" t="str">
        <f>VLOOKUP(C3,'Thang đánh giá'!$C$2:$D$27,2,FALSE)</f>
        <v>(0; 0; 0)</v>
      </c>
      <c r="D17" t="str">
        <f>VLOOKUP(D3,'Thang đánh giá'!$C$2:$D$27,2,FALSE)</f>
        <v>(0,251; 0,3347; 0,3347)</v>
      </c>
      <c r="E17" t="str">
        <f>VLOOKUP(E3,'Thang đánh giá'!$C$2:$D$27,2,FALSE)</f>
        <v>(0,2846; 0,3795; 0,3795)</v>
      </c>
      <c r="F17" t="str">
        <f>VLOOKUP(F3,'Thang đánh giá'!$C$2:$D$27,2,FALSE)</f>
        <v>(0,0837; 0,1673; 0,251)</v>
      </c>
      <c r="G17" t="str">
        <f>VLOOKUP(G3,'Thang đánh giá'!$C$2:$D$27,2,FALSE)</f>
        <v>(0,2846; 0,3795; 0,3795)</v>
      </c>
      <c r="H17" t="str">
        <f>VLOOKUP(H3,'Thang đánh giá'!$C$2:$D$27,2,FALSE)</f>
        <v>(0,251; 0,3347; 0,3347)</v>
      </c>
      <c r="I17" t="str">
        <f>VLOOKUP(I3,'Thang đánh giá'!$C$2:$D$27,2,FALSE)</f>
        <v>(0; 0; 0,0707)</v>
      </c>
      <c r="J17" t="str">
        <f>VLOOKUP(J3,'Thang đánh giá'!$C$2:$D$27,2,FALSE)</f>
        <v>(0; 0,0707; 0,1414)</v>
      </c>
      <c r="K17" t="str">
        <f>VLOOKUP(K3,'Thang đánh giá'!$C$2:$D$27,2,FALSE)</f>
        <v>(0,251; 0,3347; 0,3347)</v>
      </c>
      <c r="L17" t="str">
        <f>VLOOKUP(L3,'Thang đánh giá'!$C$2:$D$27,2,FALSE)</f>
        <v>(0,1673; 0,251; 0,3347)</v>
      </c>
      <c r="M17" t="str">
        <f>VLOOKUP(M3,'Thang đánh giá'!$C$2:$D$27,2,FALSE)</f>
        <v>(0,1897; 0,2846; 0,3795)</v>
      </c>
    </row>
    <row r="18" spans="1:13" x14ac:dyDescent="0.3">
      <c r="A18" t="s">
        <v>2</v>
      </c>
      <c r="B18" t="str">
        <f>VLOOKUP(B4,'Thang đánh giá'!$C$2:$D$27,2,FALSE)</f>
        <v>(0; 0; 0,0548)</v>
      </c>
      <c r="C18" t="str">
        <f>VLOOKUP(C4,'Thang đánh giá'!$C$2:$D$27,2,FALSE)</f>
        <v>(0; 0; 0,0707)</v>
      </c>
      <c r="D18" t="str">
        <f>VLOOKUP(D4,'Thang đánh giá'!$C$2:$D$27,2,FALSE)</f>
        <v>(0; 0; 0)</v>
      </c>
      <c r="E18" t="str">
        <f>VLOOKUP(E4,'Thang đánh giá'!$C$2:$D$27,2,FALSE)</f>
        <v>(0,0837; 0,1673; 0,251)</v>
      </c>
      <c r="F18" t="str">
        <f>VLOOKUP(F4,'Thang đánh giá'!$C$2:$D$27,2,FALSE)</f>
        <v>(0; 0,0548; 0,1095)</v>
      </c>
      <c r="G18" t="str">
        <f>VLOOKUP(G4,'Thang đánh giá'!$C$2:$D$27,2,FALSE)</f>
        <v>(0,0837; 0,1673; 0,251)</v>
      </c>
      <c r="H18" t="str">
        <f>VLOOKUP(H4,'Thang đánh giá'!$C$2:$D$27,2,FALSE)</f>
        <v>(0; 0,0707; 0,1414)</v>
      </c>
      <c r="I18" t="str">
        <f>VLOOKUP(I4,'Thang đánh giá'!$C$2:$D$27,2,FALSE)</f>
        <v>(0; 0; 0,0707)</v>
      </c>
      <c r="J18" t="str">
        <f>VLOOKUP(J4,'Thang đánh giá'!$C$2:$D$27,2,FALSE)</f>
        <v>(0,2846; 0,3795; 0,3795)</v>
      </c>
      <c r="K18" t="str">
        <f>VLOOKUP(K4,'Thang đánh giá'!$C$2:$D$27,2,FALSE)</f>
        <v>(0,2846; 0,3795; 0,3795)</v>
      </c>
      <c r="L18" t="str">
        <f>VLOOKUP(L4,'Thang đánh giá'!$C$2:$D$27,2,FALSE)</f>
        <v>(0,1673; 0,251; 0,3347)</v>
      </c>
      <c r="M18" t="str">
        <f>VLOOKUP(M4,'Thang đánh giá'!$C$2:$D$27,2,FALSE)</f>
        <v>(0,2846; 0,3795; 0,3795)</v>
      </c>
    </row>
    <row r="19" spans="1:13" x14ac:dyDescent="0.3">
      <c r="A19" t="s">
        <v>3</v>
      </c>
      <c r="B19" t="str">
        <f>VLOOKUP(B5,'Thang đánh giá'!$C$2:$D$27,2,FALSE)</f>
        <v>(0; 0; 0,0548)</v>
      </c>
      <c r="C19" t="str">
        <f>VLOOKUP(C5,'Thang đánh giá'!$C$2:$D$27,2,FALSE)</f>
        <v>(0; 0; 0,0707)</v>
      </c>
      <c r="D19" t="str">
        <f>VLOOKUP(D5,'Thang đánh giá'!$C$2:$D$27,2,FALSE)</f>
        <v>(0; 0,0707; 0,1414)</v>
      </c>
      <c r="E19" t="str">
        <f>VLOOKUP(E5,'Thang đánh giá'!$C$2:$D$27,2,FALSE)</f>
        <v>(0; 0; 0)</v>
      </c>
      <c r="F19" t="str">
        <f>VLOOKUP(F5,'Thang đánh giá'!$C$2:$D$27,2,FALSE)</f>
        <v>(0,1673; 0,251; 0,3347)</v>
      </c>
      <c r="G19" t="str">
        <f>VLOOKUP(G5,'Thang đánh giá'!$C$2:$D$27,2,FALSE)</f>
        <v>(0,0707; 0,1414; 0,2121)</v>
      </c>
      <c r="H19" t="str">
        <f>VLOOKUP(H5,'Thang đánh giá'!$C$2:$D$27,2,FALSE)</f>
        <v>(0,1673; 0,251; 0,3347)</v>
      </c>
      <c r="I19" t="str">
        <f>VLOOKUP(I5,'Thang đánh giá'!$C$2:$D$27,2,FALSE)</f>
        <v>(0; 0; 0,0707)</v>
      </c>
      <c r="J19" t="str">
        <f>VLOOKUP(J5,'Thang đánh giá'!$C$2:$D$27,2,FALSE)</f>
        <v>(0,2846; 0,3795; 0,3795)</v>
      </c>
      <c r="K19" t="str">
        <f>VLOOKUP(K5,'Thang đánh giá'!$C$2:$D$27,2,FALSE)</f>
        <v>(0; 0; 0,0707)</v>
      </c>
      <c r="L19" t="str">
        <f>VLOOKUP(L5,'Thang đánh giá'!$C$2:$D$27,2,FALSE)</f>
        <v>(0,1897; 0,2846; 0,3795)</v>
      </c>
      <c r="M19" t="str">
        <f>VLOOKUP(M5,'Thang đánh giá'!$C$2:$D$27,2,FALSE)</f>
        <v>(0; 0,0707; 0,1414)</v>
      </c>
    </row>
    <row r="20" spans="1:13" x14ac:dyDescent="0.3">
      <c r="A20" t="s">
        <v>4</v>
      </c>
      <c r="B20" t="str">
        <f>VLOOKUP(B6,'Thang đánh giá'!$C$2:$D$27,2,FALSE)</f>
        <v>(0; 0; 0,0548)</v>
      </c>
      <c r="C20" t="str">
        <f>VLOOKUP(C6,'Thang đánh giá'!$C$2:$D$27,2,FALSE)</f>
        <v>(0; 0; 0,0548)</v>
      </c>
      <c r="D20" t="str">
        <f>VLOOKUP(D6,'Thang đánh giá'!$C$2:$D$27,2,FALSE)</f>
        <v>(0; 0; 0,0548)</v>
      </c>
      <c r="E20" t="str">
        <f>VLOOKUP(E6,'Thang đánh giá'!$C$2:$D$27,2,FALSE)</f>
        <v>(0; 0,0707; 0,1414)</v>
      </c>
      <c r="F20" t="str">
        <f>VLOOKUP(F6,'Thang đánh giá'!$C$2:$D$27,2,FALSE)</f>
        <v>(0; 0; 0)</v>
      </c>
      <c r="G20" t="str">
        <f>VLOOKUP(G6,'Thang đánh giá'!$C$2:$D$27,2,FALSE)</f>
        <v>(0,2846; 0,3795; 0,3795)</v>
      </c>
      <c r="H20" t="str">
        <f>VLOOKUP(H6,'Thang đánh giá'!$C$2:$D$27,2,FALSE)</f>
        <v>(0; 0,0707; 0,1414)</v>
      </c>
      <c r="I20" t="str">
        <f>VLOOKUP(I6,'Thang đánh giá'!$C$2:$D$27,2,FALSE)</f>
        <v>(0; 0; 0,0707)</v>
      </c>
      <c r="J20" t="str">
        <f>VLOOKUP(J6,'Thang đánh giá'!$C$2:$D$27,2,FALSE)</f>
        <v>(0,251; 0,3347; 0,3347)</v>
      </c>
      <c r="K20" t="str">
        <f>VLOOKUP(K6,'Thang đánh giá'!$C$2:$D$27,2,FALSE)</f>
        <v>(0,251; 0,3347; 0,3347)</v>
      </c>
      <c r="L20" t="str">
        <f>VLOOKUP(L6,'Thang đánh giá'!$C$2:$D$27,2,FALSE)</f>
        <v>(0; 0; 0,0707)</v>
      </c>
      <c r="M20" t="str">
        <f>VLOOKUP(M6,'Thang đánh giá'!$C$2:$D$27,2,FALSE)</f>
        <v>(0; 0,0707; 0,1414)</v>
      </c>
    </row>
    <row r="21" spans="1:13" x14ac:dyDescent="0.3">
      <c r="A21" t="s">
        <v>5</v>
      </c>
      <c r="B21" t="str">
        <f>VLOOKUP(B7,'Thang đánh giá'!$C$2:$D$27,2,FALSE)</f>
        <v>(0; 0; 0,0707)</v>
      </c>
      <c r="C21" t="str">
        <f>VLOOKUP(C7,'Thang đánh giá'!$C$2:$D$27,2,FALSE)</f>
        <v>(0; 0,0548; 0,1095)</v>
      </c>
      <c r="D21" t="str">
        <f>VLOOKUP(D7,'Thang đánh giá'!$C$2:$D$27,2,FALSE)</f>
        <v>(0; 0,0707; 0,1414)</v>
      </c>
      <c r="E21" t="str">
        <f>VLOOKUP(E7,'Thang đánh giá'!$C$2:$D$27,2,FALSE)</f>
        <v>(0; 0,0548; 0,1095)</v>
      </c>
      <c r="F21" t="str">
        <f>VLOOKUP(F7,'Thang đánh giá'!$C$2:$D$27,2,FALSE)</f>
        <v>(0; 0; 0,0707)</v>
      </c>
      <c r="G21" t="str">
        <f>VLOOKUP(G7,'Thang đánh giá'!$C$2:$D$27,2,FALSE)</f>
        <v>(0; 0; 0)</v>
      </c>
      <c r="H21" t="str">
        <f>VLOOKUP(H7,'Thang đánh giá'!$C$2:$D$27,2,FALSE)</f>
        <v>(0; 0; 0,0548)</v>
      </c>
      <c r="I21" t="str">
        <f>VLOOKUP(I7,'Thang đánh giá'!$C$2:$D$27,2,FALSE)</f>
        <v>(0; 0; 0,0837)</v>
      </c>
      <c r="J21" t="str">
        <f>VLOOKUP(J7,'Thang đánh giá'!$C$2:$D$27,2,FALSE)</f>
        <v>(0,2846; 0,3795; 0,3795)</v>
      </c>
      <c r="K21" t="str">
        <f>VLOOKUP(K7,'Thang đánh giá'!$C$2:$D$27,2,FALSE)</f>
        <v>(0; 0,0707; 0,1414)</v>
      </c>
      <c r="L21" t="str">
        <f>VLOOKUP(L7,'Thang đánh giá'!$C$2:$D$27,2,FALSE)</f>
        <v>(0,0707; 0,1414; 0,2121)</v>
      </c>
      <c r="M21" t="str">
        <f>VLOOKUP(M7,'Thang đánh giá'!$C$2:$D$27,2,FALSE)</f>
        <v>(0; 0,0548; 0,1095)</v>
      </c>
    </row>
    <row r="22" spans="1:13" x14ac:dyDescent="0.3">
      <c r="A22" t="s">
        <v>6</v>
      </c>
      <c r="B22" t="str">
        <f>VLOOKUP(B8,'Thang đánh giá'!$C$2:$D$27,2,FALSE)</f>
        <v>(0; 0,0707; 0,1414)</v>
      </c>
      <c r="C22" t="str">
        <f>VLOOKUP(C8,'Thang đánh giá'!$C$2:$D$27,2,FALSE)</f>
        <v>(0; 0; 0,0548)</v>
      </c>
      <c r="D22" t="str">
        <f>VLOOKUP(D8,'Thang đánh giá'!$C$2:$D$27,2,FALSE)</f>
        <v>(0; 0; 0,0316)</v>
      </c>
      <c r="E22" t="str">
        <f>VLOOKUP(E8,'Thang đánh giá'!$C$2:$D$27,2,FALSE)</f>
        <v>(0; 0; 0,0707)</v>
      </c>
      <c r="F22" t="str">
        <f>VLOOKUP(F8,'Thang đánh giá'!$C$2:$D$27,2,FALSE)</f>
        <v>(0; 0; 0,0707)</v>
      </c>
      <c r="G22" t="str">
        <f>VLOOKUP(G8,'Thang đánh giá'!$C$2:$D$27,2,FALSE)</f>
        <v>(0; 0; 0,0707)</v>
      </c>
      <c r="H22" t="str">
        <f>VLOOKUP(H8,'Thang đánh giá'!$C$2:$D$27,2,FALSE)</f>
        <v>(0; 0; 0)</v>
      </c>
      <c r="I22" t="str">
        <f>VLOOKUP(I8,'Thang đánh giá'!$C$2:$D$27,2,FALSE)</f>
        <v>(0; 0; 0,0707)</v>
      </c>
      <c r="J22" t="str">
        <f>VLOOKUP(J8,'Thang đánh giá'!$C$2:$D$27,2,FALSE)</f>
        <v>(0; 0; 0,0707)</v>
      </c>
      <c r="K22" t="str">
        <f>VLOOKUP(K8,'Thang đánh giá'!$C$2:$D$27,2,FALSE)</f>
        <v>(0; 0; 0,0548)</v>
      </c>
      <c r="L22" t="str">
        <f>VLOOKUP(L8,'Thang đánh giá'!$C$2:$D$27,2,FALSE)</f>
        <v>(0; 0,0707; 0,1414)</v>
      </c>
      <c r="M22" t="str">
        <f>VLOOKUP(M8,'Thang đánh giá'!$C$2:$D$27,2,FALSE)</f>
        <v>(0; 0; 0,0548)</v>
      </c>
    </row>
    <row r="23" spans="1:13" x14ac:dyDescent="0.3">
      <c r="A23" t="s">
        <v>7</v>
      </c>
      <c r="B23" t="str">
        <f>VLOOKUP(B9,'Thang đánh giá'!$C$2:$D$27,2,FALSE)</f>
        <v>(0; 0; 0,0707)</v>
      </c>
      <c r="C23" t="str">
        <f>VLOOKUP(C9,'Thang đánh giá'!$C$2:$D$27,2,FALSE)</f>
        <v>(0; 0; 0,0316)</v>
      </c>
      <c r="D23" t="str">
        <f>VLOOKUP(D9,'Thang đánh giá'!$C$2:$D$27,2,FALSE)</f>
        <v>(0; 0,0548; 0,1095)</v>
      </c>
      <c r="E23" t="str">
        <f>VLOOKUP(E9,'Thang đánh giá'!$C$2:$D$27,2,FALSE)</f>
        <v>(0,0707; 0,1414; 0,2121)</v>
      </c>
      <c r="F23" t="str">
        <f>VLOOKUP(F9,'Thang đánh giá'!$C$2:$D$27,2,FALSE)</f>
        <v>(0; 0,0837; 0,1673)</v>
      </c>
      <c r="G23" t="str">
        <f>VLOOKUP(G9,'Thang đánh giá'!$C$2:$D$27,2,FALSE)</f>
        <v>(0; 0,0837; 0,1673)</v>
      </c>
      <c r="H23" t="str">
        <f>VLOOKUP(H9,'Thang đánh giá'!$C$2:$D$27,2,FALSE)</f>
        <v>(0; 0; 0,0548)</v>
      </c>
      <c r="I23" t="str">
        <f>VLOOKUP(I9,'Thang đánh giá'!$C$2:$D$27,2,FALSE)</f>
        <v>(0; 0; 0)</v>
      </c>
      <c r="J23" t="str">
        <f>VLOOKUP(J9,'Thang đánh giá'!$C$2:$D$27,2,FALSE)</f>
        <v>(0; 0,0707; 0,1414)</v>
      </c>
      <c r="K23" t="str">
        <f>VLOOKUP(K9,'Thang đánh giá'!$C$2:$D$27,2,FALSE)</f>
        <v>(0,251; 0,3347; 0,3347)</v>
      </c>
      <c r="L23" t="str">
        <f>VLOOKUP(L9,'Thang đánh giá'!$C$2:$D$27,2,FALSE)</f>
        <v>(0,1897; 0,2846; 0,3795)</v>
      </c>
      <c r="M23" t="str">
        <f>VLOOKUP(M9,'Thang đánh giá'!$C$2:$D$27,2,FALSE)</f>
        <v>(0,2846; 0,3795; 0,3795)</v>
      </c>
    </row>
    <row r="24" spans="1:13" x14ac:dyDescent="0.3">
      <c r="A24" t="s">
        <v>8</v>
      </c>
      <c r="B24" t="str">
        <f>VLOOKUP(B10,'Thang đánh giá'!$C$2:$D$27,2,FALSE)</f>
        <v>(0,1673; 0,251; 0,3347)</v>
      </c>
      <c r="C24" t="str">
        <f>VLOOKUP(C10,'Thang đánh giá'!$C$2:$D$27,2,FALSE)</f>
        <v>(0; 0; 0,0837)</v>
      </c>
      <c r="D24" t="str">
        <f>VLOOKUP(D10,'Thang đánh giá'!$C$2:$D$27,2,FALSE)</f>
        <v>(0; 0; 0,0548)</v>
      </c>
      <c r="E24" t="str">
        <f>VLOOKUP(E10,'Thang đánh giá'!$C$2:$D$27,2,FALSE)</f>
        <v>(0,0837; 0,1673; 0,251)</v>
      </c>
      <c r="F24" t="str">
        <f>VLOOKUP(F10,'Thang đánh giá'!$C$2:$D$27,2,FALSE)</f>
        <v>(0; 0,0548; 0,1095)</v>
      </c>
      <c r="G24" t="str">
        <f>VLOOKUP(G10,'Thang đánh giá'!$C$2:$D$27,2,FALSE)</f>
        <v>(0; 0; 0,0707)</v>
      </c>
      <c r="H24" t="str">
        <f>VLOOKUP(H10,'Thang đánh giá'!$C$2:$D$27,2,FALSE)</f>
        <v>(0,2846; 0,3795; 0,3795)</v>
      </c>
      <c r="I24" t="str">
        <f>VLOOKUP(I10,'Thang đánh giá'!$C$2:$D$27,2,FALSE)</f>
        <v>(0; 0,0837; 0,1673)</v>
      </c>
      <c r="J24" t="str">
        <f>VLOOKUP(J10,'Thang đánh giá'!$C$2:$D$27,2,FALSE)</f>
        <v>(0; 0; 0)</v>
      </c>
      <c r="K24" t="str">
        <f>VLOOKUP(K10,'Thang đánh giá'!$C$2:$D$27,2,FALSE)</f>
        <v>(0,251; 0,3347; 0,3347)</v>
      </c>
      <c r="L24" t="str">
        <f>VLOOKUP(L10,'Thang đánh giá'!$C$2:$D$27,2,FALSE)</f>
        <v>(0,1673; 0,251; 0,3347)</v>
      </c>
      <c r="M24" t="str">
        <f>VLOOKUP(M10,'Thang đánh giá'!$C$2:$D$27,2,FALSE)</f>
        <v>(0,1897; 0,2846; 0,3795)</v>
      </c>
    </row>
    <row r="25" spans="1:13" x14ac:dyDescent="0.3">
      <c r="A25" t="s">
        <v>9</v>
      </c>
      <c r="B25" t="str">
        <f>VLOOKUP(B11,'Thang đánh giá'!$C$2:$D$27,2,FALSE)</f>
        <v>(0; 0; 0,0548)</v>
      </c>
      <c r="C25" t="str">
        <f>VLOOKUP(C11,'Thang đánh giá'!$C$2:$D$27,2,FALSE)</f>
        <v>(0; 0,0707; 0,1414)</v>
      </c>
      <c r="D25" t="str">
        <f>VLOOKUP(D11,'Thang đánh giá'!$C$2:$D$27,2,FALSE)</f>
        <v>(0; 0,0707; 0,1414)</v>
      </c>
      <c r="E25" t="str">
        <f>VLOOKUP(E11,'Thang đánh giá'!$C$2:$D$27,2,FALSE)</f>
        <v>(0; 0,0707; 0,1414)</v>
      </c>
      <c r="F25" t="str">
        <f>VLOOKUP(F11,'Thang đánh giá'!$C$2:$D$27,2,FALSE)</f>
        <v>(0; 0,0548; 0,1095)</v>
      </c>
      <c r="G25" t="str">
        <f>VLOOKUP(G11,'Thang đánh giá'!$C$2:$D$27,2,FALSE)</f>
        <v>(0; 0; 0,0707)</v>
      </c>
      <c r="H25" t="str">
        <f>VLOOKUP(H11,'Thang đánh giá'!$C$2:$D$27,2,FALSE)</f>
        <v>(0; 0; 0,0707)</v>
      </c>
      <c r="I25" t="str">
        <f>VLOOKUP(I11,'Thang đánh giá'!$C$2:$D$27,2,FALSE)</f>
        <v>(0; 0; 0,0316)</v>
      </c>
      <c r="J25" t="str">
        <f>VLOOKUP(J11,'Thang đánh giá'!$C$2:$D$27,2,FALSE)</f>
        <v>(0; 0,0707; 0,1414)</v>
      </c>
      <c r="K25" t="str">
        <f>VLOOKUP(K11,'Thang đánh giá'!$C$2:$D$27,2,FALSE)</f>
        <v>(0; 0; 0)</v>
      </c>
      <c r="L25" t="str">
        <f>VLOOKUP(L11,'Thang đánh giá'!$C$2:$D$27,2,FALSE)</f>
        <v>(0; 0,0707; 0,1414)</v>
      </c>
      <c r="M25" t="str">
        <f>VLOOKUP(M11,'Thang đánh giá'!$C$2:$D$27,2,FALSE)</f>
        <v>(0; 0; 0,0707)</v>
      </c>
    </row>
    <row r="26" spans="1:13" x14ac:dyDescent="0.3">
      <c r="A26" t="s">
        <v>10</v>
      </c>
      <c r="B26" t="str">
        <f>VLOOKUP(B12,'Thang đánh giá'!$C$2:$D$27,2,FALSE)</f>
        <v>(0; 0; 0,0707)</v>
      </c>
      <c r="C26" t="str">
        <f>VLOOKUP(C12,'Thang đánh giá'!$C$2:$D$27,2,FALSE)</f>
        <v>(0,0707; 0,1414; 0,2121)</v>
      </c>
      <c r="D26" t="str">
        <f>VLOOKUP(D12,'Thang đánh giá'!$C$2:$D$27,2,FALSE)</f>
        <v>(0; 0,0707; 0,1414)</v>
      </c>
      <c r="E26" t="str">
        <f>VLOOKUP(E12,'Thang đánh giá'!$C$2:$D$27,2,FALSE)</f>
        <v>(0; 0,0707; 0,1414)</v>
      </c>
      <c r="F26" t="str">
        <f>VLOOKUP(F12,'Thang đánh giá'!$C$2:$D$27,2,FALSE)</f>
        <v>(0; 0,0707; 0,1414)</v>
      </c>
      <c r="G26" t="str">
        <f>VLOOKUP(G12,'Thang đánh giá'!$C$2:$D$27,2,FALSE)</f>
        <v>(0; 0; 0,0707)</v>
      </c>
      <c r="H26" t="str">
        <f>VLOOKUP(H12,'Thang đánh giá'!$C$2:$D$27,2,FALSE)</f>
        <v>(0,0707; 0,1414; 0,2121)</v>
      </c>
      <c r="I26" t="str">
        <f>VLOOKUP(I12,'Thang đánh giá'!$C$2:$D$27,2,FALSE)</f>
        <v>(0; 0; 0,0837)</v>
      </c>
      <c r="J26" t="str">
        <f>VLOOKUP(J12,'Thang đánh giá'!$C$2:$D$27,2,FALSE)</f>
        <v>(0,0707; 0,1414; 0,2121)</v>
      </c>
      <c r="K26" t="str">
        <f>VLOOKUP(K12,'Thang đánh giá'!$C$2:$D$27,2,FALSE)</f>
        <v>(0; 0,0548; 0,1095)</v>
      </c>
      <c r="L26" t="str">
        <f>VLOOKUP(L12,'Thang đánh giá'!$C$2:$D$27,2,FALSE)</f>
        <v>(0; 0; 0)</v>
      </c>
      <c r="M26" t="str">
        <f>VLOOKUP(M12,'Thang đánh giá'!$C$2:$D$27,2,FALSE)</f>
        <v>(0,2846; 0,3795; 0,3795)</v>
      </c>
    </row>
    <row r="27" spans="1:13" x14ac:dyDescent="0.3">
      <c r="A27" t="s">
        <v>11</v>
      </c>
      <c r="B27" t="str">
        <f>VLOOKUP(B13,'Thang đánh giá'!$C$2:$D$27,2,FALSE)</f>
        <v>(0; 0; 0,0316)</v>
      </c>
      <c r="C27" t="str">
        <f>VLOOKUP(C13,'Thang đánh giá'!$C$2:$D$27,2,FALSE)</f>
        <v>(0; 0,0837; 0,1673)</v>
      </c>
      <c r="D27" t="str">
        <f>VLOOKUP(D13,'Thang đánh giá'!$C$2:$D$27,2,FALSE)</f>
        <v>(0; 0,0548; 0,1095)</v>
      </c>
      <c r="E27" t="str">
        <f>VLOOKUP(E13,'Thang đánh giá'!$C$2:$D$27,2,FALSE)</f>
        <v>(0,0837; 0,1673; 0,251)</v>
      </c>
      <c r="F27" t="str">
        <f>VLOOKUP(F13,'Thang đánh giá'!$C$2:$D$27,2,FALSE)</f>
        <v>(0; 0; 0,0707)</v>
      </c>
      <c r="G27" t="str">
        <f>VLOOKUP(G13,'Thang đánh giá'!$C$2:$D$27,2,FALSE)</f>
        <v>(0; 0,0316; 0,0632)</v>
      </c>
      <c r="H27" t="str">
        <f>VLOOKUP(H13,'Thang đánh giá'!$C$2:$D$27,2,FALSE)</f>
        <v>(0; 0,0707; 0,1414)</v>
      </c>
      <c r="I27" t="str">
        <f>VLOOKUP(I13,'Thang đánh giá'!$C$2:$D$27,2,FALSE)</f>
        <v>(0; 0; 0,0548)</v>
      </c>
      <c r="J27" t="str">
        <f>VLOOKUP(J13,'Thang đánh giá'!$C$2:$D$27,2,FALSE)</f>
        <v>(0; 0; 0,0707)</v>
      </c>
      <c r="K27" t="str">
        <f>VLOOKUP(K13,'Thang đánh giá'!$C$2:$D$27,2,FALSE)</f>
        <v>(0; 0,0707; 0,1414)</v>
      </c>
      <c r="L27" t="str">
        <f>VLOOKUP(L13,'Thang đánh giá'!$C$2:$D$27,2,FALSE)</f>
        <v>(0,0707; 0,1414; 0,2121)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0.18970000000000001</v>
      </c>
      <c r="D30">
        <f t="shared" si="0"/>
        <v>0.18970000000000001</v>
      </c>
      <c r="E30">
        <f t="shared" si="0"/>
        <v>0</v>
      </c>
      <c r="F30">
        <f t="shared" si="0"/>
        <v>8.3699999999999997E-2</v>
      </c>
      <c r="G30">
        <f t="shared" si="0"/>
        <v>7.0699999999999999E-2</v>
      </c>
      <c r="H30">
        <f t="shared" si="0"/>
        <v>0</v>
      </c>
      <c r="I30">
        <f t="shared" si="0"/>
        <v>0</v>
      </c>
      <c r="J30">
        <f t="shared" si="0"/>
        <v>0.1673</v>
      </c>
      <c r="K30">
        <f t="shared" si="0"/>
        <v>0</v>
      </c>
      <c r="L30">
        <f t="shared" si="0"/>
        <v>0</v>
      </c>
      <c r="M30">
        <f t="shared" si="0"/>
        <v>7.0699999999999999E-2</v>
      </c>
    </row>
    <row r="31" spans="1:13" x14ac:dyDescent="0.3">
      <c r="A31" t="s">
        <v>1</v>
      </c>
      <c r="B31">
        <f t="shared" ref="B31:M41" si="1">_xlfn.NUMBERVALUE(MID(B17,2,FIND(";",B17,1)-2))</f>
        <v>7.0699999999999999E-2</v>
      </c>
      <c r="C31">
        <f t="shared" si="1"/>
        <v>0</v>
      </c>
      <c r="D31">
        <f t="shared" si="1"/>
        <v>0.251</v>
      </c>
      <c r="E31">
        <f t="shared" si="1"/>
        <v>0.28460000000000002</v>
      </c>
      <c r="F31">
        <f t="shared" si="1"/>
        <v>8.3699999999999997E-2</v>
      </c>
      <c r="G31">
        <f t="shared" si="1"/>
        <v>0.28460000000000002</v>
      </c>
      <c r="H31">
        <f t="shared" si="1"/>
        <v>0.251</v>
      </c>
      <c r="I31">
        <f t="shared" si="1"/>
        <v>0</v>
      </c>
      <c r="J31">
        <f t="shared" si="1"/>
        <v>0</v>
      </c>
      <c r="K31">
        <f t="shared" si="1"/>
        <v>0.251</v>
      </c>
      <c r="L31">
        <f t="shared" si="1"/>
        <v>0.1673</v>
      </c>
      <c r="M31">
        <f t="shared" si="1"/>
        <v>0.18970000000000001</v>
      </c>
    </row>
    <row r="32" spans="1:13" x14ac:dyDescent="0.3">
      <c r="A32" t="s">
        <v>2</v>
      </c>
      <c r="B32">
        <f t="shared" si="1"/>
        <v>0</v>
      </c>
      <c r="C32">
        <f t="shared" si="1"/>
        <v>0</v>
      </c>
      <c r="D32">
        <f t="shared" si="1"/>
        <v>0</v>
      </c>
      <c r="E32">
        <f t="shared" si="1"/>
        <v>8.3699999999999997E-2</v>
      </c>
      <c r="F32">
        <f t="shared" si="1"/>
        <v>0</v>
      </c>
      <c r="G32">
        <f t="shared" si="1"/>
        <v>8.3699999999999997E-2</v>
      </c>
      <c r="H32">
        <f t="shared" si="1"/>
        <v>0</v>
      </c>
      <c r="I32">
        <f t="shared" si="1"/>
        <v>0</v>
      </c>
      <c r="J32">
        <f t="shared" si="1"/>
        <v>0.28460000000000002</v>
      </c>
      <c r="K32">
        <f t="shared" si="1"/>
        <v>0.28460000000000002</v>
      </c>
      <c r="L32">
        <f t="shared" si="1"/>
        <v>0.1673</v>
      </c>
      <c r="M32">
        <f t="shared" si="1"/>
        <v>0.28460000000000002</v>
      </c>
    </row>
    <row r="33" spans="1:13" x14ac:dyDescent="0.3">
      <c r="A33" t="s">
        <v>3</v>
      </c>
      <c r="B33">
        <f t="shared" si="1"/>
        <v>0</v>
      </c>
      <c r="C33">
        <f t="shared" si="1"/>
        <v>0</v>
      </c>
      <c r="D33">
        <f t="shared" si="1"/>
        <v>0</v>
      </c>
      <c r="E33">
        <f t="shared" si="1"/>
        <v>0</v>
      </c>
      <c r="F33">
        <f t="shared" si="1"/>
        <v>0.1673</v>
      </c>
      <c r="G33">
        <f t="shared" si="1"/>
        <v>7.0699999999999999E-2</v>
      </c>
      <c r="H33">
        <f t="shared" si="1"/>
        <v>0.1673</v>
      </c>
      <c r="I33">
        <f t="shared" si="1"/>
        <v>0</v>
      </c>
      <c r="J33">
        <f t="shared" si="1"/>
        <v>0.28460000000000002</v>
      </c>
      <c r="K33">
        <f t="shared" si="1"/>
        <v>0</v>
      </c>
      <c r="L33">
        <f t="shared" si="1"/>
        <v>0.18970000000000001</v>
      </c>
      <c r="M33">
        <f t="shared" si="1"/>
        <v>0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0</v>
      </c>
      <c r="D34">
        <f t="shared" si="2"/>
        <v>0</v>
      </c>
      <c r="E34">
        <f t="shared" si="2"/>
        <v>0</v>
      </c>
      <c r="F34">
        <f t="shared" si="2"/>
        <v>0</v>
      </c>
      <c r="G34">
        <f t="shared" si="2"/>
        <v>0.28460000000000002</v>
      </c>
      <c r="H34">
        <f t="shared" si="2"/>
        <v>0</v>
      </c>
      <c r="I34">
        <f t="shared" si="2"/>
        <v>0</v>
      </c>
      <c r="J34">
        <f t="shared" si="2"/>
        <v>0.251</v>
      </c>
      <c r="K34">
        <f t="shared" si="2"/>
        <v>0.251</v>
      </c>
      <c r="L34">
        <f t="shared" si="2"/>
        <v>0</v>
      </c>
      <c r="M34">
        <f t="shared" si="2"/>
        <v>0</v>
      </c>
    </row>
    <row r="35" spans="1:13" x14ac:dyDescent="0.3">
      <c r="A35" t="s">
        <v>5</v>
      </c>
      <c r="B35">
        <f t="shared" si="1"/>
        <v>0</v>
      </c>
      <c r="C35">
        <f t="shared" si="1"/>
        <v>0</v>
      </c>
      <c r="D35">
        <f t="shared" si="1"/>
        <v>0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0</v>
      </c>
      <c r="J35">
        <f t="shared" si="1"/>
        <v>0.28460000000000002</v>
      </c>
      <c r="K35">
        <f t="shared" si="1"/>
        <v>0</v>
      </c>
      <c r="L35">
        <f t="shared" si="1"/>
        <v>7.0699999999999999E-2</v>
      </c>
      <c r="M35">
        <f t="shared" si="1"/>
        <v>0</v>
      </c>
    </row>
    <row r="36" spans="1:13" x14ac:dyDescent="0.3">
      <c r="A36" t="s">
        <v>6</v>
      </c>
      <c r="B36">
        <f t="shared" si="1"/>
        <v>0</v>
      </c>
      <c r="C36">
        <f t="shared" si="1"/>
        <v>0</v>
      </c>
      <c r="D36">
        <f t="shared" si="1"/>
        <v>0</v>
      </c>
      <c r="E36">
        <f t="shared" si="1"/>
        <v>0</v>
      </c>
      <c r="F36">
        <f t="shared" si="1"/>
        <v>0</v>
      </c>
      <c r="G36">
        <f t="shared" si="1"/>
        <v>0</v>
      </c>
      <c r="H36">
        <f t="shared" si="1"/>
        <v>0</v>
      </c>
      <c r="I36">
        <f t="shared" si="1"/>
        <v>0</v>
      </c>
      <c r="J36">
        <f t="shared" si="1"/>
        <v>0</v>
      </c>
      <c r="K36">
        <f t="shared" si="1"/>
        <v>0</v>
      </c>
      <c r="L36">
        <f t="shared" si="1"/>
        <v>0</v>
      </c>
      <c r="M36">
        <f t="shared" si="1"/>
        <v>0</v>
      </c>
    </row>
    <row r="37" spans="1:13" x14ac:dyDescent="0.3">
      <c r="A37" t="s">
        <v>7</v>
      </c>
      <c r="B37">
        <f t="shared" si="1"/>
        <v>0</v>
      </c>
      <c r="C37">
        <f t="shared" si="1"/>
        <v>0</v>
      </c>
      <c r="D37">
        <f t="shared" si="1"/>
        <v>0</v>
      </c>
      <c r="E37">
        <f t="shared" si="1"/>
        <v>7.0699999999999999E-2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0</v>
      </c>
      <c r="K37">
        <f t="shared" si="1"/>
        <v>0.251</v>
      </c>
      <c r="L37">
        <f t="shared" si="1"/>
        <v>0.18970000000000001</v>
      </c>
      <c r="M37">
        <f t="shared" si="1"/>
        <v>0.28460000000000002</v>
      </c>
    </row>
    <row r="38" spans="1:13" x14ac:dyDescent="0.3">
      <c r="A38" t="s">
        <v>8</v>
      </c>
      <c r="B38">
        <f t="shared" si="1"/>
        <v>0.1673</v>
      </c>
      <c r="C38">
        <f t="shared" si="1"/>
        <v>0</v>
      </c>
      <c r="D38">
        <f t="shared" si="1"/>
        <v>0</v>
      </c>
      <c r="E38">
        <f t="shared" si="1"/>
        <v>8.3699999999999997E-2</v>
      </c>
      <c r="F38">
        <f t="shared" si="1"/>
        <v>0</v>
      </c>
      <c r="G38">
        <f t="shared" si="1"/>
        <v>0</v>
      </c>
      <c r="H38">
        <f t="shared" si="1"/>
        <v>0.28460000000000002</v>
      </c>
      <c r="I38">
        <f t="shared" si="1"/>
        <v>0</v>
      </c>
      <c r="J38">
        <f t="shared" si="1"/>
        <v>0</v>
      </c>
      <c r="K38">
        <f t="shared" si="1"/>
        <v>0.251</v>
      </c>
      <c r="L38">
        <f t="shared" si="1"/>
        <v>0.1673</v>
      </c>
      <c r="M38">
        <f t="shared" si="1"/>
        <v>0.18970000000000001</v>
      </c>
    </row>
    <row r="39" spans="1:13" x14ac:dyDescent="0.3">
      <c r="A39" t="s">
        <v>9</v>
      </c>
      <c r="B39">
        <f t="shared" si="1"/>
        <v>0</v>
      </c>
      <c r="C39">
        <f t="shared" si="1"/>
        <v>0</v>
      </c>
      <c r="D39">
        <f t="shared" si="1"/>
        <v>0</v>
      </c>
      <c r="E39">
        <f t="shared" si="1"/>
        <v>0</v>
      </c>
      <c r="F39">
        <f t="shared" si="1"/>
        <v>0</v>
      </c>
      <c r="G39">
        <f t="shared" si="1"/>
        <v>0</v>
      </c>
      <c r="H39">
        <f t="shared" si="1"/>
        <v>0</v>
      </c>
      <c r="I39">
        <f t="shared" si="1"/>
        <v>0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0</v>
      </c>
    </row>
    <row r="40" spans="1:13" x14ac:dyDescent="0.3">
      <c r="A40" t="s">
        <v>10</v>
      </c>
      <c r="B40">
        <f t="shared" si="1"/>
        <v>0</v>
      </c>
      <c r="C40">
        <f t="shared" si="1"/>
        <v>7.0699999999999999E-2</v>
      </c>
      <c r="D40">
        <f t="shared" si="1"/>
        <v>0</v>
      </c>
      <c r="E40">
        <f t="shared" si="1"/>
        <v>0</v>
      </c>
      <c r="F40">
        <f t="shared" si="1"/>
        <v>0</v>
      </c>
      <c r="G40">
        <f t="shared" si="1"/>
        <v>0</v>
      </c>
      <c r="H40">
        <f t="shared" si="1"/>
        <v>7.0699999999999999E-2</v>
      </c>
      <c r="I40">
        <f t="shared" si="1"/>
        <v>0</v>
      </c>
      <c r="J40">
        <f t="shared" si="1"/>
        <v>7.0699999999999999E-2</v>
      </c>
      <c r="K40">
        <f t="shared" si="1"/>
        <v>0</v>
      </c>
      <c r="L40">
        <f t="shared" si="1"/>
        <v>0</v>
      </c>
      <c r="M40">
        <f t="shared" si="1"/>
        <v>0.28460000000000002</v>
      </c>
    </row>
    <row r="41" spans="1:13" x14ac:dyDescent="0.3">
      <c r="A41" t="s">
        <v>11</v>
      </c>
      <c r="B41">
        <f t="shared" si="1"/>
        <v>0</v>
      </c>
      <c r="C41">
        <f t="shared" si="1"/>
        <v>0</v>
      </c>
      <c r="D41">
        <f t="shared" si="1"/>
        <v>0</v>
      </c>
      <c r="E41">
        <f t="shared" si="1"/>
        <v>8.3699999999999997E-2</v>
      </c>
      <c r="F41">
        <f t="shared" si="1"/>
        <v>0</v>
      </c>
      <c r="G41">
        <f t="shared" si="1"/>
        <v>0</v>
      </c>
      <c r="H41">
        <f t="shared" si="1"/>
        <v>0</v>
      </c>
      <c r="I41">
        <f t="shared" si="1"/>
        <v>0</v>
      </c>
      <c r="J41">
        <f t="shared" si="1"/>
        <v>0</v>
      </c>
      <c r="K41">
        <f t="shared" si="1"/>
        <v>0</v>
      </c>
      <c r="L41">
        <f t="shared" si="1"/>
        <v>7.0699999999999999E-2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0.28460000000000002</v>
      </c>
      <c r="D44">
        <f t="shared" si="3"/>
        <v>0.28460000000000002</v>
      </c>
      <c r="E44">
        <f t="shared" si="3"/>
        <v>0</v>
      </c>
      <c r="F44">
        <f t="shared" si="3"/>
        <v>0.1673</v>
      </c>
      <c r="G44">
        <f t="shared" si="3"/>
        <v>0.1414</v>
      </c>
      <c r="H44">
        <f t="shared" si="3"/>
        <v>8.3699999999999997E-2</v>
      </c>
      <c r="I44">
        <f t="shared" si="3"/>
        <v>0</v>
      </c>
      <c r="J44">
        <f t="shared" si="3"/>
        <v>0.251</v>
      </c>
      <c r="K44">
        <f t="shared" si="3"/>
        <v>0</v>
      </c>
      <c r="L44">
        <f t="shared" si="3"/>
        <v>7.0699999999999999E-2</v>
      </c>
      <c r="M44">
        <f t="shared" si="3"/>
        <v>0.1414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0.1414</v>
      </c>
      <c r="C45">
        <f t="shared" si="4"/>
        <v>0</v>
      </c>
      <c r="D45">
        <f t="shared" si="4"/>
        <v>0.3347</v>
      </c>
      <c r="E45">
        <f t="shared" si="4"/>
        <v>0.3795</v>
      </c>
      <c r="F45">
        <f t="shared" si="4"/>
        <v>0.1673</v>
      </c>
      <c r="G45">
        <f t="shared" si="4"/>
        <v>0.3795</v>
      </c>
      <c r="H45">
        <f t="shared" si="4"/>
        <v>0.3347</v>
      </c>
      <c r="I45">
        <f t="shared" si="4"/>
        <v>0</v>
      </c>
      <c r="J45">
        <f t="shared" si="4"/>
        <v>7.0699999999999999E-2</v>
      </c>
      <c r="K45">
        <f t="shared" si="4"/>
        <v>0.3347</v>
      </c>
      <c r="L45">
        <f t="shared" si="4"/>
        <v>0.251</v>
      </c>
      <c r="M45">
        <f t="shared" si="4"/>
        <v>0.28460000000000002</v>
      </c>
    </row>
    <row r="46" spans="1:13" x14ac:dyDescent="0.3">
      <c r="A46" t="s">
        <v>2</v>
      </c>
      <c r="B46">
        <f t="shared" si="4"/>
        <v>0</v>
      </c>
      <c r="C46">
        <f t="shared" si="4"/>
        <v>0</v>
      </c>
      <c r="D46">
        <f t="shared" si="4"/>
        <v>0</v>
      </c>
      <c r="E46">
        <f t="shared" si="4"/>
        <v>0.1673</v>
      </c>
      <c r="F46">
        <f t="shared" si="4"/>
        <v>5.4800000000000001E-2</v>
      </c>
      <c r="G46">
        <f t="shared" si="4"/>
        <v>0.1673</v>
      </c>
      <c r="H46">
        <f t="shared" si="4"/>
        <v>7.0699999999999999E-2</v>
      </c>
      <c r="I46">
        <f t="shared" si="4"/>
        <v>0</v>
      </c>
      <c r="J46">
        <f t="shared" si="4"/>
        <v>0.3795</v>
      </c>
      <c r="K46">
        <f t="shared" si="4"/>
        <v>0.3795</v>
      </c>
      <c r="L46">
        <f t="shared" si="4"/>
        <v>0.251</v>
      </c>
      <c r="M46">
        <f t="shared" si="4"/>
        <v>0.3795</v>
      </c>
    </row>
    <row r="47" spans="1:13" x14ac:dyDescent="0.3">
      <c r="A47" t="s">
        <v>3</v>
      </c>
      <c r="B47">
        <f t="shared" si="4"/>
        <v>0</v>
      </c>
      <c r="C47">
        <f t="shared" si="4"/>
        <v>0</v>
      </c>
      <c r="D47">
        <f t="shared" si="4"/>
        <v>7.0699999999999999E-2</v>
      </c>
      <c r="E47">
        <f t="shared" si="4"/>
        <v>0</v>
      </c>
      <c r="F47">
        <f t="shared" si="4"/>
        <v>0.251</v>
      </c>
      <c r="G47">
        <f t="shared" si="4"/>
        <v>0.1414</v>
      </c>
      <c r="H47">
        <f t="shared" si="4"/>
        <v>0.251</v>
      </c>
      <c r="I47">
        <f t="shared" si="4"/>
        <v>0</v>
      </c>
      <c r="J47">
        <f t="shared" si="4"/>
        <v>0.3795</v>
      </c>
      <c r="K47">
        <f t="shared" si="4"/>
        <v>0</v>
      </c>
      <c r="L47">
        <f t="shared" si="4"/>
        <v>0.28460000000000002</v>
      </c>
      <c r="M47">
        <f t="shared" si="4"/>
        <v>7.0699999999999999E-2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0</v>
      </c>
      <c r="C48">
        <f t="shared" si="5"/>
        <v>0</v>
      </c>
      <c r="D48">
        <f t="shared" si="5"/>
        <v>0</v>
      </c>
      <c r="E48">
        <f t="shared" si="5"/>
        <v>7.0699999999999999E-2</v>
      </c>
      <c r="F48">
        <f t="shared" si="5"/>
        <v>0</v>
      </c>
      <c r="G48">
        <f t="shared" si="5"/>
        <v>0.3795</v>
      </c>
      <c r="H48">
        <f t="shared" si="5"/>
        <v>7.0699999999999999E-2</v>
      </c>
      <c r="I48">
        <f t="shared" si="5"/>
        <v>0</v>
      </c>
      <c r="J48">
        <f t="shared" si="5"/>
        <v>0.3347</v>
      </c>
      <c r="K48">
        <f t="shared" si="5"/>
        <v>0.3347</v>
      </c>
      <c r="L48">
        <f t="shared" si="5"/>
        <v>0</v>
      </c>
      <c r="M48">
        <f t="shared" si="5"/>
        <v>7.0699999999999999E-2</v>
      </c>
    </row>
    <row r="49" spans="1:13" x14ac:dyDescent="0.3">
      <c r="A49" t="s">
        <v>5</v>
      </c>
      <c r="B49">
        <f t="shared" si="4"/>
        <v>0</v>
      </c>
      <c r="C49">
        <f t="shared" si="4"/>
        <v>5.4800000000000001E-2</v>
      </c>
      <c r="D49">
        <f t="shared" si="4"/>
        <v>7.0699999999999999E-2</v>
      </c>
      <c r="E49">
        <f t="shared" si="4"/>
        <v>5.4800000000000001E-2</v>
      </c>
      <c r="F49">
        <f t="shared" si="4"/>
        <v>0</v>
      </c>
      <c r="G49">
        <f t="shared" si="4"/>
        <v>0</v>
      </c>
      <c r="H49">
        <f t="shared" si="4"/>
        <v>0</v>
      </c>
      <c r="I49">
        <f t="shared" si="4"/>
        <v>0</v>
      </c>
      <c r="J49">
        <f t="shared" si="4"/>
        <v>0.3795</v>
      </c>
      <c r="K49">
        <f t="shared" si="4"/>
        <v>7.0699999999999999E-2</v>
      </c>
      <c r="L49">
        <f t="shared" si="4"/>
        <v>0.1414</v>
      </c>
      <c r="M49">
        <f t="shared" si="4"/>
        <v>5.4800000000000001E-2</v>
      </c>
    </row>
    <row r="50" spans="1:13" x14ac:dyDescent="0.3">
      <c r="A50" t="s">
        <v>6</v>
      </c>
      <c r="B50">
        <f t="shared" si="4"/>
        <v>7.0699999999999999E-2</v>
      </c>
      <c r="C50">
        <f t="shared" si="4"/>
        <v>0</v>
      </c>
      <c r="D50">
        <f t="shared" si="4"/>
        <v>0</v>
      </c>
      <c r="E50">
        <f t="shared" si="4"/>
        <v>0</v>
      </c>
      <c r="F50">
        <f t="shared" si="4"/>
        <v>0</v>
      </c>
      <c r="G50">
        <f t="shared" si="4"/>
        <v>0</v>
      </c>
      <c r="H50">
        <f t="shared" si="4"/>
        <v>0</v>
      </c>
      <c r="I50">
        <f t="shared" si="4"/>
        <v>0</v>
      </c>
      <c r="J50">
        <f t="shared" si="4"/>
        <v>0</v>
      </c>
      <c r="K50">
        <f t="shared" si="4"/>
        <v>0</v>
      </c>
      <c r="L50">
        <f t="shared" si="4"/>
        <v>7.0699999999999999E-2</v>
      </c>
      <c r="M50">
        <f t="shared" si="4"/>
        <v>0</v>
      </c>
    </row>
    <row r="51" spans="1:13" x14ac:dyDescent="0.3">
      <c r="A51" t="s">
        <v>7</v>
      </c>
      <c r="B51">
        <f t="shared" si="4"/>
        <v>0</v>
      </c>
      <c r="C51">
        <f t="shared" si="4"/>
        <v>0</v>
      </c>
      <c r="D51">
        <f t="shared" si="4"/>
        <v>5.4800000000000001E-2</v>
      </c>
      <c r="E51">
        <f t="shared" si="4"/>
        <v>0.1414</v>
      </c>
      <c r="F51">
        <f t="shared" si="4"/>
        <v>8.3699999999999997E-2</v>
      </c>
      <c r="G51">
        <f t="shared" si="4"/>
        <v>8.3699999999999997E-2</v>
      </c>
      <c r="H51">
        <f t="shared" si="4"/>
        <v>0</v>
      </c>
      <c r="I51">
        <f t="shared" si="4"/>
        <v>0</v>
      </c>
      <c r="J51">
        <f t="shared" si="4"/>
        <v>7.0699999999999999E-2</v>
      </c>
      <c r="K51">
        <f t="shared" si="4"/>
        <v>0.3347</v>
      </c>
      <c r="L51">
        <f t="shared" si="4"/>
        <v>0.28460000000000002</v>
      </c>
      <c r="M51">
        <f t="shared" si="4"/>
        <v>0.3795</v>
      </c>
    </row>
    <row r="52" spans="1:13" x14ac:dyDescent="0.3">
      <c r="A52" t="s">
        <v>8</v>
      </c>
      <c r="B52">
        <f t="shared" si="4"/>
        <v>0.251</v>
      </c>
      <c r="C52">
        <f t="shared" si="4"/>
        <v>0</v>
      </c>
      <c r="D52">
        <f t="shared" si="4"/>
        <v>0</v>
      </c>
      <c r="E52">
        <f t="shared" si="4"/>
        <v>0.1673</v>
      </c>
      <c r="F52">
        <f t="shared" si="4"/>
        <v>5.4800000000000001E-2</v>
      </c>
      <c r="G52">
        <f t="shared" si="4"/>
        <v>0</v>
      </c>
      <c r="H52">
        <f t="shared" si="4"/>
        <v>0.3795</v>
      </c>
      <c r="I52">
        <f t="shared" si="4"/>
        <v>8.3699999999999997E-2</v>
      </c>
      <c r="J52">
        <f t="shared" si="4"/>
        <v>0</v>
      </c>
      <c r="K52">
        <f t="shared" si="4"/>
        <v>0.3347</v>
      </c>
      <c r="L52">
        <f t="shared" si="4"/>
        <v>0.251</v>
      </c>
      <c r="M52">
        <f t="shared" si="4"/>
        <v>0.28460000000000002</v>
      </c>
    </row>
    <row r="53" spans="1:13" x14ac:dyDescent="0.3">
      <c r="A53" t="s">
        <v>9</v>
      </c>
      <c r="B53">
        <f t="shared" si="4"/>
        <v>0</v>
      </c>
      <c r="C53">
        <f t="shared" si="4"/>
        <v>7.0699999999999999E-2</v>
      </c>
      <c r="D53">
        <f t="shared" si="4"/>
        <v>7.0699999999999999E-2</v>
      </c>
      <c r="E53">
        <f t="shared" si="4"/>
        <v>7.0699999999999999E-2</v>
      </c>
      <c r="F53">
        <f t="shared" si="4"/>
        <v>5.4800000000000001E-2</v>
      </c>
      <c r="G53">
        <f t="shared" si="4"/>
        <v>0</v>
      </c>
      <c r="H53">
        <f t="shared" si="4"/>
        <v>0</v>
      </c>
      <c r="I53">
        <f t="shared" si="4"/>
        <v>0</v>
      </c>
      <c r="J53">
        <f t="shared" si="4"/>
        <v>7.0699999999999999E-2</v>
      </c>
      <c r="K53">
        <f t="shared" si="4"/>
        <v>0</v>
      </c>
      <c r="L53">
        <f t="shared" si="4"/>
        <v>7.0699999999999999E-2</v>
      </c>
      <c r="M53">
        <f t="shared" si="4"/>
        <v>0</v>
      </c>
    </row>
    <row r="54" spans="1:13" x14ac:dyDescent="0.3">
      <c r="A54" t="s">
        <v>10</v>
      </c>
      <c r="B54">
        <f t="shared" si="4"/>
        <v>0</v>
      </c>
      <c r="C54">
        <f t="shared" si="4"/>
        <v>0.1414</v>
      </c>
      <c r="D54">
        <f t="shared" si="4"/>
        <v>7.0699999999999999E-2</v>
      </c>
      <c r="E54">
        <f t="shared" si="4"/>
        <v>7.0699999999999999E-2</v>
      </c>
      <c r="F54">
        <f t="shared" si="4"/>
        <v>7.0699999999999999E-2</v>
      </c>
      <c r="G54">
        <f t="shared" si="4"/>
        <v>0</v>
      </c>
      <c r="H54">
        <f t="shared" si="4"/>
        <v>0.1414</v>
      </c>
      <c r="I54">
        <f t="shared" si="4"/>
        <v>0</v>
      </c>
      <c r="J54">
        <f t="shared" si="4"/>
        <v>0.1414</v>
      </c>
      <c r="K54">
        <f t="shared" si="4"/>
        <v>5.4800000000000001E-2</v>
      </c>
      <c r="L54">
        <f t="shared" si="4"/>
        <v>0</v>
      </c>
      <c r="M54">
        <f t="shared" si="4"/>
        <v>0.3795</v>
      </c>
    </row>
    <row r="55" spans="1:13" x14ac:dyDescent="0.3">
      <c r="A55" t="s">
        <v>11</v>
      </c>
      <c r="B55">
        <f t="shared" si="4"/>
        <v>0</v>
      </c>
      <c r="C55">
        <f t="shared" si="4"/>
        <v>8.3699999999999997E-2</v>
      </c>
      <c r="D55">
        <f t="shared" si="4"/>
        <v>5.4800000000000001E-2</v>
      </c>
      <c r="E55">
        <f t="shared" si="4"/>
        <v>0.1673</v>
      </c>
      <c r="F55">
        <f t="shared" si="4"/>
        <v>0</v>
      </c>
      <c r="G55">
        <f t="shared" si="4"/>
        <v>3.1600000000000003E-2</v>
      </c>
      <c r="H55">
        <f t="shared" si="4"/>
        <v>7.0699999999999999E-2</v>
      </c>
      <c r="I55">
        <f t="shared" si="4"/>
        <v>0</v>
      </c>
      <c r="J55">
        <f t="shared" si="4"/>
        <v>0</v>
      </c>
      <c r="K55">
        <f t="shared" si="4"/>
        <v>7.0699999999999999E-2</v>
      </c>
      <c r="L55">
        <f t="shared" si="4"/>
        <v>0.1414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0.3795</v>
      </c>
      <c r="D58">
        <f t="shared" si="6"/>
        <v>0.3795</v>
      </c>
      <c r="E58">
        <f t="shared" si="6"/>
        <v>7.0699999999999999E-2</v>
      </c>
      <c r="F58">
        <f t="shared" si="6"/>
        <v>0.251</v>
      </c>
      <c r="G58">
        <f t="shared" si="6"/>
        <v>0.21210000000000001</v>
      </c>
      <c r="H58">
        <f t="shared" si="6"/>
        <v>0.1673</v>
      </c>
      <c r="I58">
        <f t="shared" si="6"/>
        <v>8.3699999999999997E-2</v>
      </c>
      <c r="J58">
        <f t="shared" si="6"/>
        <v>0.3347</v>
      </c>
      <c r="K58">
        <f t="shared" si="6"/>
        <v>7.0699999999999999E-2</v>
      </c>
      <c r="L58">
        <f t="shared" si="6"/>
        <v>0.1414</v>
      </c>
      <c r="M58">
        <f t="shared" si="6"/>
        <v>0.21210000000000001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0.21210000000000001</v>
      </c>
      <c r="C59">
        <f t="shared" si="7"/>
        <v>0</v>
      </c>
      <c r="D59">
        <f t="shared" si="7"/>
        <v>0.3347</v>
      </c>
      <c r="E59">
        <f t="shared" si="7"/>
        <v>0.3795</v>
      </c>
      <c r="F59">
        <f t="shared" si="7"/>
        <v>0.251</v>
      </c>
      <c r="G59">
        <f t="shared" si="7"/>
        <v>0.3795</v>
      </c>
      <c r="H59">
        <f t="shared" si="7"/>
        <v>0.3347</v>
      </c>
      <c r="I59">
        <f t="shared" si="7"/>
        <v>7.0699999999999999E-2</v>
      </c>
      <c r="J59">
        <f t="shared" si="7"/>
        <v>0.1414</v>
      </c>
      <c r="K59">
        <f t="shared" si="7"/>
        <v>0.3347</v>
      </c>
      <c r="L59">
        <f t="shared" si="7"/>
        <v>0.3347</v>
      </c>
      <c r="M59">
        <f t="shared" si="7"/>
        <v>0.3795</v>
      </c>
    </row>
    <row r="60" spans="1:13" x14ac:dyDescent="0.3">
      <c r="A60" t="s">
        <v>2</v>
      </c>
      <c r="B60">
        <f t="shared" si="7"/>
        <v>5.4800000000000001E-2</v>
      </c>
      <c r="C60">
        <f t="shared" si="7"/>
        <v>7.0699999999999999E-2</v>
      </c>
      <c r="D60">
        <f t="shared" si="7"/>
        <v>0</v>
      </c>
      <c r="E60">
        <f t="shared" si="7"/>
        <v>0.251</v>
      </c>
      <c r="F60">
        <f t="shared" si="7"/>
        <v>0.1095</v>
      </c>
      <c r="G60">
        <f t="shared" si="7"/>
        <v>0.251</v>
      </c>
      <c r="H60">
        <f t="shared" si="7"/>
        <v>0.1414</v>
      </c>
      <c r="I60">
        <f t="shared" si="7"/>
        <v>7.0699999999999999E-2</v>
      </c>
      <c r="J60">
        <f t="shared" si="7"/>
        <v>0.3795</v>
      </c>
      <c r="K60">
        <f t="shared" si="7"/>
        <v>0.3795</v>
      </c>
      <c r="L60">
        <f t="shared" si="7"/>
        <v>0.3347</v>
      </c>
      <c r="M60">
        <f t="shared" si="7"/>
        <v>0.3795</v>
      </c>
    </row>
    <row r="61" spans="1:13" x14ac:dyDescent="0.3">
      <c r="A61" t="s">
        <v>3</v>
      </c>
      <c r="B61">
        <f t="shared" si="7"/>
        <v>5.4800000000000001E-2</v>
      </c>
      <c r="C61">
        <f t="shared" si="7"/>
        <v>7.0699999999999999E-2</v>
      </c>
      <c r="D61">
        <f t="shared" si="7"/>
        <v>0.1414</v>
      </c>
      <c r="E61">
        <f t="shared" si="7"/>
        <v>0</v>
      </c>
      <c r="F61">
        <f t="shared" si="7"/>
        <v>0.3347</v>
      </c>
      <c r="G61">
        <f t="shared" si="7"/>
        <v>0.21210000000000001</v>
      </c>
      <c r="H61">
        <f t="shared" si="7"/>
        <v>0.3347</v>
      </c>
      <c r="I61">
        <f t="shared" si="7"/>
        <v>7.0699999999999999E-2</v>
      </c>
      <c r="J61">
        <f t="shared" si="7"/>
        <v>0.3795</v>
      </c>
      <c r="K61">
        <f t="shared" si="7"/>
        <v>7.0699999999999999E-2</v>
      </c>
      <c r="L61">
        <f t="shared" si="7"/>
        <v>0.3795</v>
      </c>
      <c r="M61">
        <f t="shared" si="7"/>
        <v>0.1414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5.4800000000000001E-2</v>
      </c>
      <c r="C62">
        <f t="shared" si="8"/>
        <v>5.4800000000000001E-2</v>
      </c>
      <c r="D62">
        <f t="shared" si="8"/>
        <v>5.4800000000000001E-2</v>
      </c>
      <c r="E62">
        <f t="shared" si="8"/>
        <v>0.1414</v>
      </c>
      <c r="F62">
        <f t="shared" si="8"/>
        <v>0</v>
      </c>
      <c r="G62">
        <f t="shared" si="8"/>
        <v>0.3795</v>
      </c>
      <c r="H62">
        <f t="shared" si="8"/>
        <v>0.1414</v>
      </c>
      <c r="I62">
        <f t="shared" si="8"/>
        <v>7.0699999999999999E-2</v>
      </c>
      <c r="J62">
        <f t="shared" si="8"/>
        <v>0.3347</v>
      </c>
      <c r="K62">
        <f t="shared" si="8"/>
        <v>0.3347</v>
      </c>
      <c r="L62">
        <f t="shared" si="8"/>
        <v>7.0699999999999999E-2</v>
      </c>
      <c r="M62">
        <f t="shared" si="8"/>
        <v>0.1414</v>
      </c>
    </row>
    <row r="63" spans="1:13" x14ac:dyDescent="0.3">
      <c r="A63" t="s">
        <v>5</v>
      </c>
      <c r="B63">
        <f t="shared" si="7"/>
        <v>7.0699999999999999E-2</v>
      </c>
      <c r="C63">
        <f t="shared" si="7"/>
        <v>0.1095</v>
      </c>
      <c r="D63">
        <f t="shared" si="7"/>
        <v>0.1414</v>
      </c>
      <c r="E63">
        <f t="shared" si="7"/>
        <v>0.1095</v>
      </c>
      <c r="F63">
        <f t="shared" si="7"/>
        <v>7.0699999999999999E-2</v>
      </c>
      <c r="G63">
        <f t="shared" si="7"/>
        <v>0</v>
      </c>
      <c r="H63">
        <f t="shared" si="7"/>
        <v>5.4800000000000001E-2</v>
      </c>
      <c r="I63">
        <f t="shared" si="7"/>
        <v>8.3699999999999997E-2</v>
      </c>
      <c r="J63">
        <f t="shared" si="7"/>
        <v>0.3795</v>
      </c>
      <c r="K63">
        <f t="shared" si="7"/>
        <v>0.1414</v>
      </c>
      <c r="L63">
        <f t="shared" si="7"/>
        <v>0.21210000000000001</v>
      </c>
      <c r="M63">
        <f t="shared" si="7"/>
        <v>0.1095</v>
      </c>
    </row>
    <row r="64" spans="1:13" x14ac:dyDescent="0.3">
      <c r="A64" t="s">
        <v>6</v>
      </c>
      <c r="B64">
        <f t="shared" si="7"/>
        <v>0.1414</v>
      </c>
      <c r="C64">
        <f t="shared" si="7"/>
        <v>5.4800000000000001E-2</v>
      </c>
      <c r="D64">
        <f t="shared" si="7"/>
        <v>3.1600000000000003E-2</v>
      </c>
      <c r="E64">
        <f t="shared" si="7"/>
        <v>7.0699999999999999E-2</v>
      </c>
      <c r="F64">
        <f t="shared" si="7"/>
        <v>7.0699999999999999E-2</v>
      </c>
      <c r="G64">
        <f t="shared" si="7"/>
        <v>7.0699999999999999E-2</v>
      </c>
      <c r="H64">
        <f t="shared" si="7"/>
        <v>0</v>
      </c>
      <c r="I64">
        <f t="shared" si="7"/>
        <v>7.0699999999999999E-2</v>
      </c>
      <c r="J64">
        <f t="shared" si="7"/>
        <v>7.0699999999999999E-2</v>
      </c>
      <c r="K64">
        <f t="shared" si="7"/>
        <v>5.4800000000000001E-2</v>
      </c>
      <c r="L64">
        <f t="shared" si="7"/>
        <v>0.1414</v>
      </c>
      <c r="M64">
        <f t="shared" si="7"/>
        <v>5.4800000000000001E-2</v>
      </c>
    </row>
    <row r="65" spans="1:13" x14ac:dyDescent="0.3">
      <c r="A65" t="s">
        <v>7</v>
      </c>
      <c r="B65">
        <f t="shared" si="7"/>
        <v>7.0699999999999999E-2</v>
      </c>
      <c r="C65">
        <f t="shared" si="7"/>
        <v>3.1600000000000003E-2</v>
      </c>
      <c r="D65">
        <f t="shared" si="7"/>
        <v>0.1095</v>
      </c>
      <c r="E65">
        <f t="shared" si="7"/>
        <v>0.21210000000000001</v>
      </c>
      <c r="F65">
        <f t="shared" si="7"/>
        <v>0.1673</v>
      </c>
      <c r="G65">
        <f t="shared" si="7"/>
        <v>0.1673</v>
      </c>
      <c r="H65">
        <f t="shared" si="7"/>
        <v>5.4800000000000001E-2</v>
      </c>
      <c r="I65">
        <f t="shared" si="7"/>
        <v>0</v>
      </c>
      <c r="J65">
        <f t="shared" si="7"/>
        <v>0.1414</v>
      </c>
      <c r="K65">
        <f t="shared" si="7"/>
        <v>0.3347</v>
      </c>
      <c r="L65">
        <f t="shared" si="7"/>
        <v>0.3795</v>
      </c>
      <c r="M65">
        <f t="shared" si="7"/>
        <v>0.3795</v>
      </c>
    </row>
    <row r="66" spans="1:13" x14ac:dyDescent="0.3">
      <c r="A66" t="s">
        <v>8</v>
      </c>
      <c r="B66">
        <f t="shared" si="7"/>
        <v>0.3347</v>
      </c>
      <c r="C66">
        <f t="shared" si="7"/>
        <v>8.3699999999999997E-2</v>
      </c>
      <c r="D66">
        <f t="shared" si="7"/>
        <v>5.4800000000000001E-2</v>
      </c>
      <c r="E66">
        <f t="shared" si="7"/>
        <v>0.251</v>
      </c>
      <c r="F66">
        <f t="shared" si="7"/>
        <v>0.1095</v>
      </c>
      <c r="G66">
        <f t="shared" si="7"/>
        <v>7.0699999999999999E-2</v>
      </c>
      <c r="H66">
        <f t="shared" si="7"/>
        <v>0.3795</v>
      </c>
      <c r="I66">
        <f t="shared" si="7"/>
        <v>0.1673</v>
      </c>
      <c r="J66">
        <f t="shared" si="7"/>
        <v>0</v>
      </c>
      <c r="K66">
        <f t="shared" si="7"/>
        <v>0.3347</v>
      </c>
      <c r="L66">
        <f t="shared" si="7"/>
        <v>0.3347</v>
      </c>
      <c r="M66">
        <f t="shared" si="7"/>
        <v>0.3795</v>
      </c>
    </row>
    <row r="67" spans="1:13" x14ac:dyDescent="0.3">
      <c r="A67" t="s">
        <v>9</v>
      </c>
      <c r="B67">
        <f t="shared" si="7"/>
        <v>5.4800000000000001E-2</v>
      </c>
      <c r="C67">
        <f t="shared" si="7"/>
        <v>0.1414</v>
      </c>
      <c r="D67">
        <f t="shared" si="7"/>
        <v>0.1414</v>
      </c>
      <c r="E67">
        <f t="shared" si="7"/>
        <v>0.1414</v>
      </c>
      <c r="F67">
        <f t="shared" si="7"/>
        <v>0.1095</v>
      </c>
      <c r="G67">
        <f t="shared" si="7"/>
        <v>7.0699999999999999E-2</v>
      </c>
      <c r="H67">
        <f t="shared" si="7"/>
        <v>7.0699999999999999E-2</v>
      </c>
      <c r="I67">
        <f t="shared" si="7"/>
        <v>3.1600000000000003E-2</v>
      </c>
      <c r="J67">
        <f t="shared" si="7"/>
        <v>0.1414</v>
      </c>
      <c r="K67">
        <f t="shared" si="7"/>
        <v>0</v>
      </c>
      <c r="L67">
        <f t="shared" si="7"/>
        <v>0.1414</v>
      </c>
      <c r="M67">
        <f t="shared" si="7"/>
        <v>7.0699999999999999E-2</v>
      </c>
    </row>
    <row r="68" spans="1:13" x14ac:dyDescent="0.3">
      <c r="A68" t="s">
        <v>10</v>
      </c>
      <c r="B68">
        <f t="shared" si="7"/>
        <v>7.0699999999999999E-2</v>
      </c>
      <c r="C68">
        <f t="shared" si="7"/>
        <v>0.21210000000000001</v>
      </c>
      <c r="D68">
        <f t="shared" si="7"/>
        <v>0.1414</v>
      </c>
      <c r="E68">
        <f t="shared" si="7"/>
        <v>0.1414</v>
      </c>
      <c r="F68">
        <f t="shared" si="7"/>
        <v>0.1414</v>
      </c>
      <c r="G68">
        <f t="shared" si="7"/>
        <v>7.0699999999999999E-2</v>
      </c>
      <c r="H68">
        <f t="shared" si="7"/>
        <v>0.21210000000000001</v>
      </c>
      <c r="I68">
        <f t="shared" si="7"/>
        <v>8.3699999999999997E-2</v>
      </c>
      <c r="J68">
        <f t="shared" si="7"/>
        <v>0.21210000000000001</v>
      </c>
      <c r="K68">
        <f t="shared" si="7"/>
        <v>0.1095</v>
      </c>
      <c r="L68">
        <f t="shared" si="7"/>
        <v>0</v>
      </c>
      <c r="M68">
        <f t="shared" si="7"/>
        <v>0.3795</v>
      </c>
    </row>
    <row r="69" spans="1:13" x14ac:dyDescent="0.3">
      <c r="A69" t="s">
        <v>11</v>
      </c>
      <c r="B69">
        <f t="shared" si="7"/>
        <v>3.1600000000000003E-2</v>
      </c>
      <c r="C69">
        <f t="shared" si="7"/>
        <v>0.1673</v>
      </c>
      <c r="D69">
        <f t="shared" si="7"/>
        <v>0.1095</v>
      </c>
      <c r="E69">
        <f t="shared" si="7"/>
        <v>0.251</v>
      </c>
      <c r="F69">
        <f t="shared" si="7"/>
        <v>7.0699999999999999E-2</v>
      </c>
      <c r="G69">
        <f t="shared" si="7"/>
        <v>6.3200000000000006E-2</v>
      </c>
      <c r="H69">
        <f t="shared" si="7"/>
        <v>0.1414</v>
      </c>
      <c r="I69">
        <f t="shared" si="7"/>
        <v>5.4800000000000001E-2</v>
      </c>
      <c r="J69">
        <f t="shared" si="7"/>
        <v>7.0699999999999999E-2</v>
      </c>
      <c r="K69">
        <f t="shared" si="7"/>
        <v>0.1414</v>
      </c>
      <c r="L69">
        <f t="shared" si="7"/>
        <v>0.21210000000000001</v>
      </c>
      <c r="M69">
        <f t="shared" si="7"/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3"/>
  <dimension ref="A1:M69"/>
  <sheetViews>
    <sheetView workbookViewId="0">
      <selection activeCell="J8" sqref="J8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13</v>
      </c>
      <c r="D2" t="s">
        <v>21</v>
      </c>
      <c r="E2" t="s">
        <v>16</v>
      </c>
      <c r="F2" t="s">
        <v>16</v>
      </c>
      <c r="G2" t="s">
        <v>16</v>
      </c>
      <c r="H2" t="s">
        <v>22</v>
      </c>
      <c r="I2" t="s">
        <v>20</v>
      </c>
      <c r="J2" t="s">
        <v>12</v>
      </c>
      <c r="K2" t="s">
        <v>24</v>
      </c>
      <c r="L2" t="s">
        <v>20</v>
      </c>
      <c r="M2" t="s">
        <v>24</v>
      </c>
    </row>
    <row r="3" spans="1:13" x14ac:dyDescent="0.3">
      <c r="A3" s="1" t="s">
        <v>1</v>
      </c>
      <c r="B3" t="s">
        <v>20</v>
      </c>
      <c r="C3">
        <v>0</v>
      </c>
      <c r="D3" t="s">
        <v>13</v>
      </c>
      <c r="E3" t="s">
        <v>25</v>
      </c>
      <c r="F3" t="s">
        <v>21</v>
      </c>
      <c r="G3" t="s">
        <v>16</v>
      </c>
      <c r="H3" t="s">
        <v>18</v>
      </c>
      <c r="I3" t="s">
        <v>22</v>
      </c>
      <c r="J3" t="s">
        <v>12</v>
      </c>
      <c r="K3" t="s">
        <v>18</v>
      </c>
      <c r="L3" t="s">
        <v>13</v>
      </c>
      <c r="M3" t="s">
        <v>12</v>
      </c>
    </row>
    <row r="4" spans="1:13" x14ac:dyDescent="0.3">
      <c r="A4" s="1" t="s">
        <v>2</v>
      </c>
      <c r="B4" t="s">
        <v>22</v>
      </c>
      <c r="C4" t="s">
        <v>15</v>
      </c>
      <c r="D4">
        <v>0</v>
      </c>
      <c r="E4" t="s">
        <v>16</v>
      </c>
      <c r="F4" t="s">
        <v>20</v>
      </c>
      <c r="G4" t="s">
        <v>22</v>
      </c>
      <c r="H4" t="s">
        <v>22</v>
      </c>
      <c r="I4" t="s">
        <v>15</v>
      </c>
      <c r="J4" t="s">
        <v>13</v>
      </c>
      <c r="K4" t="s">
        <v>18</v>
      </c>
      <c r="L4" t="s">
        <v>13</v>
      </c>
      <c r="M4" t="s">
        <v>13</v>
      </c>
    </row>
    <row r="5" spans="1:13" x14ac:dyDescent="0.3">
      <c r="A5" s="1" t="s">
        <v>3</v>
      </c>
      <c r="B5" t="s">
        <v>18</v>
      </c>
      <c r="C5" t="s">
        <v>18</v>
      </c>
      <c r="D5" t="s">
        <v>18</v>
      </c>
      <c r="E5">
        <v>0</v>
      </c>
      <c r="F5" t="s">
        <v>15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</row>
    <row r="6" spans="1:13" x14ac:dyDescent="0.3">
      <c r="A6" s="1" t="s">
        <v>4</v>
      </c>
      <c r="B6" t="s">
        <v>20</v>
      </c>
      <c r="C6" t="s">
        <v>22</v>
      </c>
      <c r="D6" t="s">
        <v>16</v>
      </c>
      <c r="E6" t="s">
        <v>15</v>
      </c>
      <c r="F6">
        <v>0</v>
      </c>
      <c r="G6" t="s">
        <v>13</v>
      </c>
      <c r="H6" t="s">
        <v>15</v>
      </c>
      <c r="I6" t="s">
        <v>20</v>
      </c>
      <c r="J6" t="s">
        <v>25</v>
      </c>
      <c r="K6" t="s">
        <v>25</v>
      </c>
      <c r="L6" t="s">
        <v>22</v>
      </c>
      <c r="M6" t="s">
        <v>15</v>
      </c>
    </row>
    <row r="7" spans="1:13" x14ac:dyDescent="0.3">
      <c r="A7" s="1" t="s">
        <v>5</v>
      </c>
      <c r="B7" t="s">
        <v>15</v>
      </c>
      <c r="C7" t="s">
        <v>71</v>
      </c>
      <c r="D7" t="s">
        <v>16</v>
      </c>
      <c r="E7" t="s">
        <v>16</v>
      </c>
      <c r="F7" t="s">
        <v>16</v>
      </c>
      <c r="G7">
        <v>0</v>
      </c>
      <c r="H7" t="s">
        <v>71</v>
      </c>
      <c r="I7" t="s">
        <v>22</v>
      </c>
      <c r="J7" t="s">
        <v>25</v>
      </c>
      <c r="K7" t="s">
        <v>62</v>
      </c>
      <c r="L7" t="s">
        <v>23</v>
      </c>
      <c r="M7" t="s">
        <v>20</v>
      </c>
    </row>
    <row r="8" spans="1:13" x14ac:dyDescent="0.3">
      <c r="A8" s="1" t="s">
        <v>6</v>
      </c>
      <c r="B8" t="s">
        <v>16</v>
      </c>
      <c r="C8" t="s">
        <v>62</v>
      </c>
      <c r="D8" t="s">
        <v>71</v>
      </c>
      <c r="E8" t="s">
        <v>22</v>
      </c>
      <c r="F8" t="s">
        <v>16</v>
      </c>
      <c r="G8" t="s">
        <v>15</v>
      </c>
      <c r="H8">
        <v>0</v>
      </c>
      <c r="I8" t="s">
        <v>20</v>
      </c>
      <c r="J8" t="s">
        <v>62</v>
      </c>
      <c r="K8" t="s">
        <v>24</v>
      </c>
      <c r="L8" t="s">
        <v>16</v>
      </c>
      <c r="M8" t="s">
        <v>16</v>
      </c>
    </row>
    <row r="9" spans="1:13" x14ac:dyDescent="0.3">
      <c r="A9" s="1" t="s">
        <v>7</v>
      </c>
      <c r="B9" t="s">
        <v>20</v>
      </c>
      <c r="C9" t="s">
        <v>16</v>
      </c>
      <c r="D9" t="s">
        <v>15</v>
      </c>
      <c r="E9" t="s">
        <v>23</v>
      </c>
      <c r="F9" t="s">
        <v>23</v>
      </c>
      <c r="G9" t="s">
        <v>24</v>
      </c>
      <c r="H9" t="s">
        <v>15</v>
      </c>
      <c r="I9">
        <v>0</v>
      </c>
      <c r="J9" t="s">
        <v>13</v>
      </c>
      <c r="K9" t="s">
        <v>25</v>
      </c>
      <c r="L9" t="s">
        <v>13</v>
      </c>
      <c r="M9" t="s">
        <v>18</v>
      </c>
    </row>
    <row r="10" spans="1:13" x14ac:dyDescent="0.3">
      <c r="A10" s="1" t="s">
        <v>8</v>
      </c>
      <c r="B10" t="s">
        <v>21</v>
      </c>
      <c r="C10" t="s">
        <v>16</v>
      </c>
      <c r="D10" t="s">
        <v>15</v>
      </c>
      <c r="E10" t="s">
        <v>16</v>
      </c>
      <c r="F10" t="s">
        <v>20</v>
      </c>
      <c r="G10" t="s">
        <v>20</v>
      </c>
      <c r="H10" t="s">
        <v>25</v>
      </c>
      <c r="I10" t="s">
        <v>62</v>
      </c>
      <c r="J10">
        <v>0</v>
      </c>
      <c r="K10" t="s">
        <v>18</v>
      </c>
      <c r="L10" t="s">
        <v>13</v>
      </c>
      <c r="M10" t="s">
        <v>13</v>
      </c>
    </row>
    <row r="11" spans="1:13" x14ac:dyDescent="0.3">
      <c r="A11" s="1" t="s">
        <v>9</v>
      </c>
      <c r="B11" t="s">
        <v>20</v>
      </c>
      <c r="C11" t="s">
        <v>16</v>
      </c>
      <c r="D11" t="s">
        <v>15</v>
      </c>
      <c r="E11" t="s">
        <v>21</v>
      </c>
      <c r="F11" t="s">
        <v>24</v>
      </c>
      <c r="G11" t="s">
        <v>71</v>
      </c>
      <c r="H11" t="s">
        <v>15</v>
      </c>
      <c r="I11" t="s">
        <v>24</v>
      </c>
      <c r="J11" t="s">
        <v>20</v>
      </c>
      <c r="K11">
        <v>0</v>
      </c>
      <c r="L11" t="s">
        <v>15</v>
      </c>
      <c r="M11" t="s">
        <v>23</v>
      </c>
    </row>
    <row r="12" spans="1:13" x14ac:dyDescent="0.3">
      <c r="A12" s="1" t="s">
        <v>10</v>
      </c>
      <c r="B12" t="s">
        <v>22</v>
      </c>
      <c r="C12" t="s">
        <v>24</v>
      </c>
      <c r="D12" t="s">
        <v>71</v>
      </c>
      <c r="E12" t="s">
        <v>24</v>
      </c>
      <c r="F12" t="s">
        <v>16</v>
      </c>
      <c r="G12" t="s">
        <v>15</v>
      </c>
      <c r="H12" t="s">
        <v>16</v>
      </c>
      <c r="I12" t="s">
        <v>23</v>
      </c>
      <c r="J12" t="s">
        <v>23</v>
      </c>
      <c r="K12" t="s">
        <v>15</v>
      </c>
      <c r="L12">
        <v>0</v>
      </c>
      <c r="M12" t="s">
        <v>13</v>
      </c>
    </row>
    <row r="13" spans="1:13" x14ac:dyDescent="0.3">
      <c r="A13" s="1" t="s">
        <v>11</v>
      </c>
      <c r="B13" t="s">
        <v>62</v>
      </c>
      <c r="C13" t="s">
        <v>17</v>
      </c>
      <c r="D13" t="s">
        <v>15</v>
      </c>
      <c r="E13" t="s">
        <v>24</v>
      </c>
      <c r="F13" t="s">
        <v>62</v>
      </c>
      <c r="G13" t="s">
        <v>15</v>
      </c>
      <c r="H13" t="s">
        <v>17</v>
      </c>
      <c r="I13" t="s">
        <v>21</v>
      </c>
      <c r="J13" t="s">
        <v>16</v>
      </c>
      <c r="K13" t="s">
        <v>16</v>
      </c>
      <c r="L13" t="s">
        <v>24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(0,1897; 0,2846; 0,3795)</v>
      </c>
      <c r="D16" t="str">
        <f>VLOOKUP(D2,'Thang đánh giá'!$C$2:$D$27,2,FALSE)</f>
        <v>(0,0837; 0,1673; 0,251)</v>
      </c>
      <c r="E16" t="str">
        <f>VLOOKUP(E2,'Thang đánh giá'!$C$2:$D$27,2,FALSE)</f>
        <v>(0; 0; 0,0707)</v>
      </c>
      <c r="F16" t="str">
        <f>VLOOKUP(F2,'Thang đánh giá'!$C$2:$D$27,2,FALSE)</f>
        <v>(0; 0; 0,0707)</v>
      </c>
      <c r="G16" t="str">
        <f>VLOOKUP(G2,'Thang đánh giá'!$C$2:$D$27,2,FALSE)</f>
        <v>(0; 0; 0,0707)</v>
      </c>
      <c r="H16" t="str">
        <f>VLOOKUP(H2,'Thang đánh giá'!$C$2:$D$27,2,FALSE)</f>
        <v>(0,0707; 0,1414; 0,2121)</v>
      </c>
      <c r="I16" t="str">
        <f>VLOOKUP(I2,'Thang đánh giá'!$C$2:$D$27,2,FALSE)</f>
        <v>(0; 0,0548; 0,1095)</v>
      </c>
      <c r="J16" t="str">
        <f>VLOOKUP(J2,'Thang đánh giá'!$C$2:$D$27,2,FALSE)</f>
        <v>(0,1673; 0,251; 0,3347)</v>
      </c>
      <c r="K16" t="str">
        <f>VLOOKUP(K2,'Thang đánh giá'!$C$2:$D$27,2,FALSE)</f>
        <v>(0; 0; 0,0548)</v>
      </c>
      <c r="L16" t="str">
        <f>VLOOKUP(L2,'Thang đánh giá'!$C$2:$D$27,2,FALSE)</f>
        <v>(0; 0,0548; 0,1095)</v>
      </c>
      <c r="M16" t="str">
        <f>VLOOKUP(M2,'Thang đánh giá'!$C$2:$D$27,2,FALSE)</f>
        <v>(0; 0; 0,0548)</v>
      </c>
    </row>
    <row r="17" spans="1:13" x14ac:dyDescent="0.3">
      <c r="A17" t="s">
        <v>1</v>
      </c>
      <c r="B17" t="str">
        <f>VLOOKUP(B3,'Thang đánh giá'!$C$2:$D$27,2,FALSE)</f>
        <v>(0; 0,0548; 0,1095)</v>
      </c>
      <c r="C17" t="str">
        <f>VLOOKUP(C3,'Thang đánh giá'!$C$2:$D$27,2,FALSE)</f>
        <v>(0; 0; 0)</v>
      </c>
      <c r="D17" t="str">
        <f>VLOOKUP(D3,'Thang đánh giá'!$C$2:$D$27,2,FALSE)</f>
        <v>(0,1897; 0,2846; 0,3795)</v>
      </c>
      <c r="E17" t="str">
        <f>VLOOKUP(E3,'Thang đánh giá'!$C$2:$D$27,2,FALSE)</f>
        <v>(0,251; 0,3347; 0,3347)</v>
      </c>
      <c r="F17" t="str">
        <f>VLOOKUP(F3,'Thang đánh giá'!$C$2:$D$27,2,FALSE)</f>
        <v>(0,0837; 0,1673; 0,251)</v>
      </c>
      <c r="G17" t="str">
        <f>VLOOKUP(G3,'Thang đánh giá'!$C$2:$D$27,2,FALSE)</f>
        <v>(0; 0; 0,0707)</v>
      </c>
      <c r="H17" t="str">
        <f>VLOOKUP(H3,'Thang đánh giá'!$C$2:$D$27,2,FALSE)</f>
        <v>(0,2846; 0,3795; 0,3795)</v>
      </c>
      <c r="I17" t="str">
        <f>VLOOKUP(I3,'Thang đánh giá'!$C$2:$D$27,2,FALSE)</f>
        <v>(0,0707; 0,1414; 0,2121)</v>
      </c>
      <c r="J17" t="str">
        <f>VLOOKUP(J3,'Thang đánh giá'!$C$2:$D$27,2,FALSE)</f>
        <v>(0,1673; 0,251; 0,3347)</v>
      </c>
      <c r="K17" t="str">
        <f>VLOOKUP(K3,'Thang đánh giá'!$C$2:$D$27,2,FALSE)</f>
        <v>(0,2846; 0,3795; 0,3795)</v>
      </c>
      <c r="L17" t="str">
        <f>VLOOKUP(L3,'Thang đánh giá'!$C$2:$D$27,2,FALSE)</f>
        <v>(0,1897; 0,2846; 0,3795)</v>
      </c>
      <c r="M17" t="str">
        <f>VLOOKUP(M3,'Thang đánh giá'!$C$2:$D$27,2,FALSE)</f>
        <v>(0,1673; 0,251; 0,3347)</v>
      </c>
    </row>
    <row r="18" spans="1:13" x14ac:dyDescent="0.3">
      <c r="A18" t="s">
        <v>2</v>
      </c>
      <c r="B18" t="str">
        <f>VLOOKUP(B4,'Thang đánh giá'!$C$2:$D$27,2,FALSE)</f>
        <v>(0,0707; 0,1414; 0,2121)</v>
      </c>
      <c r="C18" t="str">
        <f>VLOOKUP(C4,'Thang đánh giá'!$C$2:$D$27,2,FALSE)</f>
        <v>(0; 0,0707; 0,1414)</v>
      </c>
      <c r="D18" t="str">
        <f>VLOOKUP(D4,'Thang đánh giá'!$C$2:$D$27,2,FALSE)</f>
        <v>(0; 0; 0)</v>
      </c>
      <c r="E18" t="str">
        <f>VLOOKUP(E4,'Thang đánh giá'!$C$2:$D$27,2,FALSE)</f>
        <v>(0; 0; 0,0707)</v>
      </c>
      <c r="F18" t="str">
        <f>VLOOKUP(F4,'Thang đánh giá'!$C$2:$D$27,2,FALSE)</f>
        <v>(0; 0,0548; 0,1095)</v>
      </c>
      <c r="G18" t="str">
        <f>VLOOKUP(G4,'Thang đánh giá'!$C$2:$D$27,2,FALSE)</f>
        <v>(0,0707; 0,1414; 0,2121)</v>
      </c>
      <c r="H18" t="str">
        <f>VLOOKUP(H4,'Thang đánh giá'!$C$2:$D$27,2,FALSE)</f>
        <v>(0,0707; 0,1414; 0,2121)</v>
      </c>
      <c r="I18" t="str">
        <f>VLOOKUP(I4,'Thang đánh giá'!$C$2:$D$27,2,FALSE)</f>
        <v>(0; 0,0707; 0,1414)</v>
      </c>
      <c r="J18" t="str">
        <f>VLOOKUP(J4,'Thang đánh giá'!$C$2:$D$27,2,FALSE)</f>
        <v>(0,1897; 0,2846; 0,3795)</v>
      </c>
      <c r="K18" t="str">
        <f>VLOOKUP(K4,'Thang đánh giá'!$C$2:$D$27,2,FALSE)</f>
        <v>(0,2846; 0,3795; 0,3795)</v>
      </c>
      <c r="L18" t="str">
        <f>VLOOKUP(L4,'Thang đánh giá'!$C$2:$D$27,2,FALSE)</f>
        <v>(0,1897; 0,2846; 0,3795)</v>
      </c>
      <c r="M18" t="str">
        <f>VLOOKUP(M4,'Thang đánh giá'!$C$2:$D$27,2,FALSE)</f>
        <v>(0,1897; 0,2846; 0,3795)</v>
      </c>
    </row>
    <row r="19" spans="1:13" x14ac:dyDescent="0.3">
      <c r="A19" t="s">
        <v>3</v>
      </c>
      <c r="B19" t="str">
        <f>VLOOKUP(B5,'Thang đánh giá'!$C$2:$D$27,2,FALSE)</f>
        <v>(0,2846; 0,3795; 0,3795)</v>
      </c>
      <c r="C19" t="str">
        <f>VLOOKUP(C5,'Thang đánh giá'!$C$2:$D$27,2,FALSE)</f>
        <v>(0,2846; 0,3795; 0,3795)</v>
      </c>
      <c r="D19" t="str">
        <f>VLOOKUP(D5,'Thang đánh giá'!$C$2:$D$27,2,FALSE)</f>
        <v>(0,2846; 0,3795; 0,3795)</v>
      </c>
      <c r="E19" t="str">
        <f>VLOOKUP(E5,'Thang đánh giá'!$C$2:$D$27,2,FALSE)</f>
        <v>(0; 0; 0)</v>
      </c>
      <c r="F19" t="str">
        <f>VLOOKUP(F5,'Thang đánh giá'!$C$2:$D$27,2,FALSE)</f>
        <v>(0; 0,0707; 0,1414)</v>
      </c>
      <c r="G19" t="str">
        <f>VLOOKUP(G5,'Thang đánh giá'!$C$2:$D$27,2,FALSE)</f>
        <v>(0,2846; 0,3795; 0,3795)</v>
      </c>
      <c r="H19" t="str">
        <f>VLOOKUP(H5,'Thang đánh giá'!$C$2:$D$27,2,FALSE)</f>
        <v>(0,2846; 0,3795; 0,3795)</v>
      </c>
      <c r="I19" t="str">
        <f>VLOOKUP(I5,'Thang đánh giá'!$C$2:$D$27,2,FALSE)</f>
        <v>(0,2846; 0,3795; 0,3795)</v>
      </c>
      <c r="J19" t="str">
        <f>VLOOKUP(J5,'Thang đánh giá'!$C$2:$D$27,2,FALSE)</f>
        <v>(0,2846; 0,3795; 0,3795)</v>
      </c>
      <c r="K19" t="str">
        <f>VLOOKUP(K5,'Thang đánh giá'!$C$2:$D$27,2,FALSE)</f>
        <v>(0,2846; 0,3795; 0,3795)</v>
      </c>
      <c r="L19" t="str">
        <f>VLOOKUP(L5,'Thang đánh giá'!$C$2:$D$27,2,FALSE)</f>
        <v>(0,2846; 0,3795; 0,3795)</v>
      </c>
      <c r="M19" t="str">
        <f>VLOOKUP(M5,'Thang đánh giá'!$C$2:$D$27,2,FALSE)</f>
        <v>(0,2846; 0,3795; 0,3795)</v>
      </c>
    </row>
    <row r="20" spans="1:13" x14ac:dyDescent="0.3">
      <c r="A20" t="s">
        <v>4</v>
      </c>
      <c r="B20" t="str">
        <f>VLOOKUP(B6,'Thang đánh giá'!$C$2:$D$27,2,FALSE)</f>
        <v>(0; 0,0548; 0,1095)</v>
      </c>
      <c r="C20" t="str">
        <f>VLOOKUP(C6,'Thang đánh giá'!$C$2:$D$27,2,FALSE)</f>
        <v>(0,0707; 0,1414; 0,2121)</v>
      </c>
      <c r="D20" t="str">
        <f>VLOOKUP(D6,'Thang đánh giá'!$C$2:$D$27,2,FALSE)</f>
        <v>(0; 0; 0,0707)</v>
      </c>
      <c r="E20" t="str">
        <f>VLOOKUP(E6,'Thang đánh giá'!$C$2:$D$27,2,FALSE)</f>
        <v>(0; 0,0707; 0,1414)</v>
      </c>
      <c r="F20" t="str">
        <f>VLOOKUP(F6,'Thang đánh giá'!$C$2:$D$27,2,FALSE)</f>
        <v>(0; 0; 0)</v>
      </c>
      <c r="G20" t="str">
        <f>VLOOKUP(G6,'Thang đánh giá'!$C$2:$D$27,2,FALSE)</f>
        <v>(0,1897; 0,2846; 0,3795)</v>
      </c>
      <c r="H20" t="str">
        <f>VLOOKUP(H6,'Thang đánh giá'!$C$2:$D$27,2,FALSE)</f>
        <v>(0; 0,0707; 0,1414)</v>
      </c>
      <c r="I20" t="str">
        <f>VLOOKUP(I6,'Thang đánh giá'!$C$2:$D$27,2,FALSE)</f>
        <v>(0; 0,0548; 0,1095)</v>
      </c>
      <c r="J20" t="str">
        <f>VLOOKUP(J6,'Thang đánh giá'!$C$2:$D$27,2,FALSE)</f>
        <v>(0,251; 0,3347; 0,3347)</v>
      </c>
      <c r="K20" t="str">
        <f>VLOOKUP(K6,'Thang đánh giá'!$C$2:$D$27,2,FALSE)</f>
        <v>(0,251; 0,3347; 0,3347)</v>
      </c>
      <c r="L20" t="str">
        <f>VLOOKUP(L6,'Thang đánh giá'!$C$2:$D$27,2,FALSE)</f>
        <v>(0,0707; 0,1414; 0,2121)</v>
      </c>
      <c r="M20" t="str">
        <f>VLOOKUP(M6,'Thang đánh giá'!$C$2:$D$27,2,FALSE)</f>
        <v>(0; 0,0707; 0,1414)</v>
      </c>
    </row>
    <row r="21" spans="1:13" x14ac:dyDescent="0.3">
      <c r="A21" t="s">
        <v>5</v>
      </c>
      <c r="B21" t="str">
        <f>VLOOKUP(B7,'Thang đánh giá'!$C$2:$D$27,2,FALSE)</f>
        <v>(0; 0,0707; 0,1414)</v>
      </c>
      <c r="C21" t="str">
        <f>VLOOKUP(C7,'Thang đánh giá'!$C$2:$D$27,2,FALSE)</f>
        <v>(0; 0; 0,0837)</v>
      </c>
      <c r="D21" t="str">
        <f>VLOOKUP(D7,'Thang đánh giá'!$C$2:$D$27,2,FALSE)</f>
        <v>(0; 0; 0,0707)</v>
      </c>
      <c r="E21" t="str">
        <f>VLOOKUP(E7,'Thang đánh giá'!$C$2:$D$27,2,FALSE)</f>
        <v>(0; 0; 0,0707)</v>
      </c>
      <c r="F21" t="str">
        <f>VLOOKUP(F7,'Thang đánh giá'!$C$2:$D$27,2,FALSE)</f>
        <v>(0; 0; 0,0707)</v>
      </c>
      <c r="G21" t="str">
        <f>VLOOKUP(G7,'Thang đánh giá'!$C$2:$D$27,2,FALSE)</f>
        <v>(0; 0; 0)</v>
      </c>
      <c r="H21" t="str">
        <f>VLOOKUP(H7,'Thang đánh giá'!$C$2:$D$27,2,FALSE)</f>
        <v>(0; 0; 0,0837)</v>
      </c>
      <c r="I21" t="str">
        <f>VLOOKUP(I7,'Thang đánh giá'!$C$2:$D$27,2,FALSE)</f>
        <v>(0,0707; 0,1414; 0,2121)</v>
      </c>
      <c r="J21" t="str">
        <f>VLOOKUP(J7,'Thang đánh giá'!$C$2:$D$27,2,FALSE)</f>
        <v>(0,251; 0,3347; 0,3347)</v>
      </c>
      <c r="K21" t="str">
        <f>VLOOKUP(K7,'Thang đánh giá'!$C$2:$D$27,2,FALSE)</f>
        <v>(0; 0,0837; 0,1673)</v>
      </c>
      <c r="L21" t="str">
        <f>VLOOKUP(L7,'Thang đánh giá'!$C$2:$D$27,2,FALSE)</f>
        <v>(0; 0; 0,0316)</v>
      </c>
      <c r="M21" t="str">
        <f>VLOOKUP(M7,'Thang đánh giá'!$C$2:$D$27,2,FALSE)</f>
        <v>(0; 0,0548; 0,1095)</v>
      </c>
    </row>
    <row r="22" spans="1:13" x14ac:dyDescent="0.3">
      <c r="A22" t="s">
        <v>6</v>
      </c>
      <c r="B22" t="str">
        <f>VLOOKUP(B8,'Thang đánh giá'!$C$2:$D$27,2,FALSE)</f>
        <v>(0; 0; 0,0707)</v>
      </c>
      <c r="C22" t="str">
        <f>VLOOKUP(C8,'Thang đánh giá'!$C$2:$D$27,2,FALSE)</f>
        <v>(0; 0,0837; 0,1673)</v>
      </c>
      <c r="D22" t="str">
        <f>VLOOKUP(D8,'Thang đánh giá'!$C$2:$D$27,2,FALSE)</f>
        <v>(0; 0; 0,0837)</v>
      </c>
      <c r="E22" t="str">
        <f>VLOOKUP(E8,'Thang đánh giá'!$C$2:$D$27,2,FALSE)</f>
        <v>(0,0707; 0,1414; 0,2121)</v>
      </c>
      <c r="F22" t="str">
        <f>VLOOKUP(F8,'Thang đánh giá'!$C$2:$D$27,2,FALSE)</f>
        <v>(0; 0; 0,0707)</v>
      </c>
      <c r="G22" t="str">
        <f>VLOOKUP(G8,'Thang đánh giá'!$C$2:$D$27,2,FALSE)</f>
        <v>(0; 0,0707; 0,1414)</v>
      </c>
      <c r="H22" t="str">
        <f>VLOOKUP(H8,'Thang đánh giá'!$C$2:$D$27,2,FALSE)</f>
        <v>(0; 0; 0)</v>
      </c>
      <c r="I22" t="str">
        <f>VLOOKUP(I8,'Thang đánh giá'!$C$2:$D$27,2,FALSE)</f>
        <v>(0; 0,0548; 0,1095)</v>
      </c>
      <c r="J22" t="str">
        <f>VLOOKUP(J8,'Thang đánh giá'!$C$2:$D$27,2,FALSE)</f>
        <v>(0; 0,0837; 0,1673)</v>
      </c>
      <c r="K22" t="str">
        <f>VLOOKUP(K8,'Thang đánh giá'!$C$2:$D$27,2,FALSE)</f>
        <v>(0; 0; 0,0548)</v>
      </c>
      <c r="L22" t="str">
        <f>VLOOKUP(L8,'Thang đánh giá'!$C$2:$D$27,2,FALSE)</f>
        <v>(0; 0; 0,0707)</v>
      </c>
      <c r="M22" t="str">
        <f>VLOOKUP(M8,'Thang đánh giá'!$C$2:$D$27,2,FALSE)</f>
        <v>(0; 0; 0,0707)</v>
      </c>
    </row>
    <row r="23" spans="1:13" x14ac:dyDescent="0.3">
      <c r="A23" t="s">
        <v>7</v>
      </c>
      <c r="B23" t="str">
        <f>VLOOKUP(B9,'Thang đánh giá'!$C$2:$D$27,2,FALSE)</f>
        <v>(0; 0,0548; 0,1095)</v>
      </c>
      <c r="C23" t="str">
        <f>VLOOKUP(C9,'Thang đánh giá'!$C$2:$D$27,2,FALSE)</f>
        <v>(0; 0; 0,0707)</v>
      </c>
      <c r="D23" t="str">
        <f>VLOOKUP(D9,'Thang đánh giá'!$C$2:$D$27,2,FALSE)</f>
        <v>(0; 0,0707; 0,1414)</v>
      </c>
      <c r="E23" t="str">
        <f>VLOOKUP(E9,'Thang đánh giá'!$C$2:$D$27,2,FALSE)</f>
        <v>(0; 0; 0,0316)</v>
      </c>
      <c r="F23" t="str">
        <f>VLOOKUP(F9,'Thang đánh giá'!$C$2:$D$27,2,FALSE)</f>
        <v>(0; 0; 0,0316)</v>
      </c>
      <c r="G23" t="str">
        <f>VLOOKUP(G9,'Thang đánh giá'!$C$2:$D$27,2,FALSE)</f>
        <v>(0; 0; 0,0548)</v>
      </c>
      <c r="H23" t="str">
        <f>VLOOKUP(H9,'Thang đánh giá'!$C$2:$D$27,2,FALSE)</f>
        <v>(0; 0,0707; 0,1414)</v>
      </c>
      <c r="I23" t="str">
        <f>VLOOKUP(I9,'Thang đánh giá'!$C$2:$D$27,2,FALSE)</f>
        <v>(0; 0; 0)</v>
      </c>
      <c r="J23" t="str">
        <f>VLOOKUP(J9,'Thang đánh giá'!$C$2:$D$27,2,FALSE)</f>
        <v>(0,1897; 0,2846; 0,3795)</v>
      </c>
      <c r="K23" t="str">
        <f>VLOOKUP(K9,'Thang đánh giá'!$C$2:$D$27,2,FALSE)</f>
        <v>(0,251; 0,3347; 0,3347)</v>
      </c>
      <c r="L23" t="str">
        <f>VLOOKUP(L9,'Thang đánh giá'!$C$2:$D$27,2,FALSE)</f>
        <v>(0,1897; 0,2846; 0,3795)</v>
      </c>
      <c r="M23" t="str">
        <f>VLOOKUP(M9,'Thang đánh giá'!$C$2:$D$27,2,FALSE)</f>
        <v>(0,2846; 0,3795; 0,3795)</v>
      </c>
    </row>
    <row r="24" spans="1:13" x14ac:dyDescent="0.3">
      <c r="A24" t="s">
        <v>8</v>
      </c>
      <c r="B24" t="str">
        <f>VLOOKUP(B10,'Thang đánh giá'!$C$2:$D$27,2,FALSE)</f>
        <v>(0,0837; 0,1673; 0,251)</v>
      </c>
      <c r="C24" t="str">
        <f>VLOOKUP(C10,'Thang đánh giá'!$C$2:$D$27,2,FALSE)</f>
        <v>(0; 0; 0,0707)</v>
      </c>
      <c r="D24" t="str">
        <f>VLOOKUP(D10,'Thang đánh giá'!$C$2:$D$27,2,FALSE)</f>
        <v>(0; 0,0707; 0,1414)</v>
      </c>
      <c r="E24" t="str">
        <f>VLOOKUP(E10,'Thang đánh giá'!$C$2:$D$27,2,FALSE)</f>
        <v>(0; 0; 0,0707)</v>
      </c>
      <c r="F24" t="str">
        <f>VLOOKUP(F10,'Thang đánh giá'!$C$2:$D$27,2,FALSE)</f>
        <v>(0; 0,0548; 0,1095)</v>
      </c>
      <c r="G24" t="str">
        <f>VLOOKUP(G10,'Thang đánh giá'!$C$2:$D$27,2,FALSE)</f>
        <v>(0; 0,0548; 0,1095)</v>
      </c>
      <c r="H24" t="str">
        <f>VLOOKUP(H10,'Thang đánh giá'!$C$2:$D$27,2,FALSE)</f>
        <v>(0,251; 0,3347; 0,3347)</v>
      </c>
      <c r="I24" t="str">
        <f>VLOOKUP(I10,'Thang đánh giá'!$C$2:$D$27,2,FALSE)</f>
        <v>(0; 0,0837; 0,1673)</v>
      </c>
      <c r="J24" t="str">
        <f>VLOOKUP(J10,'Thang đánh giá'!$C$2:$D$27,2,FALSE)</f>
        <v>(0; 0; 0)</v>
      </c>
      <c r="K24" t="str">
        <f>VLOOKUP(K10,'Thang đánh giá'!$C$2:$D$27,2,FALSE)</f>
        <v>(0,2846; 0,3795; 0,3795)</v>
      </c>
      <c r="L24" t="str">
        <f>VLOOKUP(L10,'Thang đánh giá'!$C$2:$D$27,2,FALSE)</f>
        <v>(0,1897; 0,2846; 0,3795)</v>
      </c>
      <c r="M24" t="str">
        <f>VLOOKUP(M10,'Thang đánh giá'!$C$2:$D$27,2,FALSE)</f>
        <v>(0,1897; 0,2846; 0,3795)</v>
      </c>
    </row>
    <row r="25" spans="1:13" x14ac:dyDescent="0.3">
      <c r="A25" t="s">
        <v>9</v>
      </c>
      <c r="B25" t="str">
        <f>VLOOKUP(B11,'Thang đánh giá'!$C$2:$D$27,2,FALSE)</f>
        <v>(0; 0,0548; 0,1095)</v>
      </c>
      <c r="C25" t="str">
        <f>VLOOKUP(C11,'Thang đánh giá'!$C$2:$D$27,2,FALSE)</f>
        <v>(0; 0; 0,0707)</v>
      </c>
      <c r="D25" t="str">
        <f>VLOOKUP(D11,'Thang đánh giá'!$C$2:$D$27,2,FALSE)</f>
        <v>(0; 0,0707; 0,1414)</v>
      </c>
      <c r="E25" t="str">
        <f>VLOOKUP(E11,'Thang đánh giá'!$C$2:$D$27,2,FALSE)</f>
        <v>(0,0837; 0,1673; 0,251)</v>
      </c>
      <c r="F25" t="str">
        <f>VLOOKUP(F11,'Thang đánh giá'!$C$2:$D$27,2,FALSE)</f>
        <v>(0; 0; 0,0548)</v>
      </c>
      <c r="G25" t="str">
        <f>VLOOKUP(G11,'Thang đánh giá'!$C$2:$D$27,2,FALSE)</f>
        <v>(0; 0; 0,0837)</v>
      </c>
      <c r="H25" t="str">
        <f>VLOOKUP(H11,'Thang đánh giá'!$C$2:$D$27,2,FALSE)</f>
        <v>(0; 0,0707; 0,1414)</v>
      </c>
      <c r="I25" t="str">
        <f>VLOOKUP(I11,'Thang đánh giá'!$C$2:$D$27,2,FALSE)</f>
        <v>(0; 0; 0,0548)</v>
      </c>
      <c r="J25" t="str">
        <f>VLOOKUP(J11,'Thang đánh giá'!$C$2:$D$27,2,FALSE)</f>
        <v>(0; 0,0548; 0,1095)</v>
      </c>
      <c r="K25" t="str">
        <f>VLOOKUP(K11,'Thang đánh giá'!$C$2:$D$27,2,FALSE)</f>
        <v>(0; 0; 0)</v>
      </c>
      <c r="L25" t="str">
        <f>VLOOKUP(L11,'Thang đánh giá'!$C$2:$D$27,2,FALSE)</f>
        <v>(0; 0,0707; 0,1414)</v>
      </c>
      <c r="M25" t="str">
        <f>VLOOKUP(M11,'Thang đánh giá'!$C$2:$D$27,2,FALSE)</f>
        <v>(0; 0; 0,0316)</v>
      </c>
    </row>
    <row r="26" spans="1:13" x14ac:dyDescent="0.3">
      <c r="A26" t="s">
        <v>10</v>
      </c>
      <c r="B26" t="str">
        <f>VLOOKUP(B12,'Thang đánh giá'!$C$2:$D$27,2,FALSE)</f>
        <v>(0,0707; 0,1414; 0,2121)</v>
      </c>
      <c r="C26" t="str">
        <f>VLOOKUP(C12,'Thang đánh giá'!$C$2:$D$27,2,FALSE)</f>
        <v>(0; 0; 0,0548)</v>
      </c>
      <c r="D26" t="str">
        <f>VLOOKUP(D12,'Thang đánh giá'!$C$2:$D$27,2,FALSE)</f>
        <v>(0; 0; 0,0837)</v>
      </c>
      <c r="E26" t="str">
        <f>VLOOKUP(E12,'Thang đánh giá'!$C$2:$D$27,2,FALSE)</f>
        <v>(0; 0; 0,0548)</v>
      </c>
      <c r="F26" t="str">
        <f>VLOOKUP(F12,'Thang đánh giá'!$C$2:$D$27,2,FALSE)</f>
        <v>(0; 0; 0,0707)</v>
      </c>
      <c r="G26" t="str">
        <f>VLOOKUP(G12,'Thang đánh giá'!$C$2:$D$27,2,FALSE)</f>
        <v>(0; 0,0707; 0,1414)</v>
      </c>
      <c r="H26" t="str">
        <f>VLOOKUP(H12,'Thang đánh giá'!$C$2:$D$27,2,FALSE)</f>
        <v>(0; 0; 0,0707)</v>
      </c>
      <c r="I26" t="str">
        <f>VLOOKUP(I12,'Thang đánh giá'!$C$2:$D$27,2,FALSE)</f>
        <v>(0; 0; 0,0316)</v>
      </c>
      <c r="J26" t="str">
        <f>VLOOKUP(J12,'Thang đánh giá'!$C$2:$D$27,2,FALSE)</f>
        <v>(0; 0; 0,0316)</v>
      </c>
      <c r="K26" t="str">
        <f>VLOOKUP(K12,'Thang đánh giá'!$C$2:$D$27,2,FALSE)</f>
        <v>(0; 0,0707; 0,1414)</v>
      </c>
      <c r="L26" t="str">
        <f>VLOOKUP(L12,'Thang đánh giá'!$C$2:$D$27,2,FALSE)</f>
        <v>(0; 0; 0)</v>
      </c>
      <c r="M26" t="str">
        <f>VLOOKUP(M12,'Thang đánh giá'!$C$2:$D$27,2,FALSE)</f>
        <v>(0,1897; 0,2846; 0,3795)</v>
      </c>
    </row>
    <row r="27" spans="1:13" x14ac:dyDescent="0.3">
      <c r="A27" t="s">
        <v>11</v>
      </c>
      <c r="B27" t="str">
        <f>VLOOKUP(B13,'Thang đánh giá'!$C$2:$D$27,2,FALSE)</f>
        <v>(0; 0,0837; 0,1673)</v>
      </c>
      <c r="C27" t="str">
        <f>VLOOKUP(C13,'Thang đánh giá'!$C$2:$D$27,2,FALSE)</f>
        <v>(0; 0,0316; 0,0632)</v>
      </c>
      <c r="D27" t="str">
        <f>VLOOKUP(D13,'Thang đánh giá'!$C$2:$D$27,2,FALSE)</f>
        <v>(0; 0,0707; 0,1414)</v>
      </c>
      <c r="E27" t="str">
        <f>VLOOKUP(E13,'Thang đánh giá'!$C$2:$D$27,2,FALSE)</f>
        <v>(0; 0; 0,0548)</v>
      </c>
      <c r="F27" t="str">
        <f>VLOOKUP(F13,'Thang đánh giá'!$C$2:$D$27,2,FALSE)</f>
        <v>(0; 0,0837; 0,1673)</v>
      </c>
      <c r="G27" t="str">
        <f>VLOOKUP(G13,'Thang đánh giá'!$C$2:$D$27,2,FALSE)</f>
        <v>(0; 0,0707; 0,1414)</v>
      </c>
      <c r="H27" t="str">
        <f>VLOOKUP(H13,'Thang đánh giá'!$C$2:$D$27,2,FALSE)</f>
        <v>(0; 0,0316; 0,0632)</v>
      </c>
      <c r="I27" t="str">
        <f>VLOOKUP(I13,'Thang đánh giá'!$C$2:$D$27,2,FALSE)</f>
        <v>(0,0837; 0,1673; 0,251)</v>
      </c>
      <c r="J27" t="str">
        <f>VLOOKUP(J13,'Thang đánh giá'!$C$2:$D$27,2,FALSE)</f>
        <v>(0; 0; 0,0707)</v>
      </c>
      <c r="K27" t="str">
        <f>VLOOKUP(K13,'Thang đánh giá'!$C$2:$D$27,2,FALSE)</f>
        <v>(0; 0; 0,0707)</v>
      </c>
      <c r="L27" t="str">
        <f>VLOOKUP(L13,'Thang đánh giá'!$C$2:$D$27,2,FALSE)</f>
        <v>(0; 0; 0,0548)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0.18970000000000001</v>
      </c>
      <c r="D30">
        <f t="shared" si="0"/>
        <v>8.3699999999999997E-2</v>
      </c>
      <c r="E30">
        <f t="shared" si="0"/>
        <v>0</v>
      </c>
      <c r="F30">
        <f t="shared" si="0"/>
        <v>0</v>
      </c>
      <c r="G30">
        <f t="shared" si="0"/>
        <v>0</v>
      </c>
      <c r="H30">
        <f t="shared" si="0"/>
        <v>7.0699999999999999E-2</v>
      </c>
      <c r="I30">
        <f t="shared" si="0"/>
        <v>0</v>
      </c>
      <c r="J30">
        <f t="shared" si="0"/>
        <v>0.1673</v>
      </c>
      <c r="K30">
        <f t="shared" si="0"/>
        <v>0</v>
      </c>
      <c r="L30">
        <f t="shared" si="0"/>
        <v>0</v>
      </c>
      <c r="M30">
        <f t="shared" si="0"/>
        <v>0</v>
      </c>
    </row>
    <row r="31" spans="1:13" x14ac:dyDescent="0.3">
      <c r="A31" t="s">
        <v>1</v>
      </c>
      <c r="B31">
        <f t="shared" ref="B31:M41" si="1">_xlfn.NUMBERVALUE(MID(B17,2,FIND(";",B17,1)-2))</f>
        <v>0</v>
      </c>
      <c r="C31">
        <f t="shared" si="1"/>
        <v>0</v>
      </c>
      <c r="D31">
        <f t="shared" si="1"/>
        <v>0.18970000000000001</v>
      </c>
      <c r="E31">
        <f t="shared" si="1"/>
        <v>0.251</v>
      </c>
      <c r="F31">
        <f t="shared" si="1"/>
        <v>8.3699999999999997E-2</v>
      </c>
      <c r="G31">
        <f t="shared" si="1"/>
        <v>0</v>
      </c>
      <c r="H31">
        <f t="shared" si="1"/>
        <v>0.28460000000000002</v>
      </c>
      <c r="I31">
        <f t="shared" si="1"/>
        <v>7.0699999999999999E-2</v>
      </c>
      <c r="J31">
        <f t="shared" si="1"/>
        <v>0.1673</v>
      </c>
      <c r="K31">
        <f t="shared" si="1"/>
        <v>0.28460000000000002</v>
      </c>
      <c r="L31">
        <f t="shared" si="1"/>
        <v>0.18970000000000001</v>
      </c>
      <c r="M31">
        <f t="shared" si="1"/>
        <v>0.1673</v>
      </c>
    </row>
    <row r="32" spans="1:13" x14ac:dyDescent="0.3">
      <c r="A32" t="s">
        <v>2</v>
      </c>
      <c r="B32">
        <f t="shared" si="1"/>
        <v>7.0699999999999999E-2</v>
      </c>
      <c r="C32">
        <f t="shared" si="1"/>
        <v>0</v>
      </c>
      <c r="D32">
        <f t="shared" si="1"/>
        <v>0</v>
      </c>
      <c r="E32">
        <f t="shared" si="1"/>
        <v>0</v>
      </c>
      <c r="F32">
        <f t="shared" si="1"/>
        <v>0</v>
      </c>
      <c r="G32">
        <f t="shared" si="1"/>
        <v>7.0699999999999999E-2</v>
      </c>
      <c r="H32">
        <f t="shared" si="1"/>
        <v>7.0699999999999999E-2</v>
      </c>
      <c r="I32">
        <f t="shared" si="1"/>
        <v>0</v>
      </c>
      <c r="J32">
        <f t="shared" si="1"/>
        <v>0.18970000000000001</v>
      </c>
      <c r="K32">
        <f t="shared" si="1"/>
        <v>0.28460000000000002</v>
      </c>
      <c r="L32">
        <f t="shared" si="1"/>
        <v>0.18970000000000001</v>
      </c>
      <c r="M32">
        <f t="shared" si="1"/>
        <v>0.18970000000000001</v>
      </c>
    </row>
    <row r="33" spans="1:13" x14ac:dyDescent="0.3">
      <c r="A33" t="s">
        <v>3</v>
      </c>
      <c r="B33">
        <f t="shared" si="1"/>
        <v>0.28460000000000002</v>
      </c>
      <c r="C33">
        <f t="shared" si="1"/>
        <v>0.28460000000000002</v>
      </c>
      <c r="D33">
        <f t="shared" si="1"/>
        <v>0.28460000000000002</v>
      </c>
      <c r="E33">
        <f t="shared" si="1"/>
        <v>0</v>
      </c>
      <c r="F33">
        <f t="shared" si="1"/>
        <v>0</v>
      </c>
      <c r="G33">
        <f t="shared" si="1"/>
        <v>0.28460000000000002</v>
      </c>
      <c r="H33">
        <f t="shared" si="1"/>
        <v>0.28460000000000002</v>
      </c>
      <c r="I33">
        <f t="shared" si="1"/>
        <v>0.28460000000000002</v>
      </c>
      <c r="J33">
        <f t="shared" si="1"/>
        <v>0.28460000000000002</v>
      </c>
      <c r="K33">
        <f t="shared" si="1"/>
        <v>0.28460000000000002</v>
      </c>
      <c r="L33">
        <f t="shared" si="1"/>
        <v>0.28460000000000002</v>
      </c>
      <c r="M33">
        <f t="shared" si="1"/>
        <v>0.28460000000000002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7.0699999999999999E-2</v>
      </c>
      <c r="D34">
        <f t="shared" si="2"/>
        <v>0</v>
      </c>
      <c r="E34">
        <f t="shared" si="2"/>
        <v>0</v>
      </c>
      <c r="F34">
        <f t="shared" si="2"/>
        <v>0</v>
      </c>
      <c r="G34">
        <f t="shared" si="2"/>
        <v>0.18970000000000001</v>
      </c>
      <c r="H34">
        <f t="shared" si="2"/>
        <v>0</v>
      </c>
      <c r="I34">
        <f t="shared" si="2"/>
        <v>0</v>
      </c>
      <c r="J34">
        <f t="shared" si="2"/>
        <v>0.251</v>
      </c>
      <c r="K34">
        <f t="shared" si="2"/>
        <v>0.251</v>
      </c>
      <c r="L34">
        <f t="shared" si="2"/>
        <v>7.0699999999999999E-2</v>
      </c>
      <c r="M34">
        <f t="shared" si="2"/>
        <v>0</v>
      </c>
    </row>
    <row r="35" spans="1:13" x14ac:dyDescent="0.3">
      <c r="A35" t="s">
        <v>5</v>
      </c>
      <c r="B35">
        <f t="shared" si="1"/>
        <v>0</v>
      </c>
      <c r="C35">
        <f t="shared" si="1"/>
        <v>0</v>
      </c>
      <c r="D35">
        <f t="shared" si="1"/>
        <v>0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7.0699999999999999E-2</v>
      </c>
      <c r="J35">
        <f t="shared" si="1"/>
        <v>0.251</v>
      </c>
      <c r="K35">
        <f t="shared" si="1"/>
        <v>0</v>
      </c>
      <c r="L35">
        <f t="shared" si="1"/>
        <v>0</v>
      </c>
      <c r="M35">
        <f t="shared" si="1"/>
        <v>0</v>
      </c>
    </row>
    <row r="36" spans="1:13" x14ac:dyDescent="0.3">
      <c r="A36" t="s">
        <v>6</v>
      </c>
      <c r="B36">
        <f t="shared" si="1"/>
        <v>0</v>
      </c>
      <c r="C36">
        <f t="shared" si="1"/>
        <v>0</v>
      </c>
      <c r="D36">
        <f t="shared" si="1"/>
        <v>0</v>
      </c>
      <c r="E36">
        <f t="shared" si="1"/>
        <v>7.0699999999999999E-2</v>
      </c>
      <c r="F36">
        <f t="shared" si="1"/>
        <v>0</v>
      </c>
      <c r="G36">
        <f t="shared" si="1"/>
        <v>0</v>
      </c>
      <c r="H36">
        <f t="shared" si="1"/>
        <v>0</v>
      </c>
      <c r="I36">
        <f t="shared" si="1"/>
        <v>0</v>
      </c>
      <c r="J36">
        <f t="shared" si="1"/>
        <v>0</v>
      </c>
      <c r="K36">
        <f t="shared" si="1"/>
        <v>0</v>
      </c>
      <c r="L36">
        <f t="shared" si="1"/>
        <v>0</v>
      </c>
      <c r="M36">
        <f t="shared" si="1"/>
        <v>0</v>
      </c>
    </row>
    <row r="37" spans="1:13" x14ac:dyDescent="0.3">
      <c r="A37" t="s">
        <v>7</v>
      </c>
      <c r="B37">
        <f t="shared" si="1"/>
        <v>0</v>
      </c>
      <c r="C37">
        <f t="shared" si="1"/>
        <v>0</v>
      </c>
      <c r="D37">
        <f t="shared" si="1"/>
        <v>0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0.18970000000000001</v>
      </c>
      <c r="K37">
        <f t="shared" si="1"/>
        <v>0.251</v>
      </c>
      <c r="L37">
        <f t="shared" si="1"/>
        <v>0.18970000000000001</v>
      </c>
      <c r="M37">
        <f t="shared" si="1"/>
        <v>0.28460000000000002</v>
      </c>
    </row>
    <row r="38" spans="1:13" x14ac:dyDescent="0.3">
      <c r="A38" t="s">
        <v>8</v>
      </c>
      <c r="B38">
        <f t="shared" si="1"/>
        <v>8.3699999999999997E-2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0.251</v>
      </c>
      <c r="I38">
        <f t="shared" si="1"/>
        <v>0</v>
      </c>
      <c r="J38">
        <f t="shared" si="1"/>
        <v>0</v>
      </c>
      <c r="K38">
        <f t="shared" si="1"/>
        <v>0.28460000000000002</v>
      </c>
      <c r="L38">
        <f t="shared" si="1"/>
        <v>0.18970000000000001</v>
      </c>
      <c r="M38">
        <f t="shared" si="1"/>
        <v>0.18970000000000001</v>
      </c>
    </row>
    <row r="39" spans="1:13" x14ac:dyDescent="0.3">
      <c r="A39" t="s">
        <v>9</v>
      </c>
      <c r="B39">
        <f t="shared" si="1"/>
        <v>0</v>
      </c>
      <c r="C39">
        <f t="shared" si="1"/>
        <v>0</v>
      </c>
      <c r="D39">
        <f t="shared" si="1"/>
        <v>0</v>
      </c>
      <c r="E39">
        <f t="shared" si="1"/>
        <v>8.3699999999999997E-2</v>
      </c>
      <c r="F39">
        <f t="shared" si="1"/>
        <v>0</v>
      </c>
      <c r="G39">
        <f t="shared" si="1"/>
        <v>0</v>
      </c>
      <c r="H39">
        <f t="shared" si="1"/>
        <v>0</v>
      </c>
      <c r="I39">
        <f t="shared" si="1"/>
        <v>0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0</v>
      </c>
    </row>
    <row r="40" spans="1:13" x14ac:dyDescent="0.3">
      <c r="A40" t="s">
        <v>10</v>
      </c>
      <c r="B40">
        <f t="shared" si="1"/>
        <v>7.0699999999999999E-2</v>
      </c>
      <c r="C40">
        <f t="shared" si="1"/>
        <v>0</v>
      </c>
      <c r="D40">
        <f t="shared" si="1"/>
        <v>0</v>
      </c>
      <c r="E40">
        <f t="shared" si="1"/>
        <v>0</v>
      </c>
      <c r="F40">
        <f t="shared" si="1"/>
        <v>0</v>
      </c>
      <c r="G40">
        <f t="shared" si="1"/>
        <v>0</v>
      </c>
      <c r="H40">
        <f t="shared" si="1"/>
        <v>0</v>
      </c>
      <c r="I40">
        <f t="shared" si="1"/>
        <v>0</v>
      </c>
      <c r="J40">
        <f t="shared" si="1"/>
        <v>0</v>
      </c>
      <c r="K40">
        <f t="shared" si="1"/>
        <v>0</v>
      </c>
      <c r="L40">
        <f t="shared" si="1"/>
        <v>0</v>
      </c>
      <c r="M40">
        <f t="shared" si="1"/>
        <v>0.18970000000000001</v>
      </c>
    </row>
    <row r="41" spans="1:13" x14ac:dyDescent="0.3">
      <c r="A41" t="s">
        <v>11</v>
      </c>
      <c r="B41">
        <f t="shared" si="1"/>
        <v>0</v>
      </c>
      <c r="C41">
        <f t="shared" si="1"/>
        <v>0</v>
      </c>
      <c r="D41">
        <f t="shared" si="1"/>
        <v>0</v>
      </c>
      <c r="E41">
        <f t="shared" si="1"/>
        <v>0</v>
      </c>
      <c r="F41">
        <f t="shared" si="1"/>
        <v>0</v>
      </c>
      <c r="G41">
        <f t="shared" si="1"/>
        <v>0</v>
      </c>
      <c r="H41">
        <f t="shared" si="1"/>
        <v>0</v>
      </c>
      <c r="I41">
        <f t="shared" si="1"/>
        <v>8.3699999999999997E-2</v>
      </c>
      <c r="J41">
        <f t="shared" si="1"/>
        <v>0</v>
      </c>
      <c r="K41">
        <f t="shared" si="1"/>
        <v>0</v>
      </c>
      <c r="L41">
        <f t="shared" si="1"/>
        <v>0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0.28460000000000002</v>
      </c>
      <c r="D44">
        <f t="shared" si="3"/>
        <v>0.1673</v>
      </c>
      <c r="E44">
        <f t="shared" si="3"/>
        <v>0</v>
      </c>
      <c r="F44">
        <f t="shared" si="3"/>
        <v>0</v>
      </c>
      <c r="G44">
        <f t="shared" si="3"/>
        <v>0</v>
      </c>
      <c r="H44">
        <f t="shared" si="3"/>
        <v>0.1414</v>
      </c>
      <c r="I44">
        <f t="shared" si="3"/>
        <v>5.4800000000000001E-2</v>
      </c>
      <c r="J44">
        <f t="shared" si="3"/>
        <v>0.251</v>
      </c>
      <c r="K44">
        <f t="shared" si="3"/>
        <v>0</v>
      </c>
      <c r="L44">
        <f t="shared" si="3"/>
        <v>5.4800000000000001E-2</v>
      </c>
      <c r="M44">
        <f t="shared" si="3"/>
        <v>0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5.4800000000000001E-2</v>
      </c>
      <c r="C45">
        <f t="shared" si="4"/>
        <v>0</v>
      </c>
      <c r="D45">
        <f t="shared" si="4"/>
        <v>0.28460000000000002</v>
      </c>
      <c r="E45">
        <f t="shared" si="4"/>
        <v>0.3347</v>
      </c>
      <c r="F45">
        <f t="shared" si="4"/>
        <v>0.1673</v>
      </c>
      <c r="G45">
        <f t="shared" si="4"/>
        <v>0</v>
      </c>
      <c r="H45">
        <f t="shared" si="4"/>
        <v>0.3795</v>
      </c>
      <c r="I45">
        <f t="shared" si="4"/>
        <v>0.1414</v>
      </c>
      <c r="J45">
        <f t="shared" si="4"/>
        <v>0.251</v>
      </c>
      <c r="K45">
        <f t="shared" si="4"/>
        <v>0.3795</v>
      </c>
      <c r="L45">
        <f t="shared" si="4"/>
        <v>0.28460000000000002</v>
      </c>
      <c r="M45">
        <f t="shared" si="4"/>
        <v>0.251</v>
      </c>
    </row>
    <row r="46" spans="1:13" x14ac:dyDescent="0.3">
      <c r="A46" t="s">
        <v>2</v>
      </c>
      <c r="B46">
        <f t="shared" si="4"/>
        <v>0.1414</v>
      </c>
      <c r="C46">
        <f t="shared" si="4"/>
        <v>7.0699999999999999E-2</v>
      </c>
      <c r="D46">
        <f t="shared" si="4"/>
        <v>0</v>
      </c>
      <c r="E46">
        <f t="shared" si="4"/>
        <v>0</v>
      </c>
      <c r="F46">
        <f t="shared" si="4"/>
        <v>5.4800000000000001E-2</v>
      </c>
      <c r="G46">
        <f t="shared" si="4"/>
        <v>0.1414</v>
      </c>
      <c r="H46">
        <f t="shared" si="4"/>
        <v>0.1414</v>
      </c>
      <c r="I46">
        <f t="shared" si="4"/>
        <v>7.0699999999999999E-2</v>
      </c>
      <c r="J46">
        <f t="shared" si="4"/>
        <v>0.28460000000000002</v>
      </c>
      <c r="K46">
        <f t="shared" si="4"/>
        <v>0.3795</v>
      </c>
      <c r="L46">
        <f t="shared" si="4"/>
        <v>0.28460000000000002</v>
      </c>
      <c r="M46">
        <f t="shared" si="4"/>
        <v>0.28460000000000002</v>
      </c>
    </row>
    <row r="47" spans="1:13" x14ac:dyDescent="0.3">
      <c r="A47" t="s">
        <v>3</v>
      </c>
      <c r="B47">
        <f t="shared" si="4"/>
        <v>0.3795</v>
      </c>
      <c r="C47">
        <f t="shared" si="4"/>
        <v>0.3795</v>
      </c>
      <c r="D47">
        <f t="shared" si="4"/>
        <v>0.3795</v>
      </c>
      <c r="E47">
        <f t="shared" si="4"/>
        <v>0</v>
      </c>
      <c r="F47">
        <f t="shared" si="4"/>
        <v>7.0699999999999999E-2</v>
      </c>
      <c r="G47">
        <f t="shared" si="4"/>
        <v>0.3795</v>
      </c>
      <c r="H47">
        <f t="shared" si="4"/>
        <v>0.3795</v>
      </c>
      <c r="I47">
        <f t="shared" si="4"/>
        <v>0.3795</v>
      </c>
      <c r="J47">
        <f t="shared" si="4"/>
        <v>0.3795</v>
      </c>
      <c r="K47">
        <f t="shared" si="4"/>
        <v>0.3795</v>
      </c>
      <c r="L47">
        <f t="shared" si="4"/>
        <v>0.3795</v>
      </c>
      <c r="M47">
        <f t="shared" si="4"/>
        <v>0.3795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5.4800000000000001E-2</v>
      </c>
      <c r="C48">
        <f t="shared" si="5"/>
        <v>0.1414</v>
      </c>
      <c r="D48">
        <f t="shared" si="5"/>
        <v>0</v>
      </c>
      <c r="E48">
        <f t="shared" si="5"/>
        <v>7.0699999999999999E-2</v>
      </c>
      <c r="F48">
        <f t="shared" si="5"/>
        <v>0</v>
      </c>
      <c r="G48">
        <f t="shared" si="5"/>
        <v>0.28460000000000002</v>
      </c>
      <c r="H48">
        <f t="shared" si="5"/>
        <v>7.0699999999999999E-2</v>
      </c>
      <c r="I48">
        <f t="shared" si="5"/>
        <v>5.4800000000000001E-2</v>
      </c>
      <c r="J48">
        <f t="shared" si="5"/>
        <v>0.3347</v>
      </c>
      <c r="K48">
        <f t="shared" si="5"/>
        <v>0.3347</v>
      </c>
      <c r="L48">
        <f t="shared" si="5"/>
        <v>0.1414</v>
      </c>
      <c r="M48">
        <f t="shared" si="5"/>
        <v>7.0699999999999999E-2</v>
      </c>
    </row>
    <row r="49" spans="1:13" x14ac:dyDescent="0.3">
      <c r="A49" t="s">
        <v>5</v>
      </c>
      <c r="B49">
        <f t="shared" si="4"/>
        <v>7.0699999999999999E-2</v>
      </c>
      <c r="C49">
        <f t="shared" si="4"/>
        <v>0</v>
      </c>
      <c r="D49">
        <f t="shared" si="4"/>
        <v>0</v>
      </c>
      <c r="E49">
        <f t="shared" si="4"/>
        <v>0</v>
      </c>
      <c r="F49">
        <f t="shared" si="4"/>
        <v>0</v>
      </c>
      <c r="G49">
        <f t="shared" si="4"/>
        <v>0</v>
      </c>
      <c r="H49">
        <f t="shared" si="4"/>
        <v>0</v>
      </c>
      <c r="I49">
        <f t="shared" si="4"/>
        <v>0.1414</v>
      </c>
      <c r="J49">
        <f t="shared" si="4"/>
        <v>0.3347</v>
      </c>
      <c r="K49">
        <f t="shared" si="4"/>
        <v>8.3699999999999997E-2</v>
      </c>
      <c r="L49">
        <f t="shared" si="4"/>
        <v>0</v>
      </c>
      <c r="M49">
        <f t="shared" si="4"/>
        <v>5.4800000000000001E-2</v>
      </c>
    </row>
    <row r="50" spans="1:13" x14ac:dyDescent="0.3">
      <c r="A50" t="s">
        <v>6</v>
      </c>
      <c r="B50">
        <f t="shared" si="4"/>
        <v>0</v>
      </c>
      <c r="C50">
        <f t="shared" si="4"/>
        <v>8.3699999999999997E-2</v>
      </c>
      <c r="D50">
        <f t="shared" si="4"/>
        <v>0</v>
      </c>
      <c r="E50">
        <f t="shared" si="4"/>
        <v>0.1414</v>
      </c>
      <c r="F50">
        <f t="shared" si="4"/>
        <v>0</v>
      </c>
      <c r="G50">
        <f t="shared" si="4"/>
        <v>7.0699999999999999E-2</v>
      </c>
      <c r="H50">
        <f t="shared" si="4"/>
        <v>0</v>
      </c>
      <c r="I50">
        <f t="shared" si="4"/>
        <v>5.4800000000000001E-2</v>
      </c>
      <c r="J50">
        <f t="shared" si="4"/>
        <v>8.3699999999999997E-2</v>
      </c>
      <c r="K50">
        <f t="shared" si="4"/>
        <v>0</v>
      </c>
      <c r="L50">
        <f t="shared" si="4"/>
        <v>0</v>
      </c>
      <c r="M50">
        <f t="shared" si="4"/>
        <v>0</v>
      </c>
    </row>
    <row r="51" spans="1:13" x14ac:dyDescent="0.3">
      <c r="A51" t="s">
        <v>7</v>
      </c>
      <c r="B51">
        <f t="shared" si="4"/>
        <v>5.4800000000000001E-2</v>
      </c>
      <c r="C51">
        <f t="shared" si="4"/>
        <v>0</v>
      </c>
      <c r="D51">
        <f t="shared" si="4"/>
        <v>7.0699999999999999E-2</v>
      </c>
      <c r="E51">
        <f t="shared" si="4"/>
        <v>0</v>
      </c>
      <c r="F51">
        <f t="shared" si="4"/>
        <v>0</v>
      </c>
      <c r="G51">
        <f t="shared" si="4"/>
        <v>0</v>
      </c>
      <c r="H51">
        <f t="shared" si="4"/>
        <v>7.0699999999999999E-2</v>
      </c>
      <c r="I51">
        <f t="shared" si="4"/>
        <v>0</v>
      </c>
      <c r="J51">
        <f t="shared" si="4"/>
        <v>0.28460000000000002</v>
      </c>
      <c r="K51">
        <f t="shared" si="4"/>
        <v>0.3347</v>
      </c>
      <c r="L51">
        <f t="shared" si="4"/>
        <v>0.28460000000000002</v>
      </c>
      <c r="M51">
        <f t="shared" si="4"/>
        <v>0.3795</v>
      </c>
    </row>
    <row r="52" spans="1:13" x14ac:dyDescent="0.3">
      <c r="A52" t="s">
        <v>8</v>
      </c>
      <c r="B52">
        <f t="shared" si="4"/>
        <v>0.1673</v>
      </c>
      <c r="C52">
        <f t="shared" si="4"/>
        <v>0</v>
      </c>
      <c r="D52">
        <f t="shared" si="4"/>
        <v>7.0699999999999999E-2</v>
      </c>
      <c r="E52">
        <f t="shared" si="4"/>
        <v>0</v>
      </c>
      <c r="F52">
        <f t="shared" si="4"/>
        <v>5.4800000000000001E-2</v>
      </c>
      <c r="G52">
        <f t="shared" si="4"/>
        <v>5.4800000000000001E-2</v>
      </c>
      <c r="H52">
        <f t="shared" si="4"/>
        <v>0.3347</v>
      </c>
      <c r="I52">
        <f t="shared" si="4"/>
        <v>8.3699999999999997E-2</v>
      </c>
      <c r="J52">
        <f t="shared" si="4"/>
        <v>0</v>
      </c>
      <c r="K52">
        <f t="shared" si="4"/>
        <v>0.3795</v>
      </c>
      <c r="L52">
        <f t="shared" si="4"/>
        <v>0.28460000000000002</v>
      </c>
      <c r="M52">
        <f t="shared" si="4"/>
        <v>0.28460000000000002</v>
      </c>
    </row>
    <row r="53" spans="1:13" x14ac:dyDescent="0.3">
      <c r="A53" t="s">
        <v>9</v>
      </c>
      <c r="B53">
        <f t="shared" si="4"/>
        <v>5.4800000000000001E-2</v>
      </c>
      <c r="C53">
        <f t="shared" si="4"/>
        <v>0</v>
      </c>
      <c r="D53">
        <f t="shared" si="4"/>
        <v>7.0699999999999999E-2</v>
      </c>
      <c r="E53">
        <f t="shared" si="4"/>
        <v>0.1673</v>
      </c>
      <c r="F53">
        <f t="shared" si="4"/>
        <v>0</v>
      </c>
      <c r="G53">
        <f t="shared" si="4"/>
        <v>0</v>
      </c>
      <c r="H53">
        <f t="shared" si="4"/>
        <v>7.0699999999999999E-2</v>
      </c>
      <c r="I53">
        <f t="shared" si="4"/>
        <v>0</v>
      </c>
      <c r="J53">
        <f t="shared" si="4"/>
        <v>5.4800000000000001E-2</v>
      </c>
      <c r="K53">
        <f t="shared" si="4"/>
        <v>0</v>
      </c>
      <c r="L53">
        <f t="shared" si="4"/>
        <v>7.0699999999999999E-2</v>
      </c>
      <c r="M53">
        <f t="shared" si="4"/>
        <v>0</v>
      </c>
    </row>
    <row r="54" spans="1:13" x14ac:dyDescent="0.3">
      <c r="A54" t="s">
        <v>10</v>
      </c>
      <c r="B54">
        <f t="shared" si="4"/>
        <v>0.1414</v>
      </c>
      <c r="C54">
        <f t="shared" si="4"/>
        <v>0</v>
      </c>
      <c r="D54">
        <f t="shared" si="4"/>
        <v>0</v>
      </c>
      <c r="E54">
        <f t="shared" si="4"/>
        <v>0</v>
      </c>
      <c r="F54">
        <f t="shared" si="4"/>
        <v>0</v>
      </c>
      <c r="G54">
        <f t="shared" si="4"/>
        <v>7.0699999999999999E-2</v>
      </c>
      <c r="H54">
        <f t="shared" si="4"/>
        <v>0</v>
      </c>
      <c r="I54">
        <f t="shared" si="4"/>
        <v>0</v>
      </c>
      <c r="J54">
        <f t="shared" si="4"/>
        <v>0</v>
      </c>
      <c r="K54">
        <f t="shared" si="4"/>
        <v>7.0699999999999999E-2</v>
      </c>
      <c r="L54">
        <f t="shared" si="4"/>
        <v>0</v>
      </c>
      <c r="M54">
        <f t="shared" si="4"/>
        <v>0.28460000000000002</v>
      </c>
    </row>
    <row r="55" spans="1:13" x14ac:dyDescent="0.3">
      <c r="A55" t="s">
        <v>11</v>
      </c>
      <c r="B55">
        <f t="shared" si="4"/>
        <v>8.3699999999999997E-2</v>
      </c>
      <c r="C55">
        <f t="shared" si="4"/>
        <v>3.1600000000000003E-2</v>
      </c>
      <c r="D55">
        <f t="shared" si="4"/>
        <v>7.0699999999999999E-2</v>
      </c>
      <c r="E55">
        <f t="shared" si="4"/>
        <v>0</v>
      </c>
      <c r="F55">
        <f t="shared" si="4"/>
        <v>8.3699999999999997E-2</v>
      </c>
      <c r="G55">
        <f t="shared" si="4"/>
        <v>7.0699999999999999E-2</v>
      </c>
      <c r="H55">
        <f t="shared" si="4"/>
        <v>3.1600000000000003E-2</v>
      </c>
      <c r="I55">
        <f t="shared" si="4"/>
        <v>0.1673</v>
      </c>
      <c r="J55">
        <f t="shared" si="4"/>
        <v>0</v>
      </c>
      <c r="K55">
        <f t="shared" si="4"/>
        <v>0</v>
      </c>
      <c r="L55">
        <f t="shared" si="4"/>
        <v>0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0.3795</v>
      </c>
      <c r="D58">
        <f t="shared" si="6"/>
        <v>0.251</v>
      </c>
      <c r="E58">
        <f t="shared" si="6"/>
        <v>7.0699999999999999E-2</v>
      </c>
      <c r="F58">
        <f t="shared" si="6"/>
        <v>7.0699999999999999E-2</v>
      </c>
      <c r="G58">
        <f t="shared" si="6"/>
        <v>7.0699999999999999E-2</v>
      </c>
      <c r="H58">
        <f t="shared" si="6"/>
        <v>0.21210000000000001</v>
      </c>
      <c r="I58">
        <f t="shared" si="6"/>
        <v>0.1095</v>
      </c>
      <c r="J58">
        <f t="shared" si="6"/>
        <v>0.3347</v>
      </c>
      <c r="K58">
        <f t="shared" si="6"/>
        <v>5.4800000000000001E-2</v>
      </c>
      <c r="L58">
        <f t="shared" si="6"/>
        <v>0.1095</v>
      </c>
      <c r="M58">
        <f t="shared" si="6"/>
        <v>5.4800000000000001E-2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0.1095</v>
      </c>
      <c r="C59">
        <f t="shared" si="7"/>
        <v>0</v>
      </c>
      <c r="D59">
        <f t="shared" si="7"/>
        <v>0.3795</v>
      </c>
      <c r="E59">
        <f t="shared" si="7"/>
        <v>0.3347</v>
      </c>
      <c r="F59">
        <f t="shared" si="7"/>
        <v>0.251</v>
      </c>
      <c r="G59">
        <f t="shared" si="7"/>
        <v>7.0699999999999999E-2</v>
      </c>
      <c r="H59">
        <f t="shared" si="7"/>
        <v>0.3795</v>
      </c>
      <c r="I59">
        <f t="shared" si="7"/>
        <v>0.21210000000000001</v>
      </c>
      <c r="J59">
        <f t="shared" si="7"/>
        <v>0.3347</v>
      </c>
      <c r="K59">
        <f t="shared" si="7"/>
        <v>0.3795</v>
      </c>
      <c r="L59">
        <f t="shared" si="7"/>
        <v>0.3795</v>
      </c>
      <c r="M59">
        <f t="shared" si="7"/>
        <v>0.3347</v>
      </c>
    </row>
    <row r="60" spans="1:13" x14ac:dyDescent="0.3">
      <c r="A60" t="s">
        <v>2</v>
      </c>
      <c r="B60">
        <f t="shared" si="7"/>
        <v>0.21210000000000001</v>
      </c>
      <c r="C60">
        <f t="shared" si="7"/>
        <v>0.1414</v>
      </c>
      <c r="D60">
        <f t="shared" si="7"/>
        <v>0</v>
      </c>
      <c r="E60">
        <f t="shared" si="7"/>
        <v>7.0699999999999999E-2</v>
      </c>
      <c r="F60">
        <f t="shared" si="7"/>
        <v>0.1095</v>
      </c>
      <c r="G60">
        <f t="shared" si="7"/>
        <v>0.21210000000000001</v>
      </c>
      <c r="H60">
        <f t="shared" si="7"/>
        <v>0.21210000000000001</v>
      </c>
      <c r="I60">
        <f t="shared" si="7"/>
        <v>0.1414</v>
      </c>
      <c r="J60">
        <f t="shared" si="7"/>
        <v>0.3795</v>
      </c>
      <c r="K60">
        <f t="shared" si="7"/>
        <v>0.3795</v>
      </c>
      <c r="L60">
        <f t="shared" si="7"/>
        <v>0.3795</v>
      </c>
      <c r="M60">
        <f t="shared" si="7"/>
        <v>0.3795</v>
      </c>
    </row>
    <row r="61" spans="1:13" x14ac:dyDescent="0.3">
      <c r="A61" t="s">
        <v>3</v>
      </c>
      <c r="B61">
        <f t="shared" si="7"/>
        <v>0.3795</v>
      </c>
      <c r="C61">
        <f t="shared" si="7"/>
        <v>0.3795</v>
      </c>
      <c r="D61">
        <f t="shared" si="7"/>
        <v>0.3795</v>
      </c>
      <c r="E61">
        <f t="shared" si="7"/>
        <v>0</v>
      </c>
      <c r="F61">
        <f t="shared" si="7"/>
        <v>0.1414</v>
      </c>
      <c r="G61">
        <f t="shared" si="7"/>
        <v>0.3795</v>
      </c>
      <c r="H61">
        <f t="shared" si="7"/>
        <v>0.3795</v>
      </c>
      <c r="I61">
        <f t="shared" si="7"/>
        <v>0.3795</v>
      </c>
      <c r="J61">
        <f t="shared" si="7"/>
        <v>0.3795</v>
      </c>
      <c r="K61">
        <f t="shared" si="7"/>
        <v>0.3795</v>
      </c>
      <c r="L61">
        <f t="shared" si="7"/>
        <v>0.3795</v>
      </c>
      <c r="M61">
        <f t="shared" si="7"/>
        <v>0.3795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0.1095</v>
      </c>
      <c r="C62">
        <f t="shared" si="8"/>
        <v>0.21210000000000001</v>
      </c>
      <c r="D62">
        <f t="shared" si="8"/>
        <v>7.0699999999999999E-2</v>
      </c>
      <c r="E62">
        <f t="shared" si="8"/>
        <v>0.1414</v>
      </c>
      <c r="F62">
        <f t="shared" si="8"/>
        <v>0</v>
      </c>
      <c r="G62">
        <f t="shared" si="8"/>
        <v>0.3795</v>
      </c>
      <c r="H62">
        <f t="shared" si="8"/>
        <v>0.1414</v>
      </c>
      <c r="I62">
        <f t="shared" si="8"/>
        <v>0.1095</v>
      </c>
      <c r="J62">
        <f t="shared" si="8"/>
        <v>0.3347</v>
      </c>
      <c r="K62">
        <f t="shared" si="8"/>
        <v>0.3347</v>
      </c>
      <c r="L62">
        <f t="shared" si="8"/>
        <v>0.21210000000000001</v>
      </c>
      <c r="M62">
        <f t="shared" si="8"/>
        <v>0.1414</v>
      </c>
    </row>
    <row r="63" spans="1:13" x14ac:dyDescent="0.3">
      <c r="A63" t="s">
        <v>5</v>
      </c>
      <c r="B63">
        <f t="shared" si="7"/>
        <v>0.1414</v>
      </c>
      <c r="C63">
        <f t="shared" si="7"/>
        <v>8.3699999999999997E-2</v>
      </c>
      <c r="D63">
        <f t="shared" si="7"/>
        <v>7.0699999999999999E-2</v>
      </c>
      <c r="E63">
        <f t="shared" si="7"/>
        <v>7.0699999999999999E-2</v>
      </c>
      <c r="F63">
        <f t="shared" si="7"/>
        <v>7.0699999999999999E-2</v>
      </c>
      <c r="G63">
        <f t="shared" si="7"/>
        <v>0</v>
      </c>
      <c r="H63">
        <f t="shared" si="7"/>
        <v>8.3699999999999997E-2</v>
      </c>
      <c r="I63">
        <f t="shared" si="7"/>
        <v>0.21210000000000001</v>
      </c>
      <c r="J63">
        <f t="shared" si="7"/>
        <v>0.3347</v>
      </c>
      <c r="K63">
        <f t="shared" si="7"/>
        <v>0.1673</v>
      </c>
      <c r="L63">
        <f t="shared" si="7"/>
        <v>3.1600000000000003E-2</v>
      </c>
      <c r="M63">
        <f t="shared" si="7"/>
        <v>0.1095</v>
      </c>
    </row>
    <row r="64" spans="1:13" x14ac:dyDescent="0.3">
      <c r="A64" t="s">
        <v>6</v>
      </c>
      <c r="B64">
        <f t="shared" si="7"/>
        <v>7.0699999999999999E-2</v>
      </c>
      <c r="C64">
        <f t="shared" si="7"/>
        <v>0.1673</v>
      </c>
      <c r="D64">
        <f t="shared" si="7"/>
        <v>8.3699999999999997E-2</v>
      </c>
      <c r="E64">
        <f t="shared" si="7"/>
        <v>0.21210000000000001</v>
      </c>
      <c r="F64">
        <f t="shared" si="7"/>
        <v>7.0699999999999999E-2</v>
      </c>
      <c r="G64">
        <f t="shared" si="7"/>
        <v>0.1414</v>
      </c>
      <c r="H64">
        <f t="shared" si="7"/>
        <v>0</v>
      </c>
      <c r="I64">
        <f t="shared" si="7"/>
        <v>0.1095</v>
      </c>
      <c r="J64">
        <f t="shared" si="7"/>
        <v>0.1673</v>
      </c>
      <c r="K64">
        <f t="shared" si="7"/>
        <v>5.4800000000000001E-2</v>
      </c>
      <c r="L64">
        <f t="shared" si="7"/>
        <v>7.0699999999999999E-2</v>
      </c>
      <c r="M64">
        <f t="shared" si="7"/>
        <v>7.0699999999999999E-2</v>
      </c>
    </row>
    <row r="65" spans="1:13" x14ac:dyDescent="0.3">
      <c r="A65" t="s">
        <v>7</v>
      </c>
      <c r="B65">
        <f t="shared" si="7"/>
        <v>0.1095</v>
      </c>
      <c r="C65">
        <f t="shared" si="7"/>
        <v>7.0699999999999999E-2</v>
      </c>
      <c r="D65">
        <f t="shared" si="7"/>
        <v>0.1414</v>
      </c>
      <c r="E65">
        <f t="shared" si="7"/>
        <v>3.1600000000000003E-2</v>
      </c>
      <c r="F65">
        <f t="shared" si="7"/>
        <v>3.1600000000000003E-2</v>
      </c>
      <c r="G65">
        <f t="shared" si="7"/>
        <v>5.4800000000000001E-2</v>
      </c>
      <c r="H65">
        <f t="shared" si="7"/>
        <v>0.1414</v>
      </c>
      <c r="I65">
        <f t="shared" si="7"/>
        <v>0</v>
      </c>
      <c r="J65">
        <f t="shared" si="7"/>
        <v>0.3795</v>
      </c>
      <c r="K65">
        <f t="shared" si="7"/>
        <v>0.3347</v>
      </c>
      <c r="L65">
        <f t="shared" si="7"/>
        <v>0.3795</v>
      </c>
      <c r="M65">
        <f t="shared" si="7"/>
        <v>0.3795</v>
      </c>
    </row>
    <row r="66" spans="1:13" x14ac:dyDescent="0.3">
      <c r="A66" t="s">
        <v>8</v>
      </c>
      <c r="B66">
        <f t="shared" si="7"/>
        <v>0.251</v>
      </c>
      <c r="C66">
        <f t="shared" si="7"/>
        <v>7.0699999999999999E-2</v>
      </c>
      <c r="D66">
        <f t="shared" si="7"/>
        <v>0.1414</v>
      </c>
      <c r="E66">
        <f t="shared" si="7"/>
        <v>7.0699999999999999E-2</v>
      </c>
      <c r="F66">
        <f t="shared" si="7"/>
        <v>0.1095</v>
      </c>
      <c r="G66">
        <f t="shared" si="7"/>
        <v>0.1095</v>
      </c>
      <c r="H66">
        <f t="shared" si="7"/>
        <v>0.3347</v>
      </c>
      <c r="I66">
        <f t="shared" si="7"/>
        <v>0.1673</v>
      </c>
      <c r="J66">
        <f t="shared" si="7"/>
        <v>0</v>
      </c>
      <c r="K66">
        <f t="shared" si="7"/>
        <v>0.3795</v>
      </c>
      <c r="L66">
        <f t="shared" si="7"/>
        <v>0.3795</v>
      </c>
      <c r="M66">
        <f t="shared" si="7"/>
        <v>0.3795</v>
      </c>
    </row>
    <row r="67" spans="1:13" x14ac:dyDescent="0.3">
      <c r="A67" t="s">
        <v>9</v>
      </c>
      <c r="B67">
        <f t="shared" si="7"/>
        <v>0.1095</v>
      </c>
      <c r="C67">
        <f t="shared" si="7"/>
        <v>7.0699999999999999E-2</v>
      </c>
      <c r="D67">
        <f t="shared" si="7"/>
        <v>0.1414</v>
      </c>
      <c r="E67">
        <f t="shared" si="7"/>
        <v>0.251</v>
      </c>
      <c r="F67">
        <f t="shared" si="7"/>
        <v>5.4800000000000001E-2</v>
      </c>
      <c r="G67">
        <f t="shared" si="7"/>
        <v>8.3699999999999997E-2</v>
      </c>
      <c r="H67">
        <f t="shared" si="7"/>
        <v>0.1414</v>
      </c>
      <c r="I67">
        <f t="shared" si="7"/>
        <v>5.4800000000000001E-2</v>
      </c>
      <c r="J67">
        <f t="shared" si="7"/>
        <v>0.1095</v>
      </c>
      <c r="K67">
        <f t="shared" si="7"/>
        <v>0</v>
      </c>
      <c r="L67">
        <f t="shared" si="7"/>
        <v>0.1414</v>
      </c>
      <c r="M67">
        <f t="shared" si="7"/>
        <v>3.1600000000000003E-2</v>
      </c>
    </row>
    <row r="68" spans="1:13" x14ac:dyDescent="0.3">
      <c r="A68" t="s">
        <v>10</v>
      </c>
      <c r="B68">
        <f t="shared" si="7"/>
        <v>0.21210000000000001</v>
      </c>
      <c r="C68">
        <f t="shared" si="7"/>
        <v>5.4800000000000001E-2</v>
      </c>
      <c r="D68">
        <f t="shared" si="7"/>
        <v>8.3699999999999997E-2</v>
      </c>
      <c r="E68">
        <f t="shared" si="7"/>
        <v>5.4800000000000001E-2</v>
      </c>
      <c r="F68">
        <f t="shared" si="7"/>
        <v>7.0699999999999999E-2</v>
      </c>
      <c r="G68">
        <f t="shared" si="7"/>
        <v>0.1414</v>
      </c>
      <c r="H68">
        <f t="shared" si="7"/>
        <v>7.0699999999999999E-2</v>
      </c>
      <c r="I68">
        <f t="shared" si="7"/>
        <v>3.1600000000000003E-2</v>
      </c>
      <c r="J68">
        <f t="shared" si="7"/>
        <v>3.1600000000000003E-2</v>
      </c>
      <c r="K68">
        <f t="shared" si="7"/>
        <v>0.1414</v>
      </c>
      <c r="L68">
        <f t="shared" si="7"/>
        <v>0</v>
      </c>
      <c r="M68">
        <f t="shared" si="7"/>
        <v>0.3795</v>
      </c>
    </row>
    <row r="69" spans="1:13" x14ac:dyDescent="0.3">
      <c r="A69" t="s">
        <v>11</v>
      </c>
      <c r="B69">
        <f t="shared" si="7"/>
        <v>0.1673</v>
      </c>
      <c r="C69">
        <f t="shared" si="7"/>
        <v>6.3200000000000006E-2</v>
      </c>
      <c r="D69">
        <f t="shared" si="7"/>
        <v>0.1414</v>
      </c>
      <c r="E69">
        <f t="shared" si="7"/>
        <v>5.4800000000000001E-2</v>
      </c>
      <c r="F69">
        <f t="shared" si="7"/>
        <v>0.1673</v>
      </c>
      <c r="G69">
        <f t="shared" si="7"/>
        <v>0.1414</v>
      </c>
      <c r="H69">
        <f t="shared" si="7"/>
        <v>6.3200000000000006E-2</v>
      </c>
      <c r="I69">
        <f t="shared" si="7"/>
        <v>0.251</v>
      </c>
      <c r="J69">
        <f t="shared" si="7"/>
        <v>7.0699999999999999E-2</v>
      </c>
      <c r="K69">
        <f t="shared" si="7"/>
        <v>7.0699999999999999E-2</v>
      </c>
      <c r="L69">
        <f t="shared" si="7"/>
        <v>5.4800000000000001E-2</v>
      </c>
      <c r="M69">
        <f t="shared" si="7"/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4"/>
  <dimension ref="A1:M69"/>
  <sheetViews>
    <sheetView workbookViewId="0">
      <selection activeCell="A15" sqref="A15:M69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12</v>
      </c>
      <c r="D2" t="s">
        <v>12</v>
      </c>
      <c r="E2" t="s">
        <v>16</v>
      </c>
      <c r="F2" t="s">
        <v>12</v>
      </c>
      <c r="G2" t="s">
        <v>24</v>
      </c>
      <c r="H2" t="s">
        <v>24</v>
      </c>
      <c r="I2" t="s">
        <v>16</v>
      </c>
      <c r="J2" t="s">
        <v>13</v>
      </c>
      <c r="K2" t="s">
        <v>15</v>
      </c>
      <c r="L2" t="s">
        <v>22</v>
      </c>
      <c r="M2" t="s">
        <v>16</v>
      </c>
    </row>
    <row r="3" spans="1:13" x14ac:dyDescent="0.3">
      <c r="A3" s="1" t="s">
        <v>1</v>
      </c>
      <c r="B3" t="s">
        <v>20</v>
      </c>
      <c r="C3">
        <v>0</v>
      </c>
      <c r="D3" t="s">
        <v>18</v>
      </c>
      <c r="E3" t="s">
        <v>18</v>
      </c>
      <c r="F3" t="s">
        <v>21</v>
      </c>
      <c r="G3" t="s">
        <v>23</v>
      </c>
      <c r="H3" t="s">
        <v>18</v>
      </c>
      <c r="I3" t="s">
        <v>17</v>
      </c>
      <c r="J3" t="s">
        <v>18</v>
      </c>
      <c r="K3" t="s">
        <v>18</v>
      </c>
      <c r="L3" t="s">
        <v>25</v>
      </c>
      <c r="M3" t="s">
        <v>13</v>
      </c>
    </row>
    <row r="4" spans="1:13" x14ac:dyDescent="0.3">
      <c r="A4" s="1" t="s">
        <v>2</v>
      </c>
      <c r="B4" t="s">
        <v>19</v>
      </c>
      <c r="C4" t="s">
        <v>16</v>
      </c>
      <c r="D4">
        <v>0</v>
      </c>
      <c r="E4" t="s">
        <v>22</v>
      </c>
      <c r="F4" t="s">
        <v>24</v>
      </c>
      <c r="G4" t="s">
        <v>19</v>
      </c>
      <c r="H4" t="s">
        <v>21</v>
      </c>
      <c r="I4" t="s">
        <v>23</v>
      </c>
      <c r="J4" t="s">
        <v>25</v>
      </c>
      <c r="K4" t="s">
        <v>25</v>
      </c>
      <c r="L4" t="s">
        <v>13</v>
      </c>
      <c r="M4" t="s">
        <v>13</v>
      </c>
    </row>
    <row r="5" spans="1:13" x14ac:dyDescent="0.3">
      <c r="A5" s="1" t="s">
        <v>3</v>
      </c>
      <c r="B5" t="s">
        <v>22</v>
      </c>
      <c r="C5" t="s">
        <v>15</v>
      </c>
      <c r="D5" t="s">
        <v>15</v>
      </c>
      <c r="E5">
        <v>0</v>
      </c>
      <c r="F5" t="s">
        <v>12</v>
      </c>
      <c r="G5" t="s">
        <v>16</v>
      </c>
      <c r="H5" t="s">
        <v>13</v>
      </c>
      <c r="I5" t="s">
        <v>15</v>
      </c>
      <c r="J5" t="s">
        <v>12</v>
      </c>
      <c r="K5" t="s">
        <v>16</v>
      </c>
      <c r="L5" t="s">
        <v>13</v>
      </c>
      <c r="M5" t="s">
        <v>13</v>
      </c>
    </row>
    <row r="6" spans="1:13" x14ac:dyDescent="0.3">
      <c r="A6" s="1" t="s">
        <v>4</v>
      </c>
      <c r="B6" t="s">
        <v>22</v>
      </c>
      <c r="C6" t="s">
        <v>15</v>
      </c>
      <c r="D6" t="s">
        <v>16</v>
      </c>
      <c r="E6" t="s">
        <v>24</v>
      </c>
      <c r="F6">
        <v>0</v>
      </c>
      <c r="G6" t="s">
        <v>18</v>
      </c>
      <c r="H6" t="s">
        <v>15</v>
      </c>
      <c r="I6" t="s">
        <v>16</v>
      </c>
      <c r="J6" t="s">
        <v>25</v>
      </c>
      <c r="K6" t="s">
        <v>13</v>
      </c>
      <c r="L6" t="s">
        <v>15</v>
      </c>
      <c r="M6" t="s">
        <v>24</v>
      </c>
    </row>
    <row r="7" spans="1:13" x14ac:dyDescent="0.3">
      <c r="A7" s="1" t="s">
        <v>5</v>
      </c>
      <c r="B7" t="s">
        <v>15</v>
      </c>
      <c r="C7" t="s">
        <v>24</v>
      </c>
      <c r="D7" t="s">
        <v>22</v>
      </c>
      <c r="E7" t="s">
        <v>15</v>
      </c>
      <c r="F7" t="s">
        <v>20</v>
      </c>
      <c r="G7">
        <v>0</v>
      </c>
      <c r="H7" t="s">
        <v>15</v>
      </c>
      <c r="I7" t="s">
        <v>15</v>
      </c>
      <c r="J7" t="s">
        <v>12</v>
      </c>
      <c r="K7" t="s">
        <v>16</v>
      </c>
      <c r="L7" s="6" t="s">
        <v>16</v>
      </c>
      <c r="M7" t="s">
        <v>23</v>
      </c>
    </row>
    <row r="8" spans="1:13" x14ac:dyDescent="0.3">
      <c r="A8" s="1" t="s">
        <v>6</v>
      </c>
      <c r="B8" t="s">
        <v>22</v>
      </c>
      <c r="C8" t="s">
        <v>22</v>
      </c>
      <c r="D8" t="s">
        <v>23</v>
      </c>
      <c r="E8" t="s">
        <v>22</v>
      </c>
      <c r="F8" t="s">
        <v>23</v>
      </c>
      <c r="G8" t="s">
        <v>21</v>
      </c>
      <c r="H8">
        <v>0</v>
      </c>
      <c r="I8" t="s">
        <v>17</v>
      </c>
      <c r="J8" t="s">
        <v>22</v>
      </c>
      <c r="K8" t="s">
        <v>71</v>
      </c>
      <c r="L8" s="6" t="s">
        <v>16</v>
      </c>
      <c r="M8" t="s">
        <v>24</v>
      </c>
    </row>
    <row r="9" spans="1:13" x14ac:dyDescent="0.3">
      <c r="A9" s="1" t="s">
        <v>7</v>
      </c>
      <c r="B9" t="s">
        <v>71</v>
      </c>
      <c r="C9" t="s">
        <v>16</v>
      </c>
      <c r="D9" t="s">
        <v>16</v>
      </c>
      <c r="E9" t="s">
        <v>16</v>
      </c>
      <c r="F9" t="s">
        <v>15</v>
      </c>
      <c r="G9" t="s">
        <v>20</v>
      </c>
      <c r="H9" t="s">
        <v>24</v>
      </c>
      <c r="I9">
        <v>0</v>
      </c>
      <c r="J9" t="s">
        <v>13</v>
      </c>
      <c r="K9" t="s">
        <v>13</v>
      </c>
      <c r="L9" s="6" t="s">
        <v>13</v>
      </c>
      <c r="M9" t="s">
        <v>13</v>
      </c>
    </row>
    <row r="10" spans="1:13" x14ac:dyDescent="0.3">
      <c r="A10" s="1" t="s">
        <v>8</v>
      </c>
      <c r="B10" t="s">
        <v>12</v>
      </c>
      <c r="C10" t="s">
        <v>16</v>
      </c>
      <c r="D10" t="s">
        <v>23</v>
      </c>
      <c r="E10" t="s">
        <v>20</v>
      </c>
      <c r="F10" t="s">
        <v>15</v>
      </c>
      <c r="G10" t="s">
        <v>20</v>
      </c>
      <c r="H10" t="s">
        <v>25</v>
      </c>
      <c r="I10" t="s">
        <v>15</v>
      </c>
      <c r="J10">
        <v>0</v>
      </c>
      <c r="K10" t="s">
        <v>18</v>
      </c>
      <c r="L10" s="6" t="s">
        <v>25</v>
      </c>
      <c r="M10" t="s">
        <v>18</v>
      </c>
    </row>
    <row r="11" spans="1:13" x14ac:dyDescent="0.3">
      <c r="A11" s="1" t="s">
        <v>9</v>
      </c>
      <c r="B11" t="s">
        <v>23</v>
      </c>
      <c r="C11" t="s">
        <v>23</v>
      </c>
      <c r="D11" t="s">
        <v>20</v>
      </c>
      <c r="E11" t="s">
        <v>22</v>
      </c>
      <c r="F11" t="s">
        <v>20</v>
      </c>
      <c r="G11" t="s">
        <v>24</v>
      </c>
      <c r="H11" t="s">
        <v>16</v>
      </c>
      <c r="I11" t="s">
        <v>62</v>
      </c>
      <c r="J11" t="s">
        <v>15</v>
      </c>
      <c r="K11">
        <v>0</v>
      </c>
      <c r="L11" s="6" t="s">
        <v>16</v>
      </c>
      <c r="M11" t="s">
        <v>20</v>
      </c>
    </row>
    <row r="12" spans="1:13" x14ac:dyDescent="0.3">
      <c r="A12" s="1" t="s">
        <v>10</v>
      </c>
      <c r="B12" t="s">
        <v>15</v>
      </c>
      <c r="C12" t="s">
        <v>16</v>
      </c>
      <c r="D12" t="s">
        <v>15</v>
      </c>
      <c r="E12" t="s">
        <v>17</v>
      </c>
      <c r="F12" t="s">
        <v>16</v>
      </c>
      <c r="G12" t="s">
        <v>22</v>
      </c>
      <c r="H12" t="s">
        <v>16</v>
      </c>
      <c r="I12" t="s">
        <v>24</v>
      </c>
      <c r="J12" t="s">
        <v>16</v>
      </c>
      <c r="K12" t="s">
        <v>16</v>
      </c>
      <c r="L12">
        <v>0</v>
      </c>
      <c r="M12" t="s">
        <v>13</v>
      </c>
    </row>
    <row r="13" spans="1:13" x14ac:dyDescent="0.3">
      <c r="A13" s="1" t="s">
        <v>11</v>
      </c>
      <c r="B13" t="s">
        <v>16</v>
      </c>
      <c r="C13" t="s">
        <v>16</v>
      </c>
      <c r="D13" t="s">
        <v>16</v>
      </c>
      <c r="E13" t="s">
        <v>24</v>
      </c>
      <c r="F13" t="s">
        <v>22</v>
      </c>
      <c r="G13" t="s">
        <v>20</v>
      </c>
      <c r="H13" t="s">
        <v>23</v>
      </c>
      <c r="I13" t="s">
        <v>16</v>
      </c>
      <c r="J13" t="s">
        <v>24</v>
      </c>
      <c r="K13" t="s">
        <v>16</v>
      </c>
      <c r="L13" t="s">
        <v>16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(0,1673; 0,251; 0,3347)</v>
      </c>
      <c r="D16" t="str">
        <f>VLOOKUP(D2,'Thang đánh giá'!$C$2:$D$27,2,FALSE)</f>
        <v>(0,1673; 0,251; 0,3347)</v>
      </c>
      <c r="E16" t="str">
        <f>VLOOKUP(E2,'Thang đánh giá'!$C$2:$D$27,2,FALSE)</f>
        <v>(0; 0; 0,0707)</v>
      </c>
      <c r="F16" t="str">
        <f>VLOOKUP(F2,'Thang đánh giá'!$C$2:$D$27,2,FALSE)</f>
        <v>(0,1673; 0,251; 0,3347)</v>
      </c>
      <c r="G16" t="str">
        <f>VLOOKUP(G2,'Thang đánh giá'!$C$2:$D$27,2,FALSE)</f>
        <v>(0; 0; 0,0548)</v>
      </c>
      <c r="H16" t="str">
        <f>VLOOKUP(H2,'Thang đánh giá'!$C$2:$D$27,2,FALSE)</f>
        <v>(0; 0; 0,0548)</v>
      </c>
      <c r="I16" t="str">
        <f>VLOOKUP(I2,'Thang đánh giá'!$C$2:$D$27,2,FALSE)</f>
        <v>(0; 0; 0,0707)</v>
      </c>
      <c r="J16" t="str">
        <f>VLOOKUP(J2,'Thang đánh giá'!$C$2:$D$27,2,FALSE)</f>
        <v>(0,1897; 0,2846; 0,3795)</v>
      </c>
      <c r="K16" t="str">
        <f>VLOOKUP(K2,'Thang đánh giá'!$C$2:$D$27,2,FALSE)</f>
        <v>(0; 0,0707; 0,1414)</v>
      </c>
      <c r="L16" t="str">
        <f>VLOOKUP(L2,'Thang đánh giá'!$C$2:$D$27,2,FALSE)</f>
        <v>(0,0707; 0,1414; 0,2121)</v>
      </c>
      <c r="M16" t="str">
        <f>VLOOKUP(M2,'Thang đánh giá'!$C$2:$D$27,2,FALSE)</f>
        <v>(0; 0; 0,0707)</v>
      </c>
    </row>
    <row r="17" spans="1:13" x14ac:dyDescent="0.3">
      <c r="A17" t="s">
        <v>1</v>
      </c>
      <c r="B17" t="str">
        <f>VLOOKUP(B3,'Thang đánh giá'!$C$2:$D$27,2,FALSE)</f>
        <v>(0; 0,0548; 0,1095)</v>
      </c>
      <c r="C17" t="str">
        <f>VLOOKUP(C3,'Thang đánh giá'!$C$2:$D$27,2,FALSE)</f>
        <v>(0; 0; 0)</v>
      </c>
      <c r="D17" t="str">
        <f>VLOOKUP(D3,'Thang đánh giá'!$C$2:$D$27,2,FALSE)</f>
        <v>(0,2846; 0,3795; 0,3795)</v>
      </c>
      <c r="E17" t="str">
        <f>VLOOKUP(E3,'Thang đánh giá'!$C$2:$D$27,2,FALSE)</f>
        <v>(0,2846; 0,3795; 0,3795)</v>
      </c>
      <c r="F17" t="str">
        <f>VLOOKUP(F3,'Thang đánh giá'!$C$2:$D$27,2,FALSE)</f>
        <v>(0,0837; 0,1673; 0,251)</v>
      </c>
      <c r="G17" t="str">
        <f>VLOOKUP(G3,'Thang đánh giá'!$C$2:$D$27,2,FALSE)</f>
        <v>(0; 0; 0,0316)</v>
      </c>
      <c r="H17" t="str">
        <f>VLOOKUP(H3,'Thang đánh giá'!$C$2:$D$27,2,FALSE)</f>
        <v>(0,2846; 0,3795; 0,3795)</v>
      </c>
      <c r="I17" t="str">
        <f>VLOOKUP(I3,'Thang đánh giá'!$C$2:$D$27,2,FALSE)</f>
        <v>(0; 0,0316; 0,0632)</v>
      </c>
      <c r="J17" t="str">
        <f>VLOOKUP(J3,'Thang đánh giá'!$C$2:$D$27,2,FALSE)</f>
        <v>(0,2846; 0,3795; 0,3795)</v>
      </c>
      <c r="K17" t="str">
        <f>VLOOKUP(K3,'Thang đánh giá'!$C$2:$D$27,2,FALSE)</f>
        <v>(0,2846; 0,3795; 0,3795)</v>
      </c>
      <c r="L17" t="str">
        <f>VLOOKUP(L3,'Thang đánh giá'!$C$2:$D$27,2,FALSE)</f>
        <v>(0,251; 0,3347; 0,3347)</v>
      </c>
      <c r="M17" t="str">
        <f>VLOOKUP(M3,'Thang đánh giá'!$C$2:$D$27,2,FALSE)</f>
        <v>(0,1897; 0,2846; 0,3795)</v>
      </c>
    </row>
    <row r="18" spans="1:13" x14ac:dyDescent="0.3">
      <c r="A18" t="s">
        <v>2</v>
      </c>
      <c r="B18" t="str">
        <f>VLOOKUP(B4,'Thang đánh giá'!$C$2:$D$27,2,FALSE)</f>
        <v>(0,1414; 0,2121; 0,2828)</v>
      </c>
      <c r="C18" t="str">
        <f>VLOOKUP(C4,'Thang đánh giá'!$C$2:$D$27,2,FALSE)</f>
        <v>(0; 0; 0,0707)</v>
      </c>
      <c r="D18" t="str">
        <f>VLOOKUP(D4,'Thang đánh giá'!$C$2:$D$27,2,FALSE)</f>
        <v>(0; 0; 0)</v>
      </c>
      <c r="E18" t="str">
        <f>VLOOKUP(E4,'Thang đánh giá'!$C$2:$D$27,2,FALSE)</f>
        <v>(0,0707; 0,1414; 0,2121)</v>
      </c>
      <c r="F18" t="str">
        <f>VLOOKUP(F4,'Thang đánh giá'!$C$2:$D$27,2,FALSE)</f>
        <v>(0; 0; 0,0548)</v>
      </c>
      <c r="G18" t="str">
        <f>VLOOKUP(G4,'Thang đánh giá'!$C$2:$D$27,2,FALSE)</f>
        <v>(0,1414; 0,2121; 0,2828)</v>
      </c>
      <c r="H18" t="str">
        <f>VLOOKUP(H4,'Thang đánh giá'!$C$2:$D$27,2,FALSE)</f>
        <v>(0,0837; 0,1673; 0,251)</v>
      </c>
      <c r="I18" t="str">
        <f>VLOOKUP(I4,'Thang đánh giá'!$C$2:$D$27,2,FALSE)</f>
        <v>(0; 0; 0,0316)</v>
      </c>
      <c r="J18" t="str">
        <f>VLOOKUP(J4,'Thang đánh giá'!$C$2:$D$27,2,FALSE)</f>
        <v>(0,251; 0,3347; 0,3347)</v>
      </c>
      <c r="K18" t="str">
        <f>VLOOKUP(K4,'Thang đánh giá'!$C$2:$D$27,2,FALSE)</f>
        <v>(0,251; 0,3347; 0,3347)</v>
      </c>
      <c r="L18" t="str">
        <f>VLOOKUP(L4,'Thang đánh giá'!$C$2:$D$27,2,FALSE)</f>
        <v>(0,1897; 0,2846; 0,3795)</v>
      </c>
      <c r="M18" t="str">
        <f>VLOOKUP(M4,'Thang đánh giá'!$C$2:$D$27,2,FALSE)</f>
        <v>(0,1897; 0,2846; 0,3795)</v>
      </c>
    </row>
    <row r="19" spans="1:13" x14ac:dyDescent="0.3">
      <c r="A19" t="s">
        <v>3</v>
      </c>
      <c r="B19" t="str">
        <f>VLOOKUP(B5,'Thang đánh giá'!$C$2:$D$27,2,FALSE)</f>
        <v>(0,0707; 0,1414; 0,2121)</v>
      </c>
      <c r="C19" t="str">
        <f>VLOOKUP(C5,'Thang đánh giá'!$C$2:$D$27,2,FALSE)</f>
        <v>(0; 0,0707; 0,1414)</v>
      </c>
      <c r="D19" t="str">
        <f>VLOOKUP(D5,'Thang đánh giá'!$C$2:$D$27,2,FALSE)</f>
        <v>(0; 0,0707; 0,1414)</v>
      </c>
      <c r="E19" t="str">
        <f>VLOOKUP(E5,'Thang đánh giá'!$C$2:$D$27,2,FALSE)</f>
        <v>(0; 0; 0)</v>
      </c>
      <c r="F19" t="str">
        <f>VLOOKUP(F5,'Thang đánh giá'!$C$2:$D$27,2,FALSE)</f>
        <v>(0,1673; 0,251; 0,3347)</v>
      </c>
      <c r="G19" t="str">
        <f>VLOOKUP(G5,'Thang đánh giá'!$C$2:$D$27,2,FALSE)</f>
        <v>(0; 0; 0,0707)</v>
      </c>
      <c r="H19" t="str">
        <f>VLOOKUP(H5,'Thang đánh giá'!$C$2:$D$27,2,FALSE)</f>
        <v>(0,1897; 0,2846; 0,3795)</v>
      </c>
      <c r="I19" t="str">
        <f>VLOOKUP(I5,'Thang đánh giá'!$C$2:$D$27,2,FALSE)</f>
        <v>(0; 0,0707; 0,1414)</v>
      </c>
      <c r="J19" t="str">
        <f>VLOOKUP(J5,'Thang đánh giá'!$C$2:$D$27,2,FALSE)</f>
        <v>(0,1673; 0,251; 0,3347)</v>
      </c>
      <c r="K19" t="str">
        <f>VLOOKUP(K5,'Thang đánh giá'!$C$2:$D$27,2,FALSE)</f>
        <v>(0; 0; 0,0707)</v>
      </c>
      <c r="L19" t="str">
        <f>VLOOKUP(L5,'Thang đánh giá'!$C$2:$D$27,2,FALSE)</f>
        <v>(0,1897; 0,2846; 0,3795)</v>
      </c>
      <c r="M19" t="str">
        <f>VLOOKUP(M5,'Thang đánh giá'!$C$2:$D$27,2,FALSE)</f>
        <v>(0,1897; 0,2846; 0,3795)</v>
      </c>
    </row>
    <row r="20" spans="1:13" x14ac:dyDescent="0.3">
      <c r="A20" t="s">
        <v>4</v>
      </c>
      <c r="B20" t="str">
        <f>VLOOKUP(B6,'Thang đánh giá'!$C$2:$D$27,2,FALSE)</f>
        <v>(0,0707; 0,1414; 0,2121)</v>
      </c>
      <c r="C20" t="str">
        <f>VLOOKUP(C6,'Thang đánh giá'!$C$2:$D$27,2,FALSE)</f>
        <v>(0; 0,0707; 0,1414)</v>
      </c>
      <c r="D20" t="str">
        <f>VLOOKUP(D6,'Thang đánh giá'!$C$2:$D$27,2,FALSE)</f>
        <v>(0; 0; 0,0707)</v>
      </c>
      <c r="E20" t="str">
        <f>VLOOKUP(E6,'Thang đánh giá'!$C$2:$D$27,2,FALSE)</f>
        <v>(0; 0; 0,0548)</v>
      </c>
      <c r="F20" t="str">
        <f>VLOOKUP(F6,'Thang đánh giá'!$C$2:$D$27,2,FALSE)</f>
        <v>(0; 0; 0)</v>
      </c>
      <c r="G20" t="str">
        <f>VLOOKUP(G6,'Thang đánh giá'!$C$2:$D$27,2,FALSE)</f>
        <v>(0,2846; 0,3795; 0,3795)</v>
      </c>
      <c r="H20" t="str">
        <f>VLOOKUP(H6,'Thang đánh giá'!$C$2:$D$27,2,FALSE)</f>
        <v>(0; 0,0707; 0,1414)</v>
      </c>
      <c r="I20" t="str">
        <f>VLOOKUP(I6,'Thang đánh giá'!$C$2:$D$27,2,FALSE)</f>
        <v>(0; 0; 0,0707)</v>
      </c>
      <c r="J20" t="str">
        <f>VLOOKUP(J6,'Thang đánh giá'!$C$2:$D$27,2,FALSE)</f>
        <v>(0,251; 0,3347; 0,3347)</v>
      </c>
      <c r="K20" t="str">
        <f>VLOOKUP(K6,'Thang đánh giá'!$C$2:$D$27,2,FALSE)</f>
        <v>(0,1897; 0,2846; 0,3795)</v>
      </c>
      <c r="L20" t="str">
        <f>VLOOKUP(L6,'Thang đánh giá'!$C$2:$D$27,2,FALSE)</f>
        <v>(0; 0,0707; 0,1414)</v>
      </c>
      <c r="M20" t="str">
        <f>VLOOKUP(M6,'Thang đánh giá'!$C$2:$D$27,2,FALSE)</f>
        <v>(0; 0; 0,0548)</v>
      </c>
    </row>
    <row r="21" spans="1:13" x14ac:dyDescent="0.3">
      <c r="A21" t="s">
        <v>5</v>
      </c>
      <c r="B21" t="str">
        <f>VLOOKUP(B7,'Thang đánh giá'!$C$2:$D$27,2,FALSE)</f>
        <v>(0; 0,0707; 0,1414)</v>
      </c>
      <c r="C21" t="str">
        <f>VLOOKUP(C7,'Thang đánh giá'!$C$2:$D$27,2,FALSE)</f>
        <v>(0; 0; 0,0548)</v>
      </c>
      <c r="D21" t="str">
        <f>VLOOKUP(D7,'Thang đánh giá'!$C$2:$D$27,2,FALSE)</f>
        <v>(0,0707; 0,1414; 0,2121)</v>
      </c>
      <c r="E21" t="str">
        <f>VLOOKUP(E7,'Thang đánh giá'!$C$2:$D$27,2,FALSE)</f>
        <v>(0; 0,0707; 0,1414)</v>
      </c>
      <c r="F21" t="str">
        <f>VLOOKUP(F7,'Thang đánh giá'!$C$2:$D$27,2,FALSE)</f>
        <v>(0; 0,0548; 0,1095)</v>
      </c>
      <c r="G21" t="str">
        <f>VLOOKUP(G7,'Thang đánh giá'!$C$2:$D$27,2,FALSE)</f>
        <v>(0; 0; 0)</v>
      </c>
      <c r="H21" t="str">
        <f>VLOOKUP(H7,'Thang đánh giá'!$C$2:$D$27,2,FALSE)</f>
        <v>(0; 0,0707; 0,1414)</v>
      </c>
      <c r="I21" t="str">
        <f>VLOOKUP(I7,'Thang đánh giá'!$C$2:$D$27,2,FALSE)</f>
        <v>(0; 0,0707; 0,1414)</v>
      </c>
      <c r="J21" t="str">
        <f>VLOOKUP(J7,'Thang đánh giá'!$C$2:$D$27,2,FALSE)</f>
        <v>(0,1673; 0,251; 0,3347)</v>
      </c>
      <c r="K21" t="str">
        <f>VLOOKUP(K7,'Thang đánh giá'!$C$2:$D$27,2,FALSE)</f>
        <v>(0; 0; 0,0707)</v>
      </c>
      <c r="L21" t="str">
        <f>VLOOKUP(L7,'Thang đánh giá'!$C$2:$D$27,2,FALSE)</f>
        <v>(0; 0; 0,0707)</v>
      </c>
      <c r="M21" t="str">
        <f>VLOOKUP(M7,'Thang đánh giá'!$C$2:$D$27,2,FALSE)</f>
        <v>(0; 0; 0,0316)</v>
      </c>
    </row>
    <row r="22" spans="1:13" x14ac:dyDescent="0.3">
      <c r="A22" t="s">
        <v>6</v>
      </c>
      <c r="B22" t="str">
        <f>VLOOKUP(B8,'Thang đánh giá'!$C$2:$D$27,2,FALSE)</f>
        <v>(0,0707; 0,1414; 0,2121)</v>
      </c>
      <c r="C22" t="str">
        <f>VLOOKUP(C8,'Thang đánh giá'!$C$2:$D$27,2,FALSE)</f>
        <v>(0,0707; 0,1414; 0,2121)</v>
      </c>
      <c r="D22" t="str">
        <f>VLOOKUP(D8,'Thang đánh giá'!$C$2:$D$27,2,FALSE)</f>
        <v>(0; 0; 0,0316)</v>
      </c>
      <c r="E22" t="str">
        <f>VLOOKUP(E8,'Thang đánh giá'!$C$2:$D$27,2,FALSE)</f>
        <v>(0,0707; 0,1414; 0,2121)</v>
      </c>
      <c r="F22" t="str">
        <f>VLOOKUP(F8,'Thang đánh giá'!$C$2:$D$27,2,FALSE)</f>
        <v>(0; 0; 0,0316)</v>
      </c>
      <c r="G22" t="str">
        <f>VLOOKUP(G8,'Thang đánh giá'!$C$2:$D$27,2,FALSE)</f>
        <v>(0,0837; 0,1673; 0,251)</v>
      </c>
      <c r="H22" t="str">
        <f>VLOOKUP(H8,'Thang đánh giá'!$C$2:$D$27,2,FALSE)</f>
        <v>(0; 0; 0)</v>
      </c>
      <c r="I22" t="str">
        <f>VLOOKUP(I8,'Thang đánh giá'!$C$2:$D$27,2,FALSE)</f>
        <v>(0; 0,0316; 0,0632)</v>
      </c>
      <c r="J22" t="str">
        <f>VLOOKUP(J8,'Thang đánh giá'!$C$2:$D$27,2,FALSE)</f>
        <v>(0,0707; 0,1414; 0,2121)</v>
      </c>
      <c r="K22" t="str">
        <f>VLOOKUP(K8,'Thang đánh giá'!$C$2:$D$27,2,FALSE)</f>
        <v>(0; 0; 0,0837)</v>
      </c>
      <c r="L22" t="str">
        <f>VLOOKUP(L8,'Thang đánh giá'!$C$2:$D$27,2,FALSE)</f>
        <v>(0; 0; 0,0707)</v>
      </c>
      <c r="M22" t="str">
        <f>VLOOKUP(M8,'Thang đánh giá'!$C$2:$D$27,2,FALSE)</f>
        <v>(0; 0; 0,0548)</v>
      </c>
    </row>
    <row r="23" spans="1:13" x14ac:dyDescent="0.3">
      <c r="A23" t="s">
        <v>7</v>
      </c>
      <c r="B23" t="str">
        <f>VLOOKUP(B9,'Thang đánh giá'!$C$2:$D$27,2,FALSE)</f>
        <v>(0; 0; 0,0837)</v>
      </c>
      <c r="C23" t="str">
        <f>VLOOKUP(C9,'Thang đánh giá'!$C$2:$D$27,2,FALSE)</f>
        <v>(0; 0; 0,0707)</v>
      </c>
      <c r="D23" t="str">
        <f>VLOOKUP(D9,'Thang đánh giá'!$C$2:$D$27,2,FALSE)</f>
        <v>(0; 0; 0,0707)</v>
      </c>
      <c r="E23" t="str">
        <f>VLOOKUP(E9,'Thang đánh giá'!$C$2:$D$27,2,FALSE)</f>
        <v>(0; 0; 0,0707)</v>
      </c>
      <c r="F23" t="str">
        <f>VLOOKUP(F9,'Thang đánh giá'!$C$2:$D$27,2,FALSE)</f>
        <v>(0; 0,0707; 0,1414)</v>
      </c>
      <c r="G23" t="str">
        <f>VLOOKUP(G9,'Thang đánh giá'!$C$2:$D$27,2,FALSE)</f>
        <v>(0; 0,0548; 0,1095)</v>
      </c>
      <c r="H23" t="str">
        <f>VLOOKUP(H9,'Thang đánh giá'!$C$2:$D$27,2,FALSE)</f>
        <v>(0; 0; 0,0548)</v>
      </c>
      <c r="I23" t="str">
        <f>VLOOKUP(I9,'Thang đánh giá'!$C$2:$D$27,2,FALSE)</f>
        <v>(0; 0; 0)</v>
      </c>
      <c r="J23" t="str">
        <f>VLOOKUP(J9,'Thang đánh giá'!$C$2:$D$27,2,FALSE)</f>
        <v>(0,1897; 0,2846; 0,3795)</v>
      </c>
      <c r="K23" t="str">
        <f>VLOOKUP(K9,'Thang đánh giá'!$C$2:$D$27,2,FALSE)</f>
        <v>(0,1897; 0,2846; 0,3795)</v>
      </c>
      <c r="L23" t="str">
        <f>VLOOKUP(L9,'Thang đánh giá'!$C$2:$D$27,2,FALSE)</f>
        <v>(0,1897; 0,2846; 0,3795)</v>
      </c>
      <c r="M23" t="str">
        <f>VLOOKUP(M9,'Thang đánh giá'!$C$2:$D$27,2,FALSE)</f>
        <v>(0,1897; 0,2846; 0,3795)</v>
      </c>
    </row>
    <row r="24" spans="1:13" x14ac:dyDescent="0.3">
      <c r="A24" t="s">
        <v>8</v>
      </c>
      <c r="B24" t="str">
        <f>VLOOKUP(B10,'Thang đánh giá'!$C$2:$D$27,2,FALSE)</f>
        <v>(0,1673; 0,251; 0,3347)</v>
      </c>
      <c r="C24" t="str">
        <f>VLOOKUP(C10,'Thang đánh giá'!$C$2:$D$27,2,FALSE)</f>
        <v>(0; 0; 0,0707)</v>
      </c>
      <c r="D24" t="str">
        <f>VLOOKUP(D10,'Thang đánh giá'!$C$2:$D$27,2,FALSE)</f>
        <v>(0; 0; 0,0316)</v>
      </c>
      <c r="E24" t="str">
        <f>VLOOKUP(E10,'Thang đánh giá'!$C$2:$D$27,2,FALSE)</f>
        <v>(0; 0,0548; 0,1095)</v>
      </c>
      <c r="F24" t="str">
        <f>VLOOKUP(F10,'Thang đánh giá'!$C$2:$D$27,2,FALSE)</f>
        <v>(0; 0,0707; 0,1414)</v>
      </c>
      <c r="G24" t="str">
        <f>VLOOKUP(G10,'Thang đánh giá'!$C$2:$D$27,2,FALSE)</f>
        <v>(0; 0,0548; 0,1095)</v>
      </c>
      <c r="H24" t="str">
        <f>VLOOKUP(H10,'Thang đánh giá'!$C$2:$D$27,2,FALSE)</f>
        <v>(0,251; 0,3347; 0,3347)</v>
      </c>
      <c r="I24" t="str">
        <f>VLOOKUP(I10,'Thang đánh giá'!$C$2:$D$27,2,FALSE)</f>
        <v>(0; 0,0707; 0,1414)</v>
      </c>
      <c r="J24" t="str">
        <f>VLOOKUP(J10,'Thang đánh giá'!$C$2:$D$27,2,FALSE)</f>
        <v>(0; 0; 0)</v>
      </c>
      <c r="K24" t="str">
        <f>VLOOKUP(K10,'Thang đánh giá'!$C$2:$D$27,2,FALSE)</f>
        <v>(0,2846; 0,3795; 0,3795)</v>
      </c>
      <c r="L24" t="str">
        <f>VLOOKUP(L10,'Thang đánh giá'!$C$2:$D$27,2,FALSE)</f>
        <v>(0,251; 0,3347; 0,3347)</v>
      </c>
      <c r="M24" t="str">
        <f>VLOOKUP(M10,'Thang đánh giá'!$C$2:$D$27,2,FALSE)</f>
        <v>(0,2846; 0,3795; 0,3795)</v>
      </c>
    </row>
    <row r="25" spans="1:13" x14ac:dyDescent="0.3">
      <c r="A25" t="s">
        <v>9</v>
      </c>
      <c r="B25" t="str">
        <f>VLOOKUP(B11,'Thang đánh giá'!$C$2:$D$27,2,FALSE)</f>
        <v>(0; 0; 0,0316)</v>
      </c>
      <c r="C25" t="str">
        <f>VLOOKUP(C11,'Thang đánh giá'!$C$2:$D$27,2,FALSE)</f>
        <v>(0; 0; 0,0316)</v>
      </c>
      <c r="D25" t="str">
        <f>VLOOKUP(D11,'Thang đánh giá'!$C$2:$D$27,2,FALSE)</f>
        <v>(0; 0,0548; 0,1095)</v>
      </c>
      <c r="E25" t="str">
        <f>VLOOKUP(E11,'Thang đánh giá'!$C$2:$D$27,2,FALSE)</f>
        <v>(0,0707; 0,1414; 0,2121)</v>
      </c>
      <c r="F25" t="str">
        <f>VLOOKUP(F11,'Thang đánh giá'!$C$2:$D$27,2,FALSE)</f>
        <v>(0; 0,0548; 0,1095)</v>
      </c>
      <c r="G25" t="str">
        <f>VLOOKUP(G11,'Thang đánh giá'!$C$2:$D$27,2,FALSE)</f>
        <v>(0; 0; 0,0548)</v>
      </c>
      <c r="H25" t="str">
        <f>VLOOKUP(H11,'Thang đánh giá'!$C$2:$D$27,2,FALSE)</f>
        <v>(0; 0; 0,0707)</v>
      </c>
      <c r="I25" t="str">
        <f>VLOOKUP(I11,'Thang đánh giá'!$C$2:$D$27,2,FALSE)</f>
        <v>(0; 0,0837; 0,1673)</v>
      </c>
      <c r="J25" t="str">
        <f>VLOOKUP(J11,'Thang đánh giá'!$C$2:$D$27,2,FALSE)</f>
        <v>(0; 0,0707; 0,1414)</v>
      </c>
      <c r="K25" t="str">
        <f>VLOOKUP(K11,'Thang đánh giá'!$C$2:$D$27,2,FALSE)</f>
        <v>(0; 0; 0)</v>
      </c>
      <c r="L25" t="str">
        <f>VLOOKUP(L11,'Thang đánh giá'!$C$2:$D$27,2,FALSE)</f>
        <v>(0; 0; 0,0707)</v>
      </c>
      <c r="M25" t="str">
        <f>VLOOKUP(M11,'Thang đánh giá'!$C$2:$D$27,2,FALSE)</f>
        <v>(0; 0,0548; 0,1095)</v>
      </c>
    </row>
    <row r="26" spans="1:13" x14ac:dyDescent="0.3">
      <c r="A26" t="s">
        <v>10</v>
      </c>
      <c r="B26" t="str">
        <f>VLOOKUP(B12,'Thang đánh giá'!$C$2:$D$27,2,FALSE)</f>
        <v>(0; 0,0707; 0,1414)</v>
      </c>
      <c r="C26" t="str">
        <f>VLOOKUP(C12,'Thang đánh giá'!$C$2:$D$27,2,FALSE)</f>
        <v>(0; 0; 0,0707)</v>
      </c>
      <c r="D26" t="str">
        <f>VLOOKUP(D12,'Thang đánh giá'!$C$2:$D$27,2,FALSE)</f>
        <v>(0; 0,0707; 0,1414)</v>
      </c>
      <c r="E26" t="str">
        <f>VLOOKUP(E12,'Thang đánh giá'!$C$2:$D$27,2,FALSE)</f>
        <v>(0; 0,0316; 0,0632)</v>
      </c>
      <c r="F26" t="str">
        <f>VLOOKUP(F12,'Thang đánh giá'!$C$2:$D$27,2,FALSE)</f>
        <v>(0; 0; 0,0707)</v>
      </c>
      <c r="G26" t="str">
        <f>VLOOKUP(G12,'Thang đánh giá'!$C$2:$D$27,2,FALSE)</f>
        <v>(0,0707; 0,1414; 0,2121)</v>
      </c>
      <c r="H26" t="str">
        <f>VLOOKUP(H12,'Thang đánh giá'!$C$2:$D$27,2,FALSE)</f>
        <v>(0; 0; 0,0707)</v>
      </c>
      <c r="I26" t="str">
        <f>VLOOKUP(I12,'Thang đánh giá'!$C$2:$D$27,2,FALSE)</f>
        <v>(0; 0; 0,0548)</v>
      </c>
      <c r="J26" t="str">
        <f>VLOOKUP(J12,'Thang đánh giá'!$C$2:$D$27,2,FALSE)</f>
        <v>(0; 0; 0,0707)</v>
      </c>
      <c r="K26" t="str">
        <f>VLOOKUP(K12,'Thang đánh giá'!$C$2:$D$27,2,FALSE)</f>
        <v>(0; 0; 0,0707)</v>
      </c>
      <c r="L26" t="str">
        <f>VLOOKUP(L12,'Thang đánh giá'!$C$2:$D$27,2,FALSE)</f>
        <v>(0; 0; 0)</v>
      </c>
      <c r="M26" t="str">
        <f>VLOOKUP(M12,'Thang đánh giá'!$C$2:$D$27,2,FALSE)</f>
        <v>(0,1897; 0,2846; 0,3795)</v>
      </c>
    </row>
    <row r="27" spans="1:13" x14ac:dyDescent="0.3">
      <c r="A27" t="s">
        <v>11</v>
      </c>
      <c r="B27" t="str">
        <f>VLOOKUP(B13,'Thang đánh giá'!$C$2:$D$27,2,FALSE)</f>
        <v>(0; 0; 0,0707)</v>
      </c>
      <c r="C27" t="str">
        <f>VLOOKUP(C13,'Thang đánh giá'!$C$2:$D$27,2,FALSE)</f>
        <v>(0; 0; 0,0707)</v>
      </c>
      <c r="D27" t="str">
        <f>VLOOKUP(D13,'Thang đánh giá'!$C$2:$D$27,2,FALSE)</f>
        <v>(0; 0; 0,0707)</v>
      </c>
      <c r="E27" t="str">
        <f>VLOOKUP(E13,'Thang đánh giá'!$C$2:$D$27,2,FALSE)</f>
        <v>(0; 0; 0,0548)</v>
      </c>
      <c r="F27" t="str">
        <f>VLOOKUP(F13,'Thang đánh giá'!$C$2:$D$27,2,FALSE)</f>
        <v>(0,0707; 0,1414; 0,2121)</v>
      </c>
      <c r="G27" t="str">
        <f>VLOOKUP(G13,'Thang đánh giá'!$C$2:$D$27,2,FALSE)</f>
        <v>(0; 0,0548; 0,1095)</v>
      </c>
      <c r="H27" t="str">
        <f>VLOOKUP(H13,'Thang đánh giá'!$C$2:$D$27,2,FALSE)</f>
        <v>(0; 0; 0,0316)</v>
      </c>
      <c r="I27" t="str">
        <f>VLOOKUP(I13,'Thang đánh giá'!$C$2:$D$27,2,FALSE)</f>
        <v>(0; 0; 0,0707)</v>
      </c>
      <c r="J27" t="str">
        <f>VLOOKUP(J13,'Thang đánh giá'!$C$2:$D$27,2,FALSE)</f>
        <v>(0; 0; 0,0548)</v>
      </c>
      <c r="K27" t="str">
        <f>VLOOKUP(K13,'Thang đánh giá'!$C$2:$D$27,2,FALSE)</f>
        <v>(0; 0; 0,0707)</v>
      </c>
      <c r="L27" t="str">
        <f>VLOOKUP(L13,'Thang đánh giá'!$C$2:$D$27,2,FALSE)</f>
        <v>(0; 0; 0,0707)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0.1673</v>
      </c>
      <c r="D30">
        <f t="shared" si="0"/>
        <v>0.1673</v>
      </c>
      <c r="E30">
        <f t="shared" si="0"/>
        <v>0</v>
      </c>
      <c r="F30">
        <f t="shared" si="0"/>
        <v>0.1673</v>
      </c>
      <c r="G30">
        <f t="shared" si="0"/>
        <v>0</v>
      </c>
      <c r="H30">
        <f t="shared" si="0"/>
        <v>0</v>
      </c>
      <c r="I30">
        <f t="shared" si="0"/>
        <v>0</v>
      </c>
      <c r="J30">
        <f t="shared" si="0"/>
        <v>0.18970000000000001</v>
      </c>
      <c r="K30">
        <f t="shared" si="0"/>
        <v>0</v>
      </c>
      <c r="L30">
        <f t="shared" si="0"/>
        <v>7.0699999999999999E-2</v>
      </c>
      <c r="M30">
        <f t="shared" si="0"/>
        <v>0</v>
      </c>
    </row>
    <row r="31" spans="1:13" x14ac:dyDescent="0.3">
      <c r="A31" t="s">
        <v>1</v>
      </c>
      <c r="B31">
        <f t="shared" ref="B31:M41" si="1">_xlfn.NUMBERVALUE(MID(B17,2,FIND(";",B17,1)-2))</f>
        <v>0</v>
      </c>
      <c r="C31">
        <f t="shared" si="1"/>
        <v>0</v>
      </c>
      <c r="D31">
        <f t="shared" si="1"/>
        <v>0.28460000000000002</v>
      </c>
      <c r="E31">
        <f t="shared" si="1"/>
        <v>0.28460000000000002</v>
      </c>
      <c r="F31">
        <f t="shared" si="1"/>
        <v>8.3699999999999997E-2</v>
      </c>
      <c r="G31">
        <f t="shared" si="1"/>
        <v>0</v>
      </c>
      <c r="H31">
        <f t="shared" si="1"/>
        <v>0.28460000000000002</v>
      </c>
      <c r="I31">
        <f t="shared" si="1"/>
        <v>0</v>
      </c>
      <c r="J31">
        <f t="shared" si="1"/>
        <v>0.28460000000000002</v>
      </c>
      <c r="K31">
        <f t="shared" si="1"/>
        <v>0.28460000000000002</v>
      </c>
      <c r="L31">
        <f t="shared" si="1"/>
        <v>0.251</v>
      </c>
      <c r="M31">
        <f t="shared" si="1"/>
        <v>0.18970000000000001</v>
      </c>
    </row>
    <row r="32" spans="1:13" x14ac:dyDescent="0.3">
      <c r="A32" t="s">
        <v>2</v>
      </c>
      <c r="B32">
        <f t="shared" si="1"/>
        <v>0.1414</v>
      </c>
      <c r="C32">
        <f t="shared" si="1"/>
        <v>0</v>
      </c>
      <c r="D32">
        <f t="shared" si="1"/>
        <v>0</v>
      </c>
      <c r="E32">
        <f t="shared" si="1"/>
        <v>7.0699999999999999E-2</v>
      </c>
      <c r="F32">
        <f t="shared" si="1"/>
        <v>0</v>
      </c>
      <c r="G32">
        <f t="shared" si="1"/>
        <v>0.1414</v>
      </c>
      <c r="H32">
        <f t="shared" si="1"/>
        <v>8.3699999999999997E-2</v>
      </c>
      <c r="I32">
        <f t="shared" si="1"/>
        <v>0</v>
      </c>
      <c r="J32">
        <f t="shared" si="1"/>
        <v>0.251</v>
      </c>
      <c r="K32">
        <f t="shared" si="1"/>
        <v>0.251</v>
      </c>
      <c r="L32">
        <f t="shared" si="1"/>
        <v>0.18970000000000001</v>
      </c>
      <c r="M32">
        <f t="shared" si="1"/>
        <v>0.18970000000000001</v>
      </c>
    </row>
    <row r="33" spans="1:13" x14ac:dyDescent="0.3">
      <c r="A33" t="s">
        <v>3</v>
      </c>
      <c r="B33">
        <f t="shared" si="1"/>
        <v>7.0699999999999999E-2</v>
      </c>
      <c r="C33">
        <f t="shared" si="1"/>
        <v>0</v>
      </c>
      <c r="D33">
        <f t="shared" si="1"/>
        <v>0</v>
      </c>
      <c r="E33">
        <f t="shared" si="1"/>
        <v>0</v>
      </c>
      <c r="F33">
        <f t="shared" si="1"/>
        <v>0.1673</v>
      </c>
      <c r="G33">
        <f t="shared" si="1"/>
        <v>0</v>
      </c>
      <c r="H33">
        <f t="shared" si="1"/>
        <v>0.18970000000000001</v>
      </c>
      <c r="I33">
        <f t="shared" si="1"/>
        <v>0</v>
      </c>
      <c r="J33">
        <f t="shared" si="1"/>
        <v>0.1673</v>
      </c>
      <c r="K33">
        <f t="shared" si="1"/>
        <v>0</v>
      </c>
      <c r="L33">
        <f t="shared" si="1"/>
        <v>0.18970000000000001</v>
      </c>
      <c r="M33">
        <f t="shared" si="1"/>
        <v>0.18970000000000001</v>
      </c>
    </row>
    <row r="34" spans="1:13" x14ac:dyDescent="0.3">
      <c r="A34" t="s">
        <v>4</v>
      </c>
      <c r="B34">
        <f t="shared" ref="B34:M34" si="2">_xlfn.NUMBERVALUE(MID(B20,2,FIND(";",B20,1)-2))</f>
        <v>7.0699999999999999E-2</v>
      </c>
      <c r="C34">
        <f t="shared" si="2"/>
        <v>0</v>
      </c>
      <c r="D34">
        <f t="shared" si="2"/>
        <v>0</v>
      </c>
      <c r="E34">
        <f t="shared" si="2"/>
        <v>0</v>
      </c>
      <c r="F34">
        <f t="shared" si="2"/>
        <v>0</v>
      </c>
      <c r="G34">
        <f t="shared" si="2"/>
        <v>0.28460000000000002</v>
      </c>
      <c r="H34">
        <f t="shared" si="2"/>
        <v>0</v>
      </c>
      <c r="I34">
        <f t="shared" si="2"/>
        <v>0</v>
      </c>
      <c r="J34">
        <f t="shared" si="2"/>
        <v>0.251</v>
      </c>
      <c r="K34">
        <f t="shared" si="2"/>
        <v>0.18970000000000001</v>
      </c>
      <c r="L34">
        <f t="shared" si="2"/>
        <v>0</v>
      </c>
      <c r="M34">
        <f t="shared" si="2"/>
        <v>0</v>
      </c>
    </row>
    <row r="35" spans="1:13" x14ac:dyDescent="0.3">
      <c r="A35" t="s">
        <v>5</v>
      </c>
      <c r="B35">
        <f t="shared" si="1"/>
        <v>0</v>
      </c>
      <c r="C35">
        <f t="shared" si="1"/>
        <v>0</v>
      </c>
      <c r="D35">
        <f t="shared" si="1"/>
        <v>7.0699999999999999E-2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0</v>
      </c>
      <c r="J35">
        <f t="shared" si="1"/>
        <v>0.1673</v>
      </c>
      <c r="K35">
        <f t="shared" si="1"/>
        <v>0</v>
      </c>
      <c r="L35">
        <f t="shared" si="1"/>
        <v>0</v>
      </c>
      <c r="M35">
        <f t="shared" si="1"/>
        <v>0</v>
      </c>
    </row>
    <row r="36" spans="1:13" x14ac:dyDescent="0.3">
      <c r="A36" t="s">
        <v>6</v>
      </c>
      <c r="B36">
        <f t="shared" si="1"/>
        <v>7.0699999999999999E-2</v>
      </c>
      <c r="C36">
        <f t="shared" si="1"/>
        <v>7.0699999999999999E-2</v>
      </c>
      <c r="D36">
        <f t="shared" si="1"/>
        <v>0</v>
      </c>
      <c r="E36">
        <f t="shared" si="1"/>
        <v>7.0699999999999999E-2</v>
      </c>
      <c r="F36">
        <f t="shared" si="1"/>
        <v>0</v>
      </c>
      <c r="G36">
        <f t="shared" si="1"/>
        <v>8.3699999999999997E-2</v>
      </c>
      <c r="H36">
        <f t="shared" si="1"/>
        <v>0</v>
      </c>
      <c r="I36">
        <f t="shared" si="1"/>
        <v>0</v>
      </c>
      <c r="J36">
        <f t="shared" si="1"/>
        <v>7.0699999999999999E-2</v>
      </c>
      <c r="K36">
        <f t="shared" si="1"/>
        <v>0</v>
      </c>
      <c r="L36">
        <f t="shared" si="1"/>
        <v>0</v>
      </c>
      <c r="M36">
        <f t="shared" si="1"/>
        <v>0</v>
      </c>
    </row>
    <row r="37" spans="1:13" x14ac:dyDescent="0.3">
      <c r="A37" t="s">
        <v>7</v>
      </c>
      <c r="B37">
        <f t="shared" si="1"/>
        <v>0</v>
      </c>
      <c r="C37">
        <f t="shared" si="1"/>
        <v>0</v>
      </c>
      <c r="D37">
        <f t="shared" si="1"/>
        <v>0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0.18970000000000001</v>
      </c>
      <c r="K37">
        <f t="shared" si="1"/>
        <v>0.18970000000000001</v>
      </c>
      <c r="L37">
        <f t="shared" si="1"/>
        <v>0.18970000000000001</v>
      </c>
      <c r="M37">
        <f t="shared" si="1"/>
        <v>0.18970000000000001</v>
      </c>
    </row>
    <row r="38" spans="1:13" x14ac:dyDescent="0.3">
      <c r="A38" t="s">
        <v>8</v>
      </c>
      <c r="B38">
        <f t="shared" si="1"/>
        <v>0.1673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0.251</v>
      </c>
      <c r="I38">
        <f t="shared" si="1"/>
        <v>0</v>
      </c>
      <c r="J38">
        <f t="shared" si="1"/>
        <v>0</v>
      </c>
      <c r="K38">
        <f t="shared" si="1"/>
        <v>0.28460000000000002</v>
      </c>
      <c r="L38">
        <f t="shared" si="1"/>
        <v>0.251</v>
      </c>
      <c r="M38">
        <f t="shared" si="1"/>
        <v>0.28460000000000002</v>
      </c>
    </row>
    <row r="39" spans="1:13" x14ac:dyDescent="0.3">
      <c r="A39" t="s">
        <v>9</v>
      </c>
      <c r="B39">
        <f t="shared" si="1"/>
        <v>0</v>
      </c>
      <c r="C39">
        <f t="shared" si="1"/>
        <v>0</v>
      </c>
      <c r="D39">
        <f t="shared" si="1"/>
        <v>0</v>
      </c>
      <c r="E39">
        <f t="shared" si="1"/>
        <v>7.0699999999999999E-2</v>
      </c>
      <c r="F39">
        <f t="shared" si="1"/>
        <v>0</v>
      </c>
      <c r="G39">
        <f t="shared" si="1"/>
        <v>0</v>
      </c>
      <c r="H39">
        <f t="shared" si="1"/>
        <v>0</v>
      </c>
      <c r="I39">
        <f t="shared" si="1"/>
        <v>0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0</v>
      </c>
    </row>
    <row r="40" spans="1:13" x14ac:dyDescent="0.3">
      <c r="A40" t="s">
        <v>10</v>
      </c>
      <c r="B40">
        <f t="shared" si="1"/>
        <v>0</v>
      </c>
      <c r="C40">
        <f t="shared" si="1"/>
        <v>0</v>
      </c>
      <c r="D40">
        <f t="shared" si="1"/>
        <v>0</v>
      </c>
      <c r="E40">
        <f t="shared" si="1"/>
        <v>0</v>
      </c>
      <c r="F40">
        <f t="shared" si="1"/>
        <v>0</v>
      </c>
      <c r="G40">
        <f t="shared" si="1"/>
        <v>7.0699999999999999E-2</v>
      </c>
      <c r="H40">
        <f t="shared" si="1"/>
        <v>0</v>
      </c>
      <c r="I40">
        <f t="shared" si="1"/>
        <v>0</v>
      </c>
      <c r="J40">
        <f t="shared" si="1"/>
        <v>0</v>
      </c>
      <c r="K40">
        <f t="shared" si="1"/>
        <v>0</v>
      </c>
      <c r="L40">
        <f t="shared" si="1"/>
        <v>0</v>
      </c>
      <c r="M40">
        <f t="shared" si="1"/>
        <v>0.18970000000000001</v>
      </c>
    </row>
    <row r="41" spans="1:13" x14ac:dyDescent="0.3">
      <c r="A41" t="s">
        <v>11</v>
      </c>
      <c r="B41">
        <f t="shared" si="1"/>
        <v>0</v>
      </c>
      <c r="C41">
        <f t="shared" si="1"/>
        <v>0</v>
      </c>
      <c r="D41">
        <f t="shared" si="1"/>
        <v>0</v>
      </c>
      <c r="E41">
        <f t="shared" si="1"/>
        <v>0</v>
      </c>
      <c r="F41">
        <f t="shared" si="1"/>
        <v>7.0699999999999999E-2</v>
      </c>
      <c r="G41">
        <f t="shared" si="1"/>
        <v>0</v>
      </c>
      <c r="H41">
        <f t="shared" si="1"/>
        <v>0</v>
      </c>
      <c r="I41">
        <f t="shared" si="1"/>
        <v>0</v>
      </c>
      <c r="J41">
        <f t="shared" si="1"/>
        <v>0</v>
      </c>
      <c r="K41">
        <f t="shared" si="1"/>
        <v>0</v>
      </c>
      <c r="L41">
        <f t="shared" si="1"/>
        <v>0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0.251</v>
      </c>
      <c r="D44">
        <f t="shared" si="3"/>
        <v>0.251</v>
      </c>
      <c r="E44">
        <f t="shared" si="3"/>
        <v>0</v>
      </c>
      <c r="F44">
        <f t="shared" si="3"/>
        <v>0.251</v>
      </c>
      <c r="G44">
        <f t="shared" si="3"/>
        <v>0</v>
      </c>
      <c r="H44">
        <f t="shared" si="3"/>
        <v>0</v>
      </c>
      <c r="I44">
        <f t="shared" si="3"/>
        <v>0</v>
      </c>
      <c r="J44">
        <f t="shared" si="3"/>
        <v>0.28460000000000002</v>
      </c>
      <c r="K44">
        <f t="shared" si="3"/>
        <v>7.0699999999999999E-2</v>
      </c>
      <c r="L44">
        <f t="shared" si="3"/>
        <v>0.1414</v>
      </c>
      <c r="M44">
        <f t="shared" si="3"/>
        <v>0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5.4800000000000001E-2</v>
      </c>
      <c r="C45">
        <f t="shared" si="4"/>
        <v>0</v>
      </c>
      <c r="D45">
        <f t="shared" si="4"/>
        <v>0.3795</v>
      </c>
      <c r="E45">
        <f t="shared" si="4"/>
        <v>0.3795</v>
      </c>
      <c r="F45">
        <f t="shared" si="4"/>
        <v>0.1673</v>
      </c>
      <c r="G45">
        <f t="shared" si="4"/>
        <v>0</v>
      </c>
      <c r="H45">
        <f t="shared" si="4"/>
        <v>0.3795</v>
      </c>
      <c r="I45">
        <f t="shared" si="4"/>
        <v>3.1600000000000003E-2</v>
      </c>
      <c r="J45">
        <f t="shared" si="4"/>
        <v>0.3795</v>
      </c>
      <c r="K45">
        <f t="shared" si="4"/>
        <v>0.3795</v>
      </c>
      <c r="L45">
        <f t="shared" si="4"/>
        <v>0.3347</v>
      </c>
      <c r="M45">
        <f t="shared" si="4"/>
        <v>0.28460000000000002</v>
      </c>
    </row>
    <row r="46" spans="1:13" x14ac:dyDescent="0.3">
      <c r="A46" t="s">
        <v>2</v>
      </c>
      <c r="B46">
        <f t="shared" si="4"/>
        <v>0.21210000000000001</v>
      </c>
      <c r="C46">
        <f t="shared" si="4"/>
        <v>0</v>
      </c>
      <c r="D46">
        <f t="shared" si="4"/>
        <v>0</v>
      </c>
      <c r="E46">
        <f t="shared" si="4"/>
        <v>0.1414</v>
      </c>
      <c r="F46">
        <f t="shared" si="4"/>
        <v>0</v>
      </c>
      <c r="G46">
        <f t="shared" si="4"/>
        <v>0.21210000000000001</v>
      </c>
      <c r="H46">
        <f t="shared" si="4"/>
        <v>0.1673</v>
      </c>
      <c r="I46">
        <f t="shared" si="4"/>
        <v>0</v>
      </c>
      <c r="J46">
        <f t="shared" si="4"/>
        <v>0.3347</v>
      </c>
      <c r="K46">
        <f t="shared" si="4"/>
        <v>0.3347</v>
      </c>
      <c r="L46">
        <f t="shared" si="4"/>
        <v>0.28460000000000002</v>
      </c>
      <c r="M46">
        <f t="shared" si="4"/>
        <v>0.28460000000000002</v>
      </c>
    </row>
    <row r="47" spans="1:13" x14ac:dyDescent="0.3">
      <c r="A47" t="s">
        <v>3</v>
      </c>
      <c r="B47">
        <f t="shared" si="4"/>
        <v>0.1414</v>
      </c>
      <c r="C47">
        <f t="shared" si="4"/>
        <v>7.0699999999999999E-2</v>
      </c>
      <c r="D47">
        <f t="shared" si="4"/>
        <v>7.0699999999999999E-2</v>
      </c>
      <c r="E47">
        <f t="shared" si="4"/>
        <v>0</v>
      </c>
      <c r="F47">
        <f t="shared" si="4"/>
        <v>0.251</v>
      </c>
      <c r="G47">
        <f t="shared" si="4"/>
        <v>0</v>
      </c>
      <c r="H47">
        <f t="shared" si="4"/>
        <v>0.28460000000000002</v>
      </c>
      <c r="I47">
        <f t="shared" si="4"/>
        <v>7.0699999999999999E-2</v>
      </c>
      <c r="J47">
        <f t="shared" si="4"/>
        <v>0.251</v>
      </c>
      <c r="K47">
        <f t="shared" si="4"/>
        <v>0</v>
      </c>
      <c r="L47">
        <f t="shared" si="4"/>
        <v>0.28460000000000002</v>
      </c>
      <c r="M47">
        <f t="shared" si="4"/>
        <v>0.28460000000000002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0.1414</v>
      </c>
      <c r="C48">
        <f t="shared" si="5"/>
        <v>7.0699999999999999E-2</v>
      </c>
      <c r="D48">
        <f t="shared" si="5"/>
        <v>0</v>
      </c>
      <c r="E48">
        <f t="shared" si="5"/>
        <v>0</v>
      </c>
      <c r="F48">
        <f t="shared" si="5"/>
        <v>0</v>
      </c>
      <c r="G48">
        <f t="shared" si="5"/>
        <v>0.3795</v>
      </c>
      <c r="H48">
        <f t="shared" si="5"/>
        <v>7.0699999999999999E-2</v>
      </c>
      <c r="I48">
        <f t="shared" si="5"/>
        <v>0</v>
      </c>
      <c r="J48">
        <f t="shared" si="5"/>
        <v>0.3347</v>
      </c>
      <c r="K48">
        <f t="shared" si="5"/>
        <v>0.28460000000000002</v>
      </c>
      <c r="L48">
        <f t="shared" si="5"/>
        <v>7.0699999999999999E-2</v>
      </c>
      <c r="M48">
        <f t="shared" si="5"/>
        <v>0</v>
      </c>
    </row>
    <row r="49" spans="1:13" x14ac:dyDescent="0.3">
      <c r="A49" t="s">
        <v>5</v>
      </c>
      <c r="B49">
        <f t="shared" si="4"/>
        <v>7.0699999999999999E-2</v>
      </c>
      <c r="C49">
        <f t="shared" si="4"/>
        <v>0</v>
      </c>
      <c r="D49">
        <f t="shared" si="4"/>
        <v>0.1414</v>
      </c>
      <c r="E49">
        <f t="shared" si="4"/>
        <v>7.0699999999999999E-2</v>
      </c>
      <c r="F49">
        <f t="shared" si="4"/>
        <v>5.4800000000000001E-2</v>
      </c>
      <c r="G49">
        <f t="shared" si="4"/>
        <v>0</v>
      </c>
      <c r="H49">
        <f t="shared" si="4"/>
        <v>7.0699999999999999E-2</v>
      </c>
      <c r="I49">
        <f t="shared" si="4"/>
        <v>7.0699999999999999E-2</v>
      </c>
      <c r="J49">
        <f t="shared" si="4"/>
        <v>0.251</v>
      </c>
      <c r="K49">
        <f t="shared" si="4"/>
        <v>0</v>
      </c>
      <c r="L49">
        <f t="shared" si="4"/>
        <v>0</v>
      </c>
      <c r="M49">
        <f t="shared" si="4"/>
        <v>0</v>
      </c>
    </row>
    <row r="50" spans="1:13" x14ac:dyDescent="0.3">
      <c r="A50" t="s">
        <v>6</v>
      </c>
      <c r="B50">
        <f t="shared" si="4"/>
        <v>0.1414</v>
      </c>
      <c r="C50">
        <f t="shared" si="4"/>
        <v>0.1414</v>
      </c>
      <c r="D50">
        <f t="shared" si="4"/>
        <v>0</v>
      </c>
      <c r="E50">
        <f t="shared" si="4"/>
        <v>0.1414</v>
      </c>
      <c r="F50">
        <f t="shared" si="4"/>
        <v>0</v>
      </c>
      <c r="G50">
        <f t="shared" si="4"/>
        <v>0.1673</v>
      </c>
      <c r="H50">
        <f t="shared" si="4"/>
        <v>0</v>
      </c>
      <c r="I50">
        <f t="shared" si="4"/>
        <v>3.1600000000000003E-2</v>
      </c>
      <c r="J50">
        <f t="shared" si="4"/>
        <v>0.1414</v>
      </c>
      <c r="K50">
        <f t="shared" si="4"/>
        <v>0</v>
      </c>
      <c r="L50">
        <f t="shared" si="4"/>
        <v>0</v>
      </c>
      <c r="M50">
        <f t="shared" si="4"/>
        <v>0</v>
      </c>
    </row>
    <row r="51" spans="1:13" x14ac:dyDescent="0.3">
      <c r="A51" t="s">
        <v>7</v>
      </c>
      <c r="B51">
        <f t="shared" si="4"/>
        <v>0</v>
      </c>
      <c r="C51">
        <f t="shared" si="4"/>
        <v>0</v>
      </c>
      <c r="D51">
        <f t="shared" si="4"/>
        <v>0</v>
      </c>
      <c r="E51">
        <f t="shared" si="4"/>
        <v>0</v>
      </c>
      <c r="F51">
        <f t="shared" si="4"/>
        <v>7.0699999999999999E-2</v>
      </c>
      <c r="G51">
        <f t="shared" si="4"/>
        <v>5.4800000000000001E-2</v>
      </c>
      <c r="H51">
        <f t="shared" si="4"/>
        <v>0</v>
      </c>
      <c r="I51">
        <f t="shared" si="4"/>
        <v>0</v>
      </c>
      <c r="J51">
        <f t="shared" si="4"/>
        <v>0.28460000000000002</v>
      </c>
      <c r="K51">
        <f t="shared" si="4"/>
        <v>0.28460000000000002</v>
      </c>
      <c r="L51">
        <f t="shared" si="4"/>
        <v>0.28460000000000002</v>
      </c>
      <c r="M51">
        <f t="shared" si="4"/>
        <v>0.28460000000000002</v>
      </c>
    </row>
    <row r="52" spans="1:13" x14ac:dyDescent="0.3">
      <c r="A52" t="s">
        <v>8</v>
      </c>
      <c r="B52">
        <f t="shared" si="4"/>
        <v>0.251</v>
      </c>
      <c r="C52">
        <f t="shared" si="4"/>
        <v>0</v>
      </c>
      <c r="D52">
        <f t="shared" si="4"/>
        <v>0</v>
      </c>
      <c r="E52">
        <f t="shared" si="4"/>
        <v>5.4800000000000001E-2</v>
      </c>
      <c r="F52">
        <f t="shared" si="4"/>
        <v>7.0699999999999999E-2</v>
      </c>
      <c r="G52">
        <f t="shared" si="4"/>
        <v>5.4800000000000001E-2</v>
      </c>
      <c r="H52">
        <f t="shared" si="4"/>
        <v>0.3347</v>
      </c>
      <c r="I52">
        <f t="shared" si="4"/>
        <v>7.0699999999999999E-2</v>
      </c>
      <c r="J52">
        <f t="shared" si="4"/>
        <v>0</v>
      </c>
      <c r="K52">
        <f t="shared" si="4"/>
        <v>0.3795</v>
      </c>
      <c r="L52">
        <f t="shared" si="4"/>
        <v>0.3347</v>
      </c>
      <c r="M52">
        <f t="shared" si="4"/>
        <v>0.3795</v>
      </c>
    </row>
    <row r="53" spans="1:13" x14ac:dyDescent="0.3">
      <c r="A53" t="s">
        <v>9</v>
      </c>
      <c r="B53">
        <f t="shared" si="4"/>
        <v>0</v>
      </c>
      <c r="C53">
        <f t="shared" si="4"/>
        <v>0</v>
      </c>
      <c r="D53">
        <f t="shared" si="4"/>
        <v>5.4800000000000001E-2</v>
      </c>
      <c r="E53">
        <f t="shared" si="4"/>
        <v>0.1414</v>
      </c>
      <c r="F53">
        <f t="shared" si="4"/>
        <v>5.4800000000000001E-2</v>
      </c>
      <c r="G53">
        <f t="shared" si="4"/>
        <v>0</v>
      </c>
      <c r="H53">
        <f t="shared" si="4"/>
        <v>0</v>
      </c>
      <c r="I53">
        <f t="shared" si="4"/>
        <v>8.3699999999999997E-2</v>
      </c>
      <c r="J53">
        <f t="shared" si="4"/>
        <v>7.0699999999999999E-2</v>
      </c>
      <c r="K53">
        <f t="shared" si="4"/>
        <v>0</v>
      </c>
      <c r="L53">
        <f t="shared" si="4"/>
        <v>0</v>
      </c>
      <c r="M53">
        <f t="shared" si="4"/>
        <v>5.4800000000000001E-2</v>
      </c>
    </row>
    <row r="54" spans="1:13" x14ac:dyDescent="0.3">
      <c r="A54" t="s">
        <v>10</v>
      </c>
      <c r="B54">
        <f t="shared" si="4"/>
        <v>7.0699999999999999E-2</v>
      </c>
      <c r="C54">
        <f t="shared" si="4"/>
        <v>0</v>
      </c>
      <c r="D54">
        <f t="shared" si="4"/>
        <v>7.0699999999999999E-2</v>
      </c>
      <c r="E54">
        <f t="shared" si="4"/>
        <v>3.1600000000000003E-2</v>
      </c>
      <c r="F54">
        <f t="shared" si="4"/>
        <v>0</v>
      </c>
      <c r="G54">
        <f t="shared" si="4"/>
        <v>0.1414</v>
      </c>
      <c r="H54">
        <f t="shared" si="4"/>
        <v>0</v>
      </c>
      <c r="I54">
        <f t="shared" si="4"/>
        <v>0</v>
      </c>
      <c r="J54">
        <f t="shared" si="4"/>
        <v>0</v>
      </c>
      <c r="K54">
        <f t="shared" si="4"/>
        <v>0</v>
      </c>
      <c r="L54">
        <f t="shared" si="4"/>
        <v>0</v>
      </c>
      <c r="M54">
        <f t="shared" si="4"/>
        <v>0.28460000000000002</v>
      </c>
    </row>
    <row r="55" spans="1:13" x14ac:dyDescent="0.3">
      <c r="A55" t="s">
        <v>11</v>
      </c>
      <c r="B55">
        <f t="shared" si="4"/>
        <v>0</v>
      </c>
      <c r="C55">
        <f t="shared" si="4"/>
        <v>0</v>
      </c>
      <c r="D55">
        <f t="shared" si="4"/>
        <v>0</v>
      </c>
      <c r="E55">
        <f t="shared" si="4"/>
        <v>0</v>
      </c>
      <c r="F55">
        <f t="shared" si="4"/>
        <v>0.1414</v>
      </c>
      <c r="G55">
        <f t="shared" si="4"/>
        <v>5.4800000000000001E-2</v>
      </c>
      <c r="H55">
        <f t="shared" si="4"/>
        <v>0</v>
      </c>
      <c r="I55">
        <f t="shared" si="4"/>
        <v>0</v>
      </c>
      <c r="J55">
        <f t="shared" si="4"/>
        <v>0</v>
      </c>
      <c r="K55">
        <f t="shared" si="4"/>
        <v>0</v>
      </c>
      <c r="L55">
        <f t="shared" si="4"/>
        <v>0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0.3347</v>
      </c>
      <c r="D58">
        <f t="shared" si="6"/>
        <v>0.3347</v>
      </c>
      <c r="E58">
        <f t="shared" si="6"/>
        <v>7.0699999999999999E-2</v>
      </c>
      <c r="F58">
        <f t="shared" si="6"/>
        <v>0.3347</v>
      </c>
      <c r="G58">
        <f t="shared" si="6"/>
        <v>5.4800000000000001E-2</v>
      </c>
      <c r="H58">
        <f t="shared" si="6"/>
        <v>5.4800000000000001E-2</v>
      </c>
      <c r="I58">
        <f t="shared" si="6"/>
        <v>7.0699999999999999E-2</v>
      </c>
      <c r="J58">
        <f t="shared" si="6"/>
        <v>0.3795</v>
      </c>
      <c r="K58">
        <f t="shared" si="6"/>
        <v>0.1414</v>
      </c>
      <c r="L58">
        <f t="shared" si="6"/>
        <v>0.21210000000000001</v>
      </c>
      <c r="M58">
        <f t="shared" si="6"/>
        <v>7.0699999999999999E-2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0.1095</v>
      </c>
      <c r="C59">
        <f t="shared" si="7"/>
        <v>0</v>
      </c>
      <c r="D59">
        <f t="shared" si="7"/>
        <v>0.3795</v>
      </c>
      <c r="E59">
        <f t="shared" si="7"/>
        <v>0.3795</v>
      </c>
      <c r="F59">
        <f t="shared" si="7"/>
        <v>0.251</v>
      </c>
      <c r="G59">
        <f t="shared" si="7"/>
        <v>3.1600000000000003E-2</v>
      </c>
      <c r="H59">
        <f t="shared" si="7"/>
        <v>0.3795</v>
      </c>
      <c r="I59">
        <f t="shared" si="7"/>
        <v>6.3200000000000006E-2</v>
      </c>
      <c r="J59">
        <f t="shared" si="7"/>
        <v>0.3795</v>
      </c>
      <c r="K59">
        <f t="shared" si="7"/>
        <v>0.3795</v>
      </c>
      <c r="L59">
        <f t="shared" si="7"/>
        <v>0.3347</v>
      </c>
      <c r="M59">
        <f t="shared" si="7"/>
        <v>0.3795</v>
      </c>
    </row>
    <row r="60" spans="1:13" x14ac:dyDescent="0.3">
      <c r="A60" t="s">
        <v>2</v>
      </c>
      <c r="B60">
        <f t="shared" si="7"/>
        <v>0.2828</v>
      </c>
      <c r="C60">
        <f t="shared" si="7"/>
        <v>7.0699999999999999E-2</v>
      </c>
      <c r="D60">
        <f t="shared" si="7"/>
        <v>0</v>
      </c>
      <c r="E60">
        <f t="shared" si="7"/>
        <v>0.21210000000000001</v>
      </c>
      <c r="F60">
        <f t="shared" si="7"/>
        <v>5.4800000000000001E-2</v>
      </c>
      <c r="G60">
        <f t="shared" si="7"/>
        <v>0.2828</v>
      </c>
      <c r="H60">
        <f t="shared" si="7"/>
        <v>0.251</v>
      </c>
      <c r="I60">
        <f t="shared" si="7"/>
        <v>3.1600000000000003E-2</v>
      </c>
      <c r="J60">
        <f t="shared" si="7"/>
        <v>0.3347</v>
      </c>
      <c r="K60">
        <f t="shared" si="7"/>
        <v>0.3347</v>
      </c>
      <c r="L60">
        <f t="shared" si="7"/>
        <v>0.3795</v>
      </c>
      <c r="M60">
        <f t="shared" si="7"/>
        <v>0.3795</v>
      </c>
    </row>
    <row r="61" spans="1:13" x14ac:dyDescent="0.3">
      <c r="A61" t="s">
        <v>3</v>
      </c>
      <c r="B61">
        <f t="shared" si="7"/>
        <v>0.21210000000000001</v>
      </c>
      <c r="C61">
        <f t="shared" si="7"/>
        <v>0.1414</v>
      </c>
      <c r="D61">
        <f t="shared" si="7"/>
        <v>0.1414</v>
      </c>
      <c r="E61">
        <f t="shared" si="7"/>
        <v>0</v>
      </c>
      <c r="F61">
        <f t="shared" si="7"/>
        <v>0.3347</v>
      </c>
      <c r="G61">
        <f t="shared" si="7"/>
        <v>7.0699999999999999E-2</v>
      </c>
      <c r="H61">
        <f t="shared" si="7"/>
        <v>0.3795</v>
      </c>
      <c r="I61">
        <f t="shared" si="7"/>
        <v>0.1414</v>
      </c>
      <c r="J61">
        <f t="shared" si="7"/>
        <v>0.3347</v>
      </c>
      <c r="K61">
        <f t="shared" si="7"/>
        <v>7.0699999999999999E-2</v>
      </c>
      <c r="L61">
        <f t="shared" si="7"/>
        <v>0.3795</v>
      </c>
      <c r="M61">
        <f t="shared" si="7"/>
        <v>0.3795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0.21210000000000001</v>
      </c>
      <c r="C62">
        <f t="shared" si="8"/>
        <v>0.1414</v>
      </c>
      <c r="D62">
        <f t="shared" si="8"/>
        <v>7.0699999999999999E-2</v>
      </c>
      <c r="E62">
        <f t="shared" si="8"/>
        <v>5.4800000000000001E-2</v>
      </c>
      <c r="F62">
        <f t="shared" si="8"/>
        <v>0</v>
      </c>
      <c r="G62">
        <f t="shared" si="8"/>
        <v>0.3795</v>
      </c>
      <c r="H62">
        <f t="shared" si="8"/>
        <v>0.1414</v>
      </c>
      <c r="I62">
        <f t="shared" si="8"/>
        <v>7.0699999999999999E-2</v>
      </c>
      <c r="J62">
        <f t="shared" si="8"/>
        <v>0.3347</v>
      </c>
      <c r="K62">
        <f t="shared" si="8"/>
        <v>0.3795</v>
      </c>
      <c r="L62">
        <f t="shared" si="8"/>
        <v>0.1414</v>
      </c>
      <c r="M62">
        <f t="shared" si="8"/>
        <v>5.4800000000000001E-2</v>
      </c>
    </row>
    <row r="63" spans="1:13" x14ac:dyDescent="0.3">
      <c r="A63" t="s">
        <v>5</v>
      </c>
      <c r="B63">
        <f t="shared" si="7"/>
        <v>0.1414</v>
      </c>
      <c r="C63">
        <f t="shared" si="7"/>
        <v>5.4800000000000001E-2</v>
      </c>
      <c r="D63">
        <f t="shared" si="7"/>
        <v>0.21210000000000001</v>
      </c>
      <c r="E63">
        <f t="shared" si="7"/>
        <v>0.1414</v>
      </c>
      <c r="F63">
        <f t="shared" si="7"/>
        <v>0.1095</v>
      </c>
      <c r="G63">
        <f t="shared" si="7"/>
        <v>0</v>
      </c>
      <c r="H63">
        <f t="shared" si="7"/>
        <v>0.1414</v>
      </c>
      <c r="I63">
        <f t="shared" si="7"/>
        <v>0.1414</v>
      </c>
      <c r="J63">
        <f t="shared" si="7"/>
        <v>0.3347</v>
      </c>
      <c r="K63">
        <f t="shared" si="7"/>
        <v>7.0699999999999999E-2</v>
      </c>
      <c r="L63">
        <f t="shared" si="7"/>
        <v>7.0699999999999999E-2</v>
      </c>
      <c r="M63">
        <f t="shared" si="7"/>
        <v>3.1600000000000003E-2</v>
      </c>
    </row>
    <row r="64" spans="1:13" x14ac:dyDescent="0.3">
      <c r="A64" t="s">
        <v>6</v>
      </c>
      <c r="B64">
        <f t="shared" si="7"/>
        <v>0.21210000000000001</v>
      </c>
      <c r="C64">
        <f t="shared" si="7"/>
        <v>0.21210000000000001</v>
      </c>
      <c r="D64">
        <f t="shared" si="7"/>
        <v>3.1600000000000003E-2</v>
      </c>
      <c r="E64">
        <f t="shared" si="7"/>
        <v>0.21210000000000001</v>
      </c>
      <c r="F64">
        <f t="shared" si="7"/>
        <v>3.1600000000000003E-2</v>
      </c>
      <c r="G64">
        <f t="shared" si="7"/>
        <v>0.251</v>
      </c>
      <c r="H64">
        <f t="shared" si="7"/>
        <v>0</v>
      </c>
      <c r="I64">
        <f t="shared" si="7"/>
        <v>6.3200000000000006E-2</v>
      </c>
      <c r="J64">
        <f t="shared" si="7"/>
        <v>0.21210000000000001</v>
      </c>
      <c r="K64">
        <f t="shared" si="7"/>
        <v>8.3699999999999997E-2</v>
      </c>
      <c r="L64">
        <f t="shared" si="7"/>
        <v>7.0699999999999999E-2</v>
      </c>
      <c r="M64">
        <f t="shared" si="7"/>
        <v>5.4800000000000001E-2</v>
      </c>
    </row>
    <row r="65" spans="1:13" x14ac:dyDescent="0.3">
      <c r="A65" t="s">
        <v>7</v>
      </c>
      <c r="B65">
        <f t="shared" si="7"/>
        <v>8.3699999999999997E-2</v>
      </c>
      <c r="C65">
        <f t="shared" si="7"/>
        <v>7.0699999999999999E-2</v>
      </c>
      <c r="D65">
        <f t="shared" si="7"/>
        <v>7.0699999999999999E-2</v>
      </c>
      <c r="E65">
        <f t="shared" si="7"/>
        <v>7.0699999999999999E-2</v>
      </c>
      <c r="F65">
        <f t="shared" si="7"/>
        <v>0.1414</v>
      </c>
      <c r="G65">
        <f t="shared" si="7"/>
        <v>0.1095</v>
      </c>
      <c r="H65">
        <f t="shared" si="7"/>
        <v>5.4800000000000001E-2</v>
      </c>
      <c r="I65">
        <f t="shared" si="7"/>
        <v>0</v>
      </c>
      <c r="J65">
        <f t="shared" si="7"/>
        <v>0.3795</v>
      </c>
      <c r="K65">
        <f t="shared" si="7"/>
        <v>0.3795</v>
      </c>
      <c r="L65">
        <f t="shared" si="7"/>
        <v>0.3795</v>
      </c>
      <c r="M65">
        <f t="shared" si="7"/>
        <v>0.3795</v>
      </c>
    </row>
    <row r="66" spans="1:13" x14ac:dyDescent="0.3">
      <c r="A66" t="s">
        <v>8</v>
      </c>
      <c r="B66">
        <f t="shared" si="7"/>
        <v>0.3347</v>
      </c>
      <c r="C66">
        <f t="shared" si="7"/>
        <v>7.0699999999999999E-2</v>
      </c>
      <c r="D66">
        <f t="shared" si="7"/>
        <v>3.1600000000000003E-2</v>
      </c>
      <c r="E66">
        <f t="shared" si="7"/>
        <v>0.1095</v>
      </c>
      <c r="F66">
        <f t="shared" si="7"/>
        <v>0.1414</v>
      </c>
      <c r="G66">
        <f t="shared" si="7"/>
        <v>0.1095</v>
      </c>
      <c r="H66">
        <f t="shared" si="7"/>
        <v>0.3347</v>
      </c>
      <c r="I66">
        <f t="shared" si="7"/>
        <v>0.1414</v>
      </c>
      <c r="J66">
        <f t="shared" si="7"/>
        <v>0</v>
      </c>
      <c r="K66">
        <f t="shared" si="7"/>
        <v>0.3795</v>
      </c>
      <c r="L66">
        <f t="shared" si="7"/>
        <v>0.3347</v>
      </c>
      <c r="M66">
        <f t="shared" si="7"/>
        <v>0.3795</v>
      </c>
    </row>
    <row r="67" spans="1:13" x14ac:dyDescent="0.3">
      <c r="A67" t="s">
        <v>9</v>
      </c>
      <c r="B67">
        <f t="shared" si="7"/>
        <v>3.1600000000000003E-2</v>
      </c>
      <c r="C67">
        <f t="shared" si="7"/>
        <v>3.1600000000000003E-2</v>
      </c>
      <c r="D67">
        <f t="shared" si="7"/>
        <v>0.1095</v>
      </c>
      <c r="E67">
        <f t="shared" si="7"/>
        <v>0.21210000000000001</v>
      </c>
      <c r="F67">
        <f t="shared" si="7"/>
        <v>0.1095</v>
      </c>
      <c r="G67">
        <f t="shared" si="7"/>
        <v>5.4800000000000001E-2</v>
      </c>
      <c r="H67">
        <f t="shared" si="7"/>
        <v>7.0699999999999999E-2</v>
      </c>
      <c r="I67">
        <f t="shared" si="7"/>
        <v>0.1673</v>
      </c>
      <c r="J67">
        <f t="shared" si="7"/>
        <v>0.1414</v>
      </c>
      <c r="K67">
        <f t="shared" si="7"/>
        <v>0</v>
      </c>
      <c r="L67">
        <f t="shared" si="7"/>
        <v>7.0699999999999999E-2</v>
      </c>
      <c r="M67">
        <f t="shared" si="7"/>
        <v>0.1095</v>
      </c>
    </row>
    <row r="68" spans="1:13" x14ac:dyDescent="0.3">
      <c r="A68" t="s">
        <v>10</v>
      </c>
      <c r="B68">
        <f t="shared" si="7"/>
        <v>0.1414</v>
      </c>
      <c r="C68">
        <f t="shared" si="7"/>
        <v>7.0699999999999999E-2</v>
      </c>
      <c r="D68">
        <f t="shared" si="7"/>
        <v>0.1414</v>
      </c>
      <c r="E68">
        <f t="shared" si="7"/>
        <v>6.3200000000000006E-2</v>
      </c>
      <c r="F68">
        <f t="shared" si="7"/>
        <v>7.0699999999999999E-2</v>
      </c>
      <c r="G68">
        <f t="shared" si="7"/>
        <v>0.21210000000000001</v>
      </c>
      <c r="H68">
        <f t="shared" si="7"/>
        <v>7.0699999999999999E-2</v>
      </c>
      <c r="I68">
        <f t="shared" si="7"/>
        <v>5.4800000000000001E-2</v>
      </c>
      <c r="J68">
        <f t="shared" si="7"/>
        <v>7.0699999999999999E-2</v>
      </c>
      <c r="K68">
        <f t="shared" si="7"/>
        <v>7.0699999999999999E-2</v>
      </c>
      <c r="L68">
        <f t="shared" si="7"/>
        <v>0</v>
      </c>
      <c r="M68">
        <f t="shared" si="7"/>
        <v>0.3795</v>
      </c>
    </row>
    <row r="69" spans="1:13" x14ac:dyDescent="0.3">
      <c r="A69" t="s">
        <v>11</v>
      </c>
      <c r="B69">
        <f t="shared" si="7"/>
        <v>7.0699999999999999E-2</v>
      </c>
      <c r="C69">
        <f t="shared" si="7"/>
        <v>7.0699999999999999E-2</v>
      </c>
      <c r="D69">
        <f t="shared" si="7"/>
        <v>7.0699999999999999E-2</v>
      </c>
      <c r="E69">
        <f t="shared" si="7"/>
        <v>5.4800000000000001E-2</v>
      </c>
      <c r="F69">
        <f t="shared" si="7"/>
        <v>0.21210000000000001</v>
      </c>
      <c r="G69">
        <f t="shared" si="7"/>
        <v>0.1095</v>
      </c>
      <c r="H69">
        <f t="shared" si="7"/>
        <v>3.1600000000000003E-2</v>
      </c>
      <c r="I69">
        <f t="shared" si="7"/>
        <v>7.0699999999999999E-2</v>
      </c>
      <c r="J69">
        <f t="shared" si="7"/>
        <v>5.4800000000000001E-2</v>
      </c>
      <c r="K69">
        <f t="shared" si="7"/>
        <v>7.0699999999999999E-2</v>
      </c>
      <c r="L69">
        <f t="shared" si="7"/>
        <v>7.0699999999999999E-2</v>
      </c>
      <c r="M69">
        <f t="shared" si="7"/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5"/>
  <dimension ref="A1:M69"/>
  <sheetViews>
    <sheetView workbookViewId="0">
      <selection activeCell="A15" sqref="A15:M69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13</v>
      </c>
      <c r="D2" t="s">
        <v>12</v>
      </c>
      <c r="E2" t="s">
        <v>22</v>
      </c>
      <c r="F2" t="s">
        <v>71</v>
      </c>
      <c r="G2" t="s">
        <v>71</v>
      </c>
      <c r="H2" t="s">
        <v>16</v>
      </c>
      <c r="I2" t="s">
        <v>24</v>
      </c>
      <c r="J2" t="s">
        <v>12</v>
      </c>
      <c r="K2" t="s">
        <v>22</v>
      </c>
      <c r="L2" t="s">
        <v>20</v>
      </c>
      <c r="M2" t="s">
        <v>15</v>
      </c>
    </row>
    <row r="3" spans="1:13" x14ac:dyDescent="0.3">
      <c r="A3" s="1" t="s">
        <v>1</v>
      </c>
      <c r="B3" t="s">
        <v>22</v>
      </c>
      <c r="C3">
        <v>0</v>
      </c>
      <c r="D3" t="s">
        <v>25</v>
      </c>
      <c r="E3" t="s">
        <v>25</v>
      </c>
      <c r="F3" t="s">
        <v>17</v>
      </c>
      <c r="G3" t="s">
        <v>25</v>
      </c>
      <c r="H3" t="s">
        <v>22</v>
      </c>
      <c r="I3" t="s">
        <v>15</v>
      </c>
      <c r="J3" t="s">
        <v>13</v>
      </c>
      <c r="K3" t="s">
        <v>18</v>
      </c>
      <c r="L3" t="s">
        <v>12</v>
      </c>
      <c r="M3" t="s">
        <v>13</v>
      </c>
    </row>
    <row r="4" spans="1:13" x14ac:dyDescent="0.3">
      <c r="A4" s="1" t="s">
        <v>2</v>
      </c>
      <c r="B4" t="s">
        <v>12</v>
      </c>
      <c r="C4" t="s">
        <v>21</v>
      </c>
      <c r="D4">
        <v>0</v>
      </c>
      <c r="E4" t="s">
        <v>16</v>
      </c>
      <c r="F4" t="s">
        <v>17</v>
      </c>
      <c r="G4" t="s">
        <v>12</v>
      </c>
      <c r="H4" t="s">
        <v>19</v>
      </c>
      <c r="I4" t="s">
        <v>15</v>
      </c>
      <c r="J4" t="s">
        <v>18</v>
      </c>
      <c r="K4" t="s">
        <v>18</v>
      </c>
      <c r="L4" t="s">
        <v>12</v>
      </c>
      <c r="M4" t="s">
        <v>13</v>
      </c>
    </row>
    <row r="5" spans="1:13" x14ac:dyDescent="0.3">
      <c r="A5" s="1" t="s">
        <v>3</v>
      </c>
      <c r="B5" t="s">
        <v>24</v>
      </c>
      <c r="C5" t="s">
        <v>24</v>
      </c>
      <c r="D5" t="s">
        <v>62</v>
      </c>
      <c r="E5">
        <v>0</v>
      </c>
      <c r="F5" t="s">
        <v>20</v>
      </c>
      <c r="G5" t="s">
        <v>22</v>
      </c>
      <c r="H5" t="s">
        <v>13</v>
      </c>
      <c r="I5" t="s">
        <v>22</v>
      </c>
      <c r="J5" t="s">
        <v>13</v>
      </c>
      <c r="K5" t="s">
        <v>16</v>
      </c>
      <c r="L5" t="s">
        <v>13</v>
      </c>
      <c r="M5" t="s">
        <v>13</v>
      </c>
    </row>
    <row r="6" spans="1:13" x14ac:dyDescent="0.3">
      <c r="A6" s="1" t="s">
        <v>4</v>
      </c>
      <c r="B6" t="s">
        <v>15</v>
      </c>
      <c r="C6" t="s">
        <v>16</v>
      </c>
      <c r="D6" t="s">
        <v>15</v>
      </c>
      <c r="E6" t="s">
        <v>20</v>
      </c>
      <c r="F6">
        <v>0</v>
      </c>
      <c r="G6" t="s">
        <v>25</v>
      </c>
      <c r="H6" t="s">
        <v>22</v>
      </c>
      <c r="I6" t="s">
        <v>22</v>
      </c>
      <c r="J6" t="s">
        <v>25</v>
      </c>
      <c r="K6" t="s">
        <v>25</v>
      </c>
      <c r="L6" t="s">
        <v>20</v>
      </c>
      <c r="M6" t="s">
        <v>62</v>
      </c>
    </row>
    <row r="7" spans="1:13" x14ac:dyDescent="0.3">
      <c r="A7" s="1" t="s">
        <v>5</v>
      </c>
      <c r="B7" t="s">
        <v>71</v>
      </c>
      <c r="C7" t="s">
        <v>24</v>
      </c>
      <c r="D7" t="s">
        <v>22</v>
      </c>
      <c r="E7" t="s">
        <v>16</v>
      </c>
      <c r="F7" t="s">
        <v>16</v>
      </c>
      <c r="G7">
        <v>0</v>
      </c>
      <c r="H7" t="s">
        <v>15</v>
      </c>
      <c r="I7" t="s">
        <v>16</v>
      </c>
      <c r="J7" t="s">
        <v>18</v>
      </c>
      <c r="K7" t="s">
        <v>16</v>
      </c>
      <c r="L7" t="s">
        <v>16</v>
      </c>
      <c r="M7" t="s">
        <v>22</v>
      </c>
    </row>
    <row r="8" spans="1:13" x14ac:dyDescent="0.3">
      <c r="A8" s="1" t="s">
        <v>6</v>
      </c>
      <c r="B8" t="s">
        <v>22</v>
      </c>
      <c r="C8" t="s">
        <v>24</v>
      </c>
      <c r="D8" t="s">
        <v>20</v>
      </c>
      <c r="E8" t="s">
        <v>24</v>
      </c>
      <c r="F8" t="s">
        <v>22</v>
      </c>
      <c r="G8" t="s">
        <v>15</v>
      </c>
      <c r="H8">
        <v>0</v>
      </c>
      <c r="I8" t="s">
        <v>23</v>
      </c>
      <c r="J8" t="s">
        <v>15</v>
      </c>
      <c r="K8" t="s">
        <v>24</v>
      </c>
      <c r="L8" t="s">
        <v>15</v>
      </c>
      <c r="M8" t="s">
        <v>16</v>
      </c>
    </row>
    <row r="9" spans="1:13" x14ac:dyDescent="0.3">
      <c r="A9" s="1" t="s">
        <v>7</v>
      </c>
      <c r="B9" t="s">
        <v>22</v>
      </c>
      <c r="C9" t="s">
        <v>15</v>
      </c>
      <c r="D9" t="s">
        <v>16</v>
      </c>
      <c r="E9" t="s">
        <v>20</v>
      </c>
      <c r="F9" t="s">
        <v>16</v>
      </c>
      <c r="G9" t="s">
        <v>15</v>
      </c>
      <c r="H9" t="s">
        <v>16</v>
      </c>
      <c r="I9">
        <v>0</v>
      </c>
      <c r="J9" t="s">
        <v>18</v>
      </c>
      <c r="K9" t="s">
        <v>13</v>
      </c>
      <c r="L9" t="s">
        <v>18</v>
      </c>
      <c r="M9" t="s">
        <v>13</v>
      </c>
    </row>
    <row r="10" spans="1:13" x14ac:dyDescent="0.3">
      <c r="A10" s="1" t="s">
        <v>8</v>
      </c>
      <c r="B10" t="s">
        <v>21</v>
      </c>
      <c r="C10" t="s">
        <v>16</v>
      </c>
      <c r="D10" t="s">
        <v>16</v>
      </c>
      <c r="E10" t="s">
        <v>16</v>
      </c>
      <c r="F10" t="s">
        <v>20</v>
      </c>
      <c r="G10" t="s">
        <v>15</v>
      </c>
      <c r="H10" t="s">
        <v>12</v>
      </c>
      <c r="I10" t="s">
        <v>16</v>
      </c>
      <c r="J10">
        <v>0</v>
      </c>
      <c r="K10" t="s">
        <v>18</v>
      </c>
      <c r="L10" t="s">
        <v>18</v>
      </c>
      <c r="M10" t="s">
        <v>18</v>
      </c>
    </row>
    <row r="11" spans="1:13" x14ac:dyDescent="0.3">
      <c r="A11" s="1" t="s">
        <v>9</v>
      </c>
      <c r="B11" t="s">
        <v>16</v>
      </c>
      <c r="C11" t="s">
        <v>23</v>
      </c>
      <c r="D11" t="s">
        <v>62</v>
      </c>
      <c r="E11" t="s">
        <v>20</v>
      </c>
      <c r="F11" t="s">
        <v>16</v>
      </c>
      <c r="G11" t="s">
        <v>15</v>
      </c>
      <c r="H11" t="s">
        <v>71</v>
      </c>
      <c r="I11" t="s">
        <v>21</v>
      </c>
      <c r="J11" t="s">
        <v>15</v>
      </c>
      <c r="K11">
        <v>0</v>
      </c>
      <c r="L11" t="s">
        <v>16</v>
      </c>
      <c r="M11" t="s">
        <v>15</v>
      </c>
    </row>
    <row r="12" spans="1:13" x14ac:dyDescent="0.3">
      <c r="A12" s="1" t="s">
        <v>10</v>
      </c>
      <c r="B12" t="s">
        <v>62</v>
      </c>
      <c r="C12" t="s">
        <v>20</v>
      </c>
      <c r="D12" t="s">
        <v>15</v>
      </c>
      <c r="E12" t="s">
        <v>16</v>
      </c>
      <c r="F12" t="s">
        <v>16</v>
      </c>
      <c r="G12" t="s">
        <v>15</v>
      </c>
      <c r="H12" t="s">
        <v>16</v>
      </c>
      <c r="I12" t="s">
        <v>16</v>
      </c>
      <c r="J12" t="s">
        <v>15</v>
      </c>
      <c r="K12" t="s">
        <v>16</v>
      </c>
      <c r="L12">
        <v>0</v>
      </c>
      <c r="M12" t="s">
        <v>18</v>
      </c>
    </row>
    <row r="13" spans="1:13" x14ac:dyDescent="0.3">
      <c r="A13" s="1" t="s">
        <v>11</v>
      </c>
      <c r="B13" t="s">
        <v>15</v>
      </c>
      <c r="C13" t="s">
        <v>24</v>
      </c>
      <c r="D13" t="s">
        <v>22</v>
      </c>
      <c r="E13" t="s">
        <v>15</v>
      </c>
      <c r="F13" t="s">
        <v>15</v>
      </c>
      <c r="G13" t="s">
        <v>22</v>
      </c>
      <c r="H13" t="s">
        <v>22</v>
      </c>
      <c r="I13" t="s">
        <v>22</v>
      </c>
      <c r="J13" t="s">
        <v>15</v>
      </c>
      <c r="K13" t="s">
        <v>15</v>
      </c>
      <c r="L13" t="s">
        <v>15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(0,1897; 0,2846; 0,3795)</v>
      </c>
      <c r="D16" t="str">
        <f>VLOOKUP(D2,'Thang đánh giá'!$C$2:$D$27,2,FALSE)</f>
        <v>(0,1673; 0,251; 0,3347)</v>
      </c>
      <c r="E16" t="str">
        <f>VLOOKUP(E2,'Thang đánh giá'!$C$2:$D$27,2,FALSE)</f>
        <v>(0,0707; 0,1414; 0,2121)</v>
      </c>
      <c r="F16" t="str">
        <f>VLOOKUP(F2,'Thang đánh giá'!$C$2:$D$27,2,FALSE)</f>
        <v>(0; 0; 0,0837)</v>
      </c>
      <c r="G16" t="str">
        <f>VLOOKUP(G2,'Thang đánh giá'!$C$2:$D$27,2,FALSE)</f>
        <v>(0; 0; 0,0837)</v>
      </c>
      <c r="H16" t="str">
        <f>VLOOKUP(H2,'Thang đánh giá'!$C$2:$D$27,2,FALSE)</f>
        <v>(0; 0; 0,0707)</v>
      </c>
      <c r="I16" t="str">
        <f>VLOOKUP(I2,'Thang đánh giá'!$C$2:$D$27,2,FALSE)</f>
        <v>(0; 0; 0,0548)</v>
      </c>
      <c r="J16" t="str">
        <f>VLOOKUP(J2,'Thang đánh giá'!$C$2:$D$27,2,FALSE)</f>
        <v>(0,1673; 0,251; 0,3347)</v>
      </c>
      <c r="K16" t="str">
        <f>VLOOKUP(K2,'Thang đánh giá'!$C$2:$D$27,2,FALSE)</f>
        <v>(0,0707; 0,1414; 0,2121)</v>
      </c>
      <c r="L16" t="str">
        <f>VLOOKUP(L2,'Thang đánh giá'!$C$2:$D$27,2,FALSE)</f>
        <v>(0; 0,0548; 0,1095)</v>
      </c>
      <c r="M16" t="str">
        <f>VLOOKUP(M2,'Thang đánh giá'!$C$2:$D$27,2,FALSE)</f>
        <v>(0; 0,0707; 0,1414)</v>
      </c>
    </row>
    <row r="17" spans="1:13" x14ac:dyDescent="0.3">
      <c r="A17" t="s">
        <v>1</v>
      </c>
      <c r="B17" t="str">
        <f>VLOOKUP(B3,'Thang đánh giá'!$C$2:$D$27,2,FALSE)</f>
        <v>(0,0707; 0,1414; 0,2121)</v>
      </c>
      <c r="C17" t="str">
        <f>VLOOKUP(C3,'Thang đánh giá'!$C$2:$D$27,2,FALSE)</f>
        <v>(0; 0; 0)</v>
      </c>
      <c r="D17" t="str">
        <f>VLOOKUP(D3,'Thang đánh giá'!$C$2:$D$27,2,FALSE)</f>
        <v>(0,251; 0,3347; 0,3347)</v>
      </c>
      <c r="E17" t="str">
        <f>VLOOKUP(E3,'Thang đánh giá'!$C$2:$D$27,2,FALSE)</f>
        <v>(0,251; 0,3347; 0,3347)</v>
      </c>
      <c r="F17" t="str">
        <f>VLOOKUP(F3,'Thang đánh giá'!$C$2:$D$27,2,FALSE)</f>
        <v>(0; 0,0316; 0,0632)</v>
      </c>
      <c r="G17" t="str">
        <f>VLOOKUP(G3,'Thang đánh giá'!$C$2:$D$27,2,FALSE)</f>
        <v>(0,251; 0,3347; 0,3347)</v>
      </c>
      <c r="H17" t="str">
        <f>VLOOKUP(H3,'Thang đánh giá'!$C$2:$D$27,2,FALSE)</f>
        <v>(0,0707; 0,1414; 0,2121)</v>
      </c>
      <c r="I17" t="str">
        <f>VLOOKUP(I3,'Thang đánh giá'!$C$2:$D$27,2,FALSE)</f>
        <v>(0; 0,0707; 0,1414)</v>
      </c>
      <c r="J17" t="str">
        <f>VLOOKUP(J3,'Thang đánh giá'!$C$2:$D$27,2,FALSE)</f>
        <v>(0,1897; 0,2846; 0,3795)</v>
      </c>
      <c r="K17" t="str">
        <f>VLOOKUP(K3,'Thang đánh giá'!$C$2:$D$27,2,FALSE)</f>
        <v>(0,2846; 0,3795; 0,3795)</v>
      </c>
      <c r="L17" t="str">
        <f>VLOOKUP(L3,'Thang đánh giá'!$C$2:$D$27,2,FALSE)</f>
        <v>(0,1673; 0,251; 0,3347)</v>
      </c>
      <c r="M17" t="str">
        <f>VLOOKUP(M3,'Thang đánh giá'!$C$2:$D$27,2,FALSE)</f>
        <v>(0,1897; 0,2846; 0,3795)</v>
      </c>
    </row>
    <row r="18" spans="1:13" x14ac:dyDescent="0.3">
      <c r="A18" t="s">
        <v>2</v>
      </c>
      <c r="B18" t="str">
        <f>VLOOKUP(B4,'Thang đánh giá'!$C$2:$D$27,2,FALSE)</f>
        <v>(0,1673; 0,251; 0,3347)</v>
      </c>
      <c r="C18" t="str">
        <f>VLOOKUP(C4,'Thang đánh giá'!$C$2:$D$27,2,FALSE)</f>
        <v>(0,0837; 0,1673; 0,251)</v>
      </c>
      <c r="D18" t="str">
        <f>VLOOKUP(D4,'Thang đánh giá'!$C$2:$D$27,2,FALSE)</f>
        <v>(0; 0; 0)</v>
      </c>
      <c r="E18" t="str">
        <f>VLOOKUP(E4,'Thang đánh giá'!$C$2:$D$27,2,FALSE)</f>
        <v>(0; 0; 0,0707)</v>
      </c>
      <c r="F18" t="str">
        <f>VLOOKUP(F4,'Thang đánh giá'!$C$2:$D$27,2,FALSE)</f>
        <v>(0; 0,0316; 0,0632)</v>
      </c>
      <c r="G18" t="str">
        <f>VLOOKUP(G4,'Thang đánh giá'!$C$2:$D$27,2,FALSE)</f>
        <v>(0,1673; 0,251; 0,3347)</v>
      </c>
      <c r="H18" t="str">
        <f>VLOOKUP(H4,'Thang đánh giá'!$C$2:$D$27,2,FALSE)</f>
        <v>(0,1414; 0,2121; 0,2828)</v>
      </c>
      <c r="I18" t="str">
        <f>VLOOKUP(I4,'Thang đánh giá'!$C$2:$D$27,2,FALSE)</f>
        <v>(0; 0,0707; 0,1414)</v>
      </c>
      <c r="J18" t="str">
        <f>VLOOKUP(J4,'Thang đánh giá'!$C$2:$D$27,2,FALSE)</f>
        <v>(0,2846; 0,3795; 0,3795)</v>
      </c>
      <c r="K18" t="str">
        <f>VLOOKUP(K4,'Thang đánh giá'!$C$2:$D$27,2,FALSE)</f>
        <v>(0,2846; 0,3795; 0,3795)</v>
      </c>
      <c r="L18" t="str">
        <f>VLOOKUP(L4,'Thang đánh giá'!$C$2:$D$27,2,FALSE)</f>
        <v>(0,1673; 0,251; 0,3347)</v>
      </c>
      <c r="M18" t="str">
        <f>VLOOKUP(M4,'Thang đánh giá'!$C$2:$D$27,2,FALSE)</f>
        <v>(0,1897; 0,2846; 0,3795)</v>
      </c>
    </row>
    <row r="19" spans="1:13" x14ac:dyDescent="0.3">
      <c r="A19" t="s">
        <v>3</v>
      </c>
      <c r="B19" t="str">
        <f>VLOOKUP(B5,'Thang đánh giá'!$C$2:$D$27,2,FALSE)</f>
        <v>(0; 0; 0,0548)</v>
      </c>
      <c r="C19" t="str">
        <f>VLOOKUP(C5,'Thang đánh giá'!$C$2:$D$27,2,FALSE)</f>
        <v>(0; 0; 0,0548)</v>
      </c>
      <c r="D19" t="str">
        <f>VLOOKUP(D5,'Thang đánh giá'!$C$2:$D$27,2,FALSE)</f>
        <v>(0; 0,0837; 0,1673)</v>
      </c>
      <c r="E19" t="str">
        <f>VLOOKUP(E5,'Thang đánh giá'!$C$2:$D$27,2,FALSE)</f>
        <v>(0; 0; 0)</v>
      </c>
      <c r="F19" t="str">
        <f>VLOOKUP(F5,'Thang đánh giá'!$C$2:$D$27,2,FALSE)</f>
        <v>(0; 0,0548; 0,1095)</v>
      </c>
      <c r="G19" t="str">
        <f>VLOOKUP(G5,'Thang đánh giá'!$C$2:$D$27,2,FALSE)</f>
        <v>(0,0707; 0,1414; 0,2121)</v>
      </c>
      <c r="H19" t="str">
        <f>VLOOKUP(H5,'Thang đánh giá'!$C$2:$D$27,2,FALSE)</f>
        <v>(0,1897; 0,2846; 0,3795)</v>
      </c>
      <c r="I19" t="str">
        <f>VLOOKUP(I5,'Thang đánh giá'!$C$2:$D$27,2,FALSE)</f>
        <v>(0,0707; 0,1414; 0,2121)</v>
      </c>
      <c r="J19" t="str">
        <f>VLOOKUP(J5,'Thang đánh giá'!$C$2:$D$27,2,FALSE)</f>
        <v>(0,1897; 0,2846; 0,3795)</v>
      </c>
      <c r="K19" t="str">
        <f>VLOOKUP(K5,'Thang đánh giá'!$C$2:$D$27,2,FALSE)</f>
        <v>(0; 0; 0,0707)</v>
      </c>
      <c r="L19" t="str">
        <f>VLOOKUP(L5,'Thang đánh giá'!$C$2:$D$27,2,FALSE)</f>
        <v>(0,1897; 0,2846; 0,3795)</v>
      </c>
      <c r="M19" t="str">
        <f>VLOOKUP(M5,'Thang đánh giá'!$C$2:$D$27,2,FALSE)</f>
        <v>(0,1897; 0,2846; 0,3795)</v>
      </c>
    </row>
    <row r="20" spans="1:13" x14ac:dyDescent="0.3">
      <c r="A20" t="s">
        <v>4</v>
      </c>
      <c r="B20" t="str">
        <f>VLOOKUP(B6,'Thang đánh giá'!$C$2:$D$27,2,FALSE)</f>
        <v>(0; 0,0707; 0,1414)</v>
      </c>
      <c r="C20" t="str">
        <f>VLOOKUP(C6,'Thang đánh giá'!$C$2:$D$27,2,FALSE)</f>
        <v>(0; 0; 0,0707)</v>
      </c>
      <c r="D20" t="str">
        <f>VLOOKUP(D6,'Thang đánh giá'!$C$2:$D$27,2,FALSE)</f>
        <v>(0; 0,0707; 0,1414)</v>
      </c>
      <c r="E20" t="str">
        <f>VLOOKUP(E6,'Thang đánh giá'!$C$2:$D$27,2,FALSE)</f>
        <v>(0; 0,0548; 0,1095)</v>
      </c>
      <c r="F20" t="str">
        <f>VLOOKUP(F6,'Thang đánh giá'!$C$2:$D$27,2,FALSE)</f>
        <v>(0; 0; 0)</v>
      </c>
      <c r="G20" t="str">
        <f>VLOOKUP(G6,'Thang đánh giá'!$C$2:$D$27,2,FALSE)</f>
        <v>(0,251; 0,3347; 0,3347)</v>
      </c>
      <c r="H20" t="str">
        <f>VLOOKUP(H6,'Thang đánh giá'!$C$2:$D$27,2,FALSE)</f>
        <v>(0,0707; 0,1414; 0,2121)</v>
      </c>
      <c r="I20" t="str">
        <f>VLOOKUP(I6,'Thang đánh giá'!$C$2:$D$27,2,FALSE)</f>
        <v>(0,0707; 0,1414; 0,2121)</v>
      </c>
      <c r="J20" t="str">
        <f>VLOOKUP(J6,'Thang đánh giá'!$C$2:$D$27,2,FALSE)</f>
        <v>(0,251; 0,3347; 0,3347)</v>
      </c>
      <c r="K20" t="str">
        <f>VLOOKUP(K6,'Thang đánh giá'!$C$2:$D$27,2,FALSE)</f>
        <v>(0,251; 0,3347; 0,3347)</v>
      </c>
      <c r="L20" t="str">
        <f>VLOOKUP(L6,'Thang đánh giá'!$C$2:$D$27,2,FALSE)</f>
        <v>(0; 0,0548; 0,1095)</v>
      </c>
      <c r="M20" t="str">
        <f>VLOOKUP(M6,'Thang đánh giá'!$C$2:$D$27,2,FALSE)</f>
        <v>(0; 0,0837; 0,1673)</v>
      </c>
    </row>
    <row r="21" spans="1:13" x14ac:dyDescent="0.3">
      <c r="A21" t="s">
        <v>5</v>
      </c>
      <c r="B21" t="str">
        <f>VLOOKUP(B7,'Thang đánh giá'!$C$2:$D$27,2,FALSE)</f>
        <v>(0; 0; 0,0837)</v>
      </c>
      <c r="C21" t="str">
        <f>VLOOKUP(C7,'Thang đánh giá'!$C$2:$D$27,2,FALSE)</f>
        <v>(0; 0; 0,0548)</v>
      </c>
      <c r="D21" t="str">
        <f>VLOOKUP(D7,'Thang đánh giá'!$C$2:$D$27,2,FALSE)</f>
        <v>(0,0707; 0,1414; 0,2121)</v>
      </c>
      <c r="E21" t="str">
        <f>VLOOKUP(E7,'Thang đánh giá'!$C$2:$D$27,2,FALSE)</f>
        <v>(0; 0; 0,0707)</v>
      </c>
      <c r="F21" t="str">
        <f>VLOOKUP(F7,'Thang đánh giá'!$C$2:$D$27,2,FALSE)</f>
        <v>(0; 0; 0,0707)</v>
      </c>
      <c r="G21" t="str">
        <f>VLOOKUP(G7,'Thang đánh giá'!$C$2:$D$27,2,FALSE)</f>
        <v>(0; 0; 0)</v>
      </c>
      <c r="H21" t="str">
        <f>VLOOKUP(H7,'Thang đánh giá'!$C$2:$D$27,2,FALSE)</f>
        <v>(0; 0,0707; 0,1414)</v>
      </c>
      <c r="I21" t="str">
        <f>VLOOKUP(I7,'Thang đánh giá'!$C$2:$D$27,2,FALSE)</f>
        <v>(0; 0; 0,0707)</v>
      </c>
      <c r="J21" t="str">
        <f>VLOOKUP(J7,'Thang đánh giá'!$C$2:$D$27,2,FALSE)</f>
        <v>(0,2846; 0,3795; 0,3795)</v>
      </c>
      <c r="K21" t="str">
        <f>VLOOKUP(K7,'Thang đánh giá'!$C$2:$D$27,2,FALSE)</f>
        <v>(0; 0; 0,0707)</v>
      </c>
      <c r="L21" t="str">
        <f>VLOOKUP(L7,'Thang đánh giá'!$C$2:$D$27,2,FALSE)</f>
        <v>(0; 0; 0,0707)</v>
      </c>
      <c r="M21" t="str">
        <f>VLOOKUP(M7,'Thang đánh giá'!$C$2:$D$27,2,FALSE)</f>
        <v>(0,0707; 0,1414; 0,2121)</v>
      </c>
    </row>
    <row r="22" spans="1:13" x14ac:dyDescent="0.3">
      <c r="A22" t="s">
        <v>6</v>
      </c>
      <c r="B22" t="str">
        <f>VLOOKUP(B8,'Thang đánh giá'!$C$2:$D$27,2,FALSE)</f>
        <v>(0,0707; 0,1414; 0,2121)</v>
      </c>
      <c r="C22" t="str">
        <f>VLOOKUP(C8,'Thang đánh giá'!$C$2:$D$27,2,FALSE)</f>
        <v>(0; 0; 0,0548)</v>
      </c>
      <c r="D22" t="str">
        <f>VLOOKUP(D8,'Thang đánh giá'!$C$2:$D$27,2,FALSE)</f>
        <v>(0; 0,0548; 0,1095)</v>
      </c>
      <c r="E22" t="str">
        <f>VLOOKUP(E8,'Thang đánh giá'!$C$2:$D$27,2,FALSE)</f>
        <v>(0; 0; 0,0548)</v>
      </c>
      <c r="F22" t="str">
        <f>VLOOKUP(F8,'Thang đánh giá'!$C$2:$D$27,2,FALSE)</f>
        <v>(0,0707; 0,1414; 0,2121)</v>
      </c>
      <c r="G22" t="str">
        <f>VLOOKUP(G8,'Thang đánh giá'!$C$2:$D$27,2,FALSE)</f>
        <v>(0; 0,0707; 0,1414)</v>
      </c>
      <c r="H22" t="str">
        <f>VLOOKUP(H8,'Thang đánh giá'!$C$2:$D$27,2,FALSE)</f>
        <v>(0; 0; 0)</v>
      </c>
      <c r="I22" t="str">
        <f>VLOOKUP(I8,'Thang đánh giá'!$C$2:$D$27,2,FALSE)</f>
        <v>(0; 0; 0,0316)</v>
      </c>
      <c r="J22" t="str">
        <f>VLOOKUP(J8,'Thang đánh giá'!$C$2:$D$27,2,FALSE)</f>
        <v>(0; 0,0707; 0,1414)</v>
      </c>
      <c r="K22" t="str">
        <f>VLOOKUP(K8,'Thang đánh giá'!$C$2:$D$27,2,FALSE)</f>
        <v>(0; 0; 0,0548)</v>
      </c>
      <c r="L22" t="str">
        <f>VLOOKUP(L8,'Thang đánh giá'!$C$2:$D$27,2,FALSE)</f>
        <v>(0; 0,0707; 0,1414)</v>
      </c>
      <c r="M22" t="str">
        <f>VLOOKUP(M8,'Thang đánh giá'!$C$2:$D$27,2,FALSE)</f>
        <v>(0; 0; 0,0707)</v>
      </c>
    </row>
    <row r="23" spans="1:13" x14ac:dyDescent="0.3">
      <c r="A23" t="s">
        <v>7</v>
      </c>
      <c r="B23" t="str">
        <f>VLOOKUP(B9,'Thang đánh giá'!$C$2:$D$27,2,FALSE)</f>
        <v>(0,0707; 0,1414; 0,2121)</v>
      </c>
      <c r="C23" t="str">
        <f>VLOOKUP(C9,'Thang đánh giá'!$C$2:$D$27,2,FALSE)</f>
        <v>(0; 0,0707; 0,1414)</v>
      </c>
      <c r="D23" t="str">
        <f>VLOOKUP(D9,'Thang đánh giá'!$C$2:$D$27,2,FALSE)</f>
        <v>(0; 0; 0,0707)</v>
      </c>
      <c r="E23" t="str">
        <f>VLOOKUP(E9,'Thang đánh giá'!$C$2:$D$27,2,FALSE)</f>
        <v>(0; 0,0548; 0,1095)</v>
      </c>
      <c r="F23" t="str">
        <f>VLOOKUP(F9,'Thang đánh giá'!$C$2:$D$27,2,FALSE)</f>
        <v>(0; 0; 0,0707)</v>
      </c>
      <c r="G23" t="str">
        <f>VLOOKUP(G9,'Thang đánh giá'!$C$2:$D$27,2,FALSE)</f>
        <v>(0; 0,0707; 0,1414)</v>
      </c>
      <c r="H23" t="str">
        <f>VLOOKUP(H9,'Thang đánh giá'!$C$2:$D$27,2,FALSE)</f>
        <v>(0; 0; 0,0707)</v>
      </c>
      <c r="I23" t="str">
        <f>VLOOKUP(I9,'Thang đánh giá'!$C$2:$D$27,2,FALSE)</f>
        <v>(0; 0; 0)</v>
      </c>
      <c r="J23" t="str">
        <f>VLOOKUP(J9,'Thang đánh giá'!$C$2:$D$27,2,FALSE)</f>
        <v>(0,2846; 0,3795; 0,3795)</v>
      </c>
      <c r="K23" t="str">
        <f>VLOOKUP(K9,'Thang đánh giá'!$C$2:$D$27,2,FALSE)</f>
        <v>(0,1897; 0,2846; 0,3795)</v>
      </c>
      <c r="L23" t="str">
        <f>VLOOKUP(L9,'Thang đánh giá'!$C$2:$D$27,2,FALSE)</f>
        <v>(0,2846; 0,3795; 0,3795)</v>
      </c>
      <c r="M23" t="str">
        <f>VLOOKUP(M9,'Thang đánh giá'!$C$2:$D$27,2,FALSE)</f>
        <v>(0,1897; 0,2846; 0,3795)</v>
      </c>
    </row>
    <row r="24" spans="1:13" x14ac:dyDescent="0.3">
      <c r="A24" t="s">
        <v>8</v>
      </c>
      <c r="B24" t="str">
        <f>VLOOKUP(B10,'Thang đánh giá'!$C$2:$D$27,2,FALSE)</f>
        <v>(0,0837; 0,1673; 0,251)</v>
      </c>
      <c r="C24" t="str">
        <f>VLOOKUP(C10,'Thang đánh giá'!$C$2:$D$27,2,FALSE)</f>
        <v>(0; 0; 0,0707)</v>
      </c>
      <c r="D24" t="str">
        <f>VLOOKUP(D10,'Thang đánh giá'!$C$2:$D$27,2,FALSE)</f>
        <v>(0; 0; 0,0707)</v>
      </c>
      <c r="E24" t="str">
        <f>VLOOKUP(E10,'Thang đánh giá'!$C$2:$D$27,2,FALSE)</f>
        <v>(0; 0; 0,0707)</v>
      </c>
      <c r="F24" t="str">
        <f>VLOOKUP(F10,'Thang đánh giá'!$C$2:$D$27,2,FALSE)</f>
        <v>(0; 0,0548; 0,1095)</v>
      </c>
      <c r="G24" t="str">
        <f>VLOOKUP(G10,'Thang đánh giá'!$C$2:$D$27,2,FALSE)</f>
        <v>(0; 0,0707; 0,1414)</v>
      </c>
      <c r="H24" t="str">
        <f>VLOOKUP(H10,'Thang đánh giá'!$C$2:$D$27,2,FALSE)</f>
        <v>(0,1673; 0,251; 0,3347)</v>
      </c>
      <c r="I24" t="str">
        <f>VLOOKUP(I10,'Thang đánh giá'!$C$2:$D$27,2,FALSE)</f>
        <v>(0; 0; 0,0707)</v>
      </c>
      <c r="J24" t="str">
        <f>VLOOKUP(J10,'Thang đánh giá'!$C$2:$D$27,2,FALSE)</f>
        <v>(0; 0; 0)</v>
      </c>
      <c r="K24" t="str">
        <f>VLOOKUP(K10,'Thang đánh giá'!$C$2:$D$27,2,FALSE)</f>
        <v>(0,2846; 0,3795; 0,3795)</v>
      </c>
      <c r="L24" t="str">
        <f>VLOOKUP(L10,'Thang đánh giá'!$C$2:$D$27,2,FALSE)</f>
        <v>(0,2846; 0,3795; 0,3795)</v>
      </c>
      <c r="M24" t="str">
        <f>VLOOKUP(M10,'Thang đánh giá'!$C$2:$D$27,2,FALSE)</f>
        <v>(0,2846; 0,3795; 0,3795)</v>
      </c>
    </row>
    <row r="25" spans="1:13" x14ac:dyDescent="0.3">
      <c r="A25" t="s">
        <v>9</v>
      </c>
      <c r="B25" t="str">
        <f>VLOOKUP(B11,'Thang đánh giá'!$C$2:$D$27,2,FALSE)</f>
        <v>(0; 0; 0,0707)</v>
      </c>
      <c r="C25" t="str">
        <f>VLOOKUP(C11,'Thang đánh giá'!$C$2:$D$27,2,FALSE)</f>
        <v>(0; 0; 0,0316)</v>
      </c>
      <c r="D25" t="str">
        <f>VLOOKUP(D11,'Thang đánh giá'!$C$2:$D$27,2,FALSE)</f>
        <v>(0; 0,0837; 0,1673)</v>
      </c>
      <c r="E25" t="str">
        <f>VLOOKUP(E11,'Thang đánh giá'!$C$2:$D$27,2,FALSE)</f>
        <v>(0; 0,0548; 0,1095)</v>
      </c>
      <c r="F25" t="str">
        <f>VLOOKUP(F11,'Thang đánh giá'!$C$2:$D$27,2,FALSE)</f>
        <v>(0; 0; 0,0707)</v>
      </c>
      <c r="G25" t="str">
        <f>VLOOKUP(G11,'Thang đánh giá'!$C$2:$D$27,2,FALSE)</f>
        <v>(0; 0,0707; 0,1414)</v>
      </c>
      <c r="H25" t="str">
        <f>VLOOKUP(H11,'Thang đánh giá'!$C$2:$D$27,2,FALSE)</f>
        <v>(0; 0; 0,0837)</v>
      </c>
      <c r="I25" t="str">
        <f>VLOOKUP(I11,'Thang đánh giá'!$C$2:$D$27,2,FALSE)</f>
        <v>(0,0837; 0,1673; 0,251)</v>
      </c>
      <c r="J25" t="str">
        <f>VLOOKUP(J11,'Thang đánh giá'!$C$2:$D$27,2,FALSE)</f>
        <v>(0; 0,0707; 0,1414)</v>
      </c>
      <c r="K25" t="str">
        <f>VLOOKUP(K11,'Thang đánh giá'!$C$2:$D$27,2,FALSE)</f>
        <v>(0; 0; 0)</v>
      </c>
      <c r="L25" t="str">
        <f>VLOOKUP(L11,'Thang đánh giá'!$C$2:$D$27,2,FALSE)</f>
        <v>(0; 0; 0,0707)</v>
      </c>
      <c r="M25" t="str">
        <f>VLOOKUP(M11,'Thang đánh giá'!$C$2:$D$27,2,FALSE)</f>
        <v>(0; 0,0707; 0,1414)</v>
      </c>
    </row>
    <row r="26" spans="1:13" x14ac:dyDescent="0.3">
      <c r="A26" t="s">
        <v>10</v>
      </c>
      <c r="B26" t="str">
        <f>VLOOKUP(B12,'Thang đánh giá'!$C$2:$D$27,2,FALSE)</f>
        <v>(0; 0,0837; 0,1673)</v>
      </c>
      <c r="C26" t="str">
        <f>VLOOKUP(C12,'Thang đánh giá'!$C$2:$D$27,2,FALSE)</f>
        <v>(0; 0,0548; 0,1095)</v>
      </c>
      <c r="D26" t="str">
        <f>VLOOKUP(D12,'Thang đánh giá'!$C$2:$D$27,2,FALSE)</f>
        <v>(0; 0,0707; 0,1414)</v>
      </c>
      <c r="E26" t="str">
        <f>VLOOKUP(E12,'Thang đánh giá'!$C$2:$D$27,2,FALSE)</f>
        <v>(0; 0; 0,0707)</v>
      </c>
      <c r="F26" t="str">
        <f>VLOOKUP(F12,'Thang đánh giá'!$C$2:$D$27,2,FALSE)</f>
        <v>(0; 0; 0,0707)</v>
      </c>
      <c r="G26" t="str">
        <f>VLOOKUP(G12,'Thang đánh giá'!$C$2:$D$27,2,FALSE)</f>
        <v>(0; 0,0707; 0,1414)</v>
      </c>
      <c r="H26" t="str">
        <f>VLOOKUP(H12,'Thang đánh giá'!$C$2:$D$27,2,FALSE)</f>
        <v>(0; 0; 0,0707)</v>
      </c>
      <c r="I26" t="str">
        <f>VLOOKUP(I12,'Thang đánh giá'!$C$2:$D$27,2,FALSE)</f>
        <v>(0; 0; 0,0707)</v>
      </c>
      <c r="J26" t="str">
        <f>VLOOKUP(J12,'Thang đánh giá'!$C$2:$D$27,2,FALSE)</f>
        <v>(0; 0,0707; 0,1414)</v>
      </c>
      <c r="K26" t="str">
        <f>VLOOKUP(K12,'Thang đánh giá'!$C$2:$D$27,2,FALSE)</f>
        <v>(0; 0; 0,0707)</v>
      </c>
      <c r="L26" t="str">
        <f>VLOOKUP(L12,'Thang đánh giá'!$C$2:$D$27,2,FALSE)</f>
        <v>(0; 0; 0)</v>
      </c>
      <c r="M26" t="str">
        <f>VLOOKUP(M12,'Thang đánh giá'!$C$2:$D$27,2,FALSE)</f>
        <v>(0,2846; 0,3795; 0,3795)</v>
      </c>
    </row>
    <row r="27" spans="1:13" x14ac:dyDescent="0.3">
      <c r="A27" t="s">
        <v>11</v>
      </c>
      <c r="B27" t="str">
        <f>VLOOKUP(B13,'Thang đánh giá'!$C$2:$D$27,2,FALSE)</f>
        <v>(0; 0,0707; 0,1414)</v>
      </c>
      <c r="C27" t="str">
        <f>VLOOKUP(C13,'Thang đánh giá'!$C$2:$D$27,2,FALSE)</f>
        <v>(0; 0; 0,0548)</v>
      </c>
      <c r="D27" t="str">
        <f>VLOOKUP(D13,'Thang đánh giá'!$C$2:$D$27,2,FALSE)</f>
        <v>(0,0707; 0,1414; 0,2121)</v>
      </c>
      <c r="E27" t="str">
        <f>VLOOKUP(E13,'Thang đánh giá'!$C$2:$D$27,2,FALSE)</f>
        <v>(0; 0,0707; 0,1414)</v>
      </c>
      <c r="F27" t="str">
        <f>VLOOKUP(F13,'Thang đánh giá'!$C$2:$D$27,2,FALSE)</f>
        <v>(0; 0,0707; 0,1414)</v>
      </c>
      <c r="G27" t="str">
        <f>VLOOKUP(G13,'Thang đánh giá'!$C$2:$D$27,2,FALSE)</f>
        <v>(0,0707; 0,1414; 0,2121)</v>
      </c>
      <c r="H27" t="str">
        <f>VLOOKUP(H13,'Thang đánh giá'!$C$2:$D$27,2,FALSE)</f>
        <v>(0,0707; 0,1414; 0,2121)</v>
      </c>
      <c r="I27" t="str">
        <f>VLOOKUP(I13,'Thang đánh giá'!$C$2:$D$27,2,FALSE)</f>
        <v>(0,0707; 0,1414; 0,2121)</v>
      </c>
      <c r="J27" t="str">
        <f>VLOOKUP(J13,'Thang đánh giá'!$C$2:$D$27,2,FALSE)</f>
        <v>(0; 0,0707; 0,1414)</v>
      </c>
      <c r="K27" t="str">
        <f>VLOOKUP(K13,'Thang đánh giá'!$C$2:$D$27,2,FALSE)</f>
        <v>(0; 0,0707; 0,1414)</v>
      </c>
      <c r="L27" t="str">
        <f>VLOOKUP(L13,'Thang đánh giá'!$C$2:$D$27,2,FALSE)</f>
        <v>(0; 0,0707; 0,1414)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0.18970000000000001</v>
      </c>
      <c r="D30">
        <f t="shared" si="0"/>
        <v>0.1673</v>
      </c>
      <c r="E30">
        <f t="shared" si="0"/>
        <v>7.0699999999999999E-2</v>
      </c>
      <c r="F30">
        <f t="shared" si="0"/>
        <v>0</v>
      </c>
      <c r="G30">
        <f t="shared" si="0"/>
        <v>0</v>
      </c>
      <c r="H30">
        <f t="shared" si="0"/>
        <v>0</v>
      </c>
      <c r="I30">
        <f t="shared" si="0"/>
        <v>0</v>
      </c>
      <c r="J30">
        <f t="shared" si="0"/>
        <v>0.1673</v>
      </c>
      <c r="K30">
        <f t="shared" si="0"/>
        <v>7.0699999999999999E-2</v>
      </c>
      <c r="L30">
        <f t="shared" si="0"/>
        <v>0</v>
      </c>
      <c r="M30">
        <f t="shared" si="0"/>
        <v>0</v>
      </c>
    </row>
    <row r="31" spans="1:13" x14ac:dyDescent="0.3">
      <c r="A31" t="s">
        <v>1</v>
      </c>
      <c r="B31">
        <f t="shared" ref="B31:M41" si="1">_xlfn.NUMBERVALUE(MID(B17,2,FIND(";",B17,1)-2))</f>
        <v>7.0699999999999999E-2</v>
      </c>
      <c r="C31">
        <f t="shared" si="1"/>
        <v>0</v>
      </c>
      <c r="D31">
        <f t="shared" si="1"/>
        <v>0.251</v>
      </c>
      <c r="E31">
        <f t="shared" si="1"/>
        <v>0.251</v>
      </c>
      <c r="F31">
        <f t="shared" si="1"/>
        <v>0</v>
      </c>
      <c r="G31">
        <f t="shared" si="1"/>
        <v>0.251</v>
      </c>
      <c r="H31">
        <f t="shared" si="1"/>
        <v>7.0699999999999999E-2</v>
      </c>
      <c r="I31">
        <f t="shared" si="1"/>
        <v>0</v>
      </c>
      <c r="J31">
        <f t="shared" si="1"/>
        <v>0.18970000000000001</v>
      </c>
      <c r="K31">
        <f t="shared" si="1"/>
        <v>0.28460000000000002</v>
      </c>
      <c r="L31">
        <f t="shared" si="1"/>
        <v>0.1673</v>
      </c>
      <c r="M31">
        <f t="shared" si="1"/>
        <v>0.18970000000000001</v>
      </c>
    </row>
    <row r="32" spans="1:13" x14ac:dyDescent="0.3">
      <c r="A32" t="s">
        <v>2</v>
      </c>
      <c r="B32">
        <f t="shared" si="1"/>
        <v>0.1673</v>
      </c>
      <c r="C32">
        <f t="shared" si="1"/>
        <v>8.3699999999999997E-2</v>
      </c>
      <c r="D32">
        <f t="shared" si="1"/>
        <v>0</v>
      </c>
      <c r="E32">
        <f t="shared" si="1"/>
        <v>0</v>
      </c>
      <c r="F32">
        <f t="shared" si="1"/>
        <v>0</v>
      </c>
      <c r="G32">
        <f t="shared" si="1"/>
        <v>0.1673</v>
      </c>
      <c r="H32">
        <f t="shared" si="1"/>
        <v>0.1414</v>
      </c>
      <c r="I32">
        <f t="shared" si="1"/>
        <v>0</v>
      </c>
      <c r="J32">
        <f t="shared" si="1"/>
        <v>0.28460000000000002</v>
      </c>
      <c r="K32">
        <f t="shared" si="1"/>
        <v>0.28460000000000002</v>
      </c>
      <c r="L32">
        <f t="shared" si="1"/>
        <v>0.1673</v>
      </c>
      <c r="M32">
        <f t="shared" si="1"/>
        <v>0.18970000000000001</v>
      </c>
    </row>
    <row r="33" spans="1:13" x14ac:dyDescent="0.3">
      <c r="A33" t="s">
        <v>3</v>
      </c>
      <c r="B33">
        <f t="shared" si="1"/>
        <v>0</v>
      </c>
      <c r="C33">
        <f t="shared" si="1"/>
        <v>0</v>
      </c>
      <c r="D33">
        <f t="shared" si="1"/>
        <v>0</v>
      </c>
      <c r="E33">
        <f t="shared" si="1"/>
        <v>0</v>
      </c>
      <c r="F33">
        <f t="shared" si="1"/>
        <v>0</v>
      </c>
      <c r="G33">
        <f t="shared" si="1"/>
        <v>7.0699999999999999E-2</v>
      </c>
      <c r="H33">
        <f t="shared" si="1"/>
        <v>0.18970000000000001</v>
      </c>
      <c r="I33">
        <f t="shared" si="1"/>
        <v>7.0699999999999999E-2</v>
      </c>
      <c r="J33">
        <f t="shared" si="1"/>
        <v>0.18970000000000001</v>
      </c>
      <c r="K33">
        <f t="shared" si="1"/>
        <v>0</v>
      </c>
      <c r="L33">
        <f t="shared" si="1"/>
        <v>0.18970000000000001</v>
      </c>
      <c r="M33">
        <f t="shared" si="1"/>
        <v>0.18970000000000001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0</v>
      </c>
      <c r="D34">
        <f t="shared" si="2"/>
        <v>0</v>
      </c>
      <c r="E34">
        <f t="shared" si="2"/>
        <v>0</v>
      </c>
      <c r="F34">
        <f t="shared" si="2"/>
        <v>0</v>
      </c>
      <c r="G34">
        <f t="shared" si="2"/>
        <v>0.251</v>
      </c>
      <c r="H34">
        <f t="shared" si="2"/>
        <v>7.0699999999999999E-2</v>
      </c>
      <c r="I34">
        <f t="shared" si="2"/>
        <v>7.0699999999999999E-2</v>
      </c>
      <c r="J34">
        <f t="shared" si="2"/>
        <v>0.251</v>
      </c>
      <c r="K34">
        <f t="shared" si="2"/>
        <v>0.251</v>
      </c>
      <c r="L34">
        <f t="shared" si="2"/>
        <v>0</v>
      </c>
      <c r="M34">
        <f t="shared" si="2"/>
        <v>0</v>
      </c>
    </row>
    <row r="35" spans="1:13" x14ac:dyDescent="0.3">
      <c r="A35" t="s">
        <v>5</v>
      </c>
      <c r="B35">
        <f t="shared" si="1"/>
        <v>0</v>
      </c>
      <c r="C35">
        <f t="shared" si="1"/>
        <v>0</v>
      </c>
      <c r="D35">
        <f t="shared" si="1"/>
        <v>7.0699999999999999E-2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0</v>
      </c>
      <c r="J35">
        <f t="shared" si="1"/>
        <v>0.28460000000000002</v>
      </c>
      <c r="K35">
        <f t="shared" si="1"/>
        <v>0</v>
      </c>
      <c r="L35">
        <f t="shared" si="1"/>
        <v>0</v>
      </c>
      <c r="M35">
        <f t="shared" si="1"/>
        <v>7.0699999999999999E-2</v>
      </c>
    </row>
    <row r="36" spans="1:13" x14ac:dyDescent="0.3">
      <c r="A36" t="s">
        <v>6</v>
      </c>
      <c r="B36">
        <f t="shared" si="1"/>
        <v>7.0699999999999999E-2</v>
      </c>
      <c r="C36">
        <f t="shared" si="1"/>
        <v>0</v>
      </c>
      <c r="D36">
        <f t="shared" si="1"/>
        <v>0</v>
      </c>
      <c r="E36">
        <f t="shared" si="1"/>
        <v>0</v>
      </c>
      <c r="F36">
        <f t="shared" si="1"/>
        <v>7.0699999999999999E-2</v>
      </c>
      <c r="G36">
        <f t="shared" si="1"/>
        <v>0</v>
      </c>
      <c r="H36">
        <f t="shared" si="1"/>
        <v>0</v>
      </c>
      <c r="I36">
        <f t="shared" si="1"/>
        <v>0</v>
      </c>
      <c r="J36">
        <f t="shared" si="1"/>
        <v>0</v>
      </c>
      <c r="K36">
        <f t="shared" si="1"/>
        <v>0</v>
      </c>
      <c r="L36">
        <f t="shared" si="1"/>
        <v>0</v>
      </c>
      <c r="M36">
        <f t="shared" si="1"/>
        <v>0</v>
      </c>
    </row>
    <row r="37" spans="1:13" x14ac:dyDescent="0.3">
      <c r="A37" t="s">
        <v>7</v>
      </c>
      <c r="B37">
        <f t="shared" si="1"/>
        <v>7.0699999999999999E-2</v>
      </c>
      <c r="C37">
        <f t="shared" si="1"/>
        <v>0</v>
      </c>
      <c r="D37">
        <f t="shared" si="1"/>
        <v>0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0.28460000000000002</v>
      </c>
      <c r="K37">
        <f t="shared" si="1"/>
        <v>0.18970000000000001</v>
      </c>
      <c r="L37">
        <f t="shared" si="1"/>
        <v>0.28460000000000002</v>
      </c>
      <c r="M37">
        <f t="shared" si="1"/>
        <v>0.18970000000000001</v>
      </c>
    </row>
    <row r="38" spans="1:13" x14ac:dyDescent="0.3">
      <c r="A38" t="s">
        <v>8</v>
      </c>
      <c r="B38">
        <f t="shared" si="1"/>
        <v>8.3699999999999997E-2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0.1673</v>
      </c>
      <c r="I38">
        <f t="shared" si="1"/>
        <v>0</v>
      </c>
      <c r="J38">
        <f t="shared" si="1"/>
        <v>0</v>
      </c>
      <c r="K38">
        <f t="shared" si="1"/>
        <v>0.28460000000000002</v>
      </c>
      <c r="L38">
        <f t="shared" si="1"/>
        <v>0.28460000000000002</v>
      </c>
      <c r="M38">
        <f t="shared" si="1"/>
        <v>0.28460000000000002</v>
      </c>
    </row>
    <row r="39" spans="1:13" x14ac:dyDescent="0.3">
      <c r="A39" t="s">
        <v>9</v>
      </c>
      <c r="B39">
        <f t="shared" si="1"/>
        <v>0</v>
      </c>
      <c r="C39">
        <f t="shared" si="1"/>
        <v>0</v>
      </c>
      <c r="D39">
        <f t="shared" si="1"/>
        <v>0</v>
      </c>
      <c r="E39">
        <f t="shared" si="1"/>
        <v>0</v>
      </c>
      <c r="F39">
        <f t="shared" si="1"/>
        <v>0</v>
      </c>
      <c r="G39">
        <f t="shared" si="1"/>
        <v>0</v>
      </c>
      <c r="H39">
        <f t="shared" si="1"/>
        <v>0</v>
      </c>
      <c r="I39">
        <f t="shared" si="1"/>
        <v>8.3699999999999997E-2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0</v>
      </c>
    </row>
    <row r="40" spans="1:13" x14ac:dyDescent="0.3">
      <c r="A40" t="s">
        <v>10</v>
      </c>
      <c r="B40">
        <f t="shared" si="1"/>
        <v>0</v>
      </c>
      <c r="C40">
        <f t="shared" si="1"/>
        <v>0</v>
      </c>
      <c r="D40">
        <f t="shared" si="1"/>
        <v>0</v>
      </c>
      <c r="E40">
        <f t="shared" si="1"/>
        <v>0</v>
      </c>
      <c r="F40">
        <f t="shared" si="1"/>
        <v>0</v>
      </c>
      <c r="G40">
        <f t="shared" si="1"/>
        <v>0</v>
      </c>
      <c r="H40">
        <f t="shared" si="1"/>
        <v>0</v>
      </c>
      <c r="I40">
        <f t="shared" si="1"/>
        <v>0</v>
      </c>
      <c r="J40">
        <f t="shared" si="1"/>
        <v>0</v>
      </c>
      <c r="K40">
        <f t="shared" si="1"/>
        <v>0</v>
      </c>
      <c r="L40">
        <f t="shared" si="1"/>
        <v>0</v>
      </c>
      <c r="M40">
        <f t="shared" si="1"/>
        <v>0.28460000000000002</v>
      </c>
    </row>
    <row r="41" spans="1:13" x14ac:dyDescent="0.3">
      <c r="A41" t="s">
        <v>11</v>
      </c>
      <c r="B41">
        <f t="shared" si="1"/>
        <v>0</v>
      </c>
      <c r="C41">
        <f t="shared" si="1"/>
        <v>0</v>
      </c>
      <c r="D41">
        <f t="shared" si="1"/>
        <v>7.0699999999999999E-2</v>
      </c>
      <c r="E41">
        <f t="shared" si="1"/>
        <v>0</v>
      </c>
      <c r="F41">
        <f t="shared" si="1"/>
        <v>0</v>
      </c>
      <c r="G41">
        <f t="shared" si="1"/>
        <v>7.0699999999999999E-2</v>
      </c>
      <c r="H41">
        <f t="shared" si="1"/>
        <v>7.0699999999999999E-2</v>
      </c>
      <c r="I41">
        <f t="shared" si="1"/>
        <v>7.0699999999999999E-2</v>
      </c>
      <c r="J41">
        <f t="shared" si="1"/>
        <v>0</v>
      </c>
      <c r="K41">
        <f t="shared" si="1"/>
        <v>0</v>
      </c>
      <c r="L41">
        <f t="shared" si="1"/>
        <v>0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0.28460000000000002</v>
      </c>
      <c r="D44">
        <f t="shared" si="3"/>
        <v>0.251</v>
      </c>
      <c r="E44">
        <f t="shared" si="3"/>
        <v>0.1414</v>
      </c>
      <c r="F44">
        <f t="shared" si="3"/>
        <v>0</v>
      </c>
      <c r="G44">
        <f t="shared" si="3"/>
        <v>0</v>
      </c>
      <c r="H44">
        <f t="shared" si="3"/>
        <v>0</v>
      </c>
      <c r="I44">
        <f t="shared" si="3"/>
        <v>0</v>
      </c>
      <c r="J44">
        <f t="shared" si="3"/>
        <v>0.251</v>
      </c>
      <c r="K44">
        <f t="shared" si="3"/>
        <v>0.1414</v>
      </c>
      <c r="L44">
        <f t="shared" si="3"/>
        <v>5.4800000000000001E-2</v>
      </c>
      <c r="M44">
        <f t="shared" si="3"/>
        <v>7.0699999999999999E-2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0.1414</v>
      </c>
      <c r="C45">
        <f t="shared" si="4"/>
        <v>0</v>
      </c>
      <c r="D45">
        <f t="shared" si="4"/>
        <v>0.3347</v>
      </c>
      <c r="E45">
        <f t="shared" si="4"/>
        <v>0.3347</v>
      </c>
      <c r="F45">
        <f t="shared" si="4"/>
        <v>3.1600000000000003E-2</v>
      </c>
      <c r="G45">
        <f t="shared" si="4"/>
        <v>0.3347</v>
      </c>
      <c r="H45">
        <f t="shared" si="4"/>
        <v>0.1414</v>
      </c>
      <c r="I45">
        <f t="shared" si="4"/>
        <v>7.0699999999999999E-2</v>
      </c>
      <c r="J45">
        <f t="shared" si="4"/>
        <v>0.28460000000000002</v>
      </c>
      <c r="K45">
        <f t="shared" si="4"/>
        <v>0.3795</v>
      </c>
      <c r="L45">
        <f t="shared" si="4"/>
        <v>0.251</v>
      </c>
      <c r="M45">
        <f t="shared" si="4"/>
        <v>0.28460000000000002</v>
      </c>
    </row>
    <row r="46" spans="1:13" x14ac:dyDescent="0.3">
      <c r="A46" t="s">
        <v>2</v>
      </c>
      <c r="B46">
        <f t="shared" si="4"/>
        <v>0.251</v>
      </c>
      <c r="C46">
        <f t="shared" si="4"/>
        <v>0.1673</v>
      </c>
      <c r="D46">
        <f t="shared" si="4"/>
        <v>0</v>
      </c>
      <c r="E46">
        <f t="shared" si="4"/>
        <v>0</v>
      </c>
      <c r="F46">
        <f t="shared" si="4"/>
        <v>3.1600000000000003E-2</v>
      </c>
      <c r="G46">
        <f t="shared" si="4"/>
        <v>0.251</v>
      </c>
      <c r="H46">
        <f t="shared" si="4"/>
        <v>0.21210000000000001</v>
      </c>
      <c r="I46">
        <f t="shared" si="4"/>
        <v>7.0699999999999999E-2</v>
      </c>
      <c r="J46">
        <f t="shared" si="4"/>
        <v>0.3795</v>
      </c>
      <c r="K46">
        <f t="shared" si="4"/>
        <v>0.3795</v>
      </c>
      <c r="L46">
        <f t="shared" si="4"/>
        <v>0.251</v>
      </c>
      <c r="M46">
        <f t="shared" si="4"/>
        <v>0.28460000000000002</v>
      </c>
    </row>
    <row r="47" spans="1:13" x14ac:dyDescent="0.3">
      <c r="A47" t="s">
        <v>3</v>
      </c>
      <c r="B47">
        <f t="shared" si="4"/>
        <v>0</v>
      </c>
      <c r="C47">
        <f t="shared" si="4"/>
        <v>0</v>
      </c>
      <c r="D47">
        <f t="shared" si="4"/>
        <v>8.3699999999999997E-2</v>
      </c>
      <c r="E47">
        <f t="shared" si="4"/>
        <v>0</v>
      </c>
      <c r="F47">
        <f t="shared" si="4"/>
        <v>5.4800000000000001E-2</v>
      </c>
      <c r="G47">
        <f t="shared" si="4"/>
        <v>0.1414</v>
      </c>
      <c r="H47">
        <f t="shared" si="4"/>
        <v>0.28460000000000002</v>
      </c>
      <c r="I47">
        <f t="shared" si="4"/>
        <v>0.1414</v>
      </c>
      <c r="J47">
        <f t="shared" si="4"/>
        <v>0.28460000000000002</v>
      </c>
      <c r="K47">
        <f t="shared" si="4"/>
        <v>0</v>
      </c>
      <c r="L47">
        <f t="shared" si="4"/>
        <v>0.28460000000000002</v>
      </c>
      <c r="M47">
        <f t="shared" si="4"/>
        <v>0.28460000000000002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7.0699999999999999E-2</v>
      </c>
      <c r="C48">
        <f t="shared" si="5"/>
        <v>0</v>
      </c>
      <c r="D48">
        <f t="shared" si="5"/>
        <v>7.0699999999999999E-2</v>
      </c>
      <c r="E48">
        <f t="shared" si="5"/>
        <v>5.4800000000000001E-2</v>
      </c>
      <c r="F48">
        <f t="shared" si="5"/>
        <v>0</v>
      </c>
      <c r="G48">
        <f t="shared" si="5"/>
        <v>0.3347</v>
      </c>
      <c r="H48">
        <f t="shared" si="5"/>
        <v>0.1414</v>
      </c>
      <c r="I48">
        <f t="shared" si="5"/>
        <v>0.1414</v>
      </c>
      <c r="J48">
        <f t="shared" si="5"/>
        <v>0.3347</v>
      </c>
      <c r="K48">
        <f t="shared" si="5"/>
        <v>0.3347</v>
      </c>
      <c r="L48">
        <f t="shared" si="5"/>
        <v>5.4800000000000001E-2</v>
      </c>
      <c r="M48">
        <f t="shared" si="5"/>
        <v>8.3699999999999997E-2</v>
      </c>
    </row>
    <row r="49" spans="1:13" x14ac:dyDescent="0.3">
      <c r="A49" t="s">
        <v>5</v>
      </c>
      <c r="B49">
        <f t="shared" si="4"/>
        <v>0</v>
      </c>
      <c r="C49">
        <f t="shared" si="4"/>
        <v>0</v>
      </c>
      <c r="D49">
        <f t="shared" si="4"/>
        <v>0.1414</v>
      </c>
      <c r="E49">
        <f t="shared" si="4"/>
        <v>0</v>
      </c>
      <c r="F49">
        <f t="shared" si="4"/>
        <v>0</v>
      </c>
      <c r="G49">
        <f t="shared" si="4"/>
        <v>0</v>
      </c>
      <c r="H49">
        <f t="shared" si="4"/>
        <v>7.0699999999999999E-2</v>
      </c>
      <c r="I49">
        <f t="shared" si="4"/>
        <v>0</v>
      </c>
      <c r="J49">
        <f t="shared" si="4"/>
        <v>0.3795</v>
      </c>
      <c r="K49">
        <f t="shared" si="4"/>
        <v>0</v>
      </c>
      <c r="L49">
        <f t="shared" si="4"/>
        <v>0</v>
      </c>
      <c r="M49">
        <f t="shared" si="4"/>
        <v>0.1414</v>
      </c>
    </row>
    <row r="50" spans="1:13" x14ac:dyDescent="0.3">
      <c r="A50" t="s">
        <v>6</v>
      </c>
      <c r="B50">
        <f t="shared" si="4"/>
        <v>0.1414</v>
      </c>
      <c r="C50">
        <f t="shared" si="4"/>
        <v>0</v>
      </c>
      <c r="D50">
        <f t="shared" si="4"/>
        <v>5.4800000000000001E-2</v>
      </c>
      <c r="E50">
        <f t="shared" si="4"/>
        <v>0</v>
      </c>
      <c r="F50">
        <f t="shared" si="4"/>
        <v>0.1414</v>
      </c>
      <c r="G50">
        <f t="shared" si="4"/>
        <v>7.0699999999999999E-2</v>
      </c>
      <c r="H50">
        <f t="shared" si="4"/>
        <v>0</v>
      </c>
      <c r="I50">
        <f t="shared" si="4"/>
        <v>0</v>
      </c>
      <c r="J50">
        <f t="shared" si="4"/>
        <v>7.0699999999999999E-2</v>
      </c>
      <c r="K50">
        <f t="shared" si="4"/>
        <v>0</v>
      </c>
      <c r="L50">
        <f t="shared" si="4"/>
        <v>7.0699999999999999E-2</v>
      </c>
      <c r="M50">
        <f t="shared" si="4"/>
        <v>0</v>
      </c>
    </row>
    <row r="51" spans="1:13" x14ac:dyDescent="0.3">
      <c r="A51" t="s">
        <v>7</v>
      </c>
      <c r="B51">
        <f t="shared" si="4"/>
        <v>0.1414</v>
      </c>
      <c r="C51">
        <f t="shared" si="4"/>
        <v>7.0699999999999999E-2</v>
      </c>
      <c r="D51">
        <f t="shared" si="4"/>
        <v>0</v>
      </c>
      <c r="E51">
        <f t="shared" si="4"/>
        <v>5.4800000000000001E-2</v>
      </c>
      <c r="F51">
        <f t="shared" si="4"/>
        <v>0</v>
      </c>
      <c r="G51">
        <f t="shared" si="4"/>
        <v>7.0699999999999999E-2</v>
      </c>
      <c r="H51">
        <f t="shared" si="4"/>
        <v>0</v>
      </c>
      <c r="I51">
        <f t="shared" si="4"/>
        <v>0</v>
      </c>
      <c r="J51">
        <f t="shared" si="4"/>
        <v>0.3795</v>
      </c>
      <c r="K51">
        <f t="shared" si="4"/>
        <v>0.28460000000000002</v>
      </c>
      <c r="L51">
        <f t="shared" si="4"/>
        <v>0.3795</v>
      </c>
      <c r="M51">
        <f t="shared" si="4"/>
        <v>0.28460000000000002</v>
      </c>
    </row>
    <row r="52" spans="1:13" x14ac:dyDescent="0.3">
      <c r="A52" t="s">
        <v>8</v>
      </c>
      <c r="B52">
        <f t="shared" si="4"/>
        <v>0.1673</v>
      </c>
      <c r="C52">
        <f t="shared" si="4"/>
        <v>0</v>
      </c>
      <c r="D52">
        <f t="shared" si="4"/>
        <v>0</v>
      </c>
      <c r="E52">
        <f t="shared" si="4"/>
        <v>0</v>
      </c>
      <c r="F52">
        <f t="shared" si="4"/>
        <v>5.4800000000000001E-2</v>
      </c>
      <c r="G52">
        <f t="shared" si="4"/>
        <v>7.0699999999999999E-2</v>
      </c>
      <c r="H52">
        <f t="shared" si="4"/>
        <v>0.251</v>
      </c>
      <c r="I52">
        <f t="shared" si="4"/>
        <v>0</v>
      </c>
      <c r="J52">
        <f t="shared" si="4"/>
        <v>0</v>
      </c>
      <c r="K52">
        <f t="shared" si="4"/>
        <v>0.3795</v>
      </c>
      <c r="L52">
        <f t="shared" si="4"/>
        <v>0.3795</v>
      </c>
      <c r="M52">
        <f t="shared" si="4"/>
        <v>0.3795</v>
      </c>
    </row>
    <row r="53" spans="1:13" x14ac:dyDescent="0.3">
      <c r="A53" t="s">
        <v>9</v>
      </c>
      <c r="B53">
        <f t="shared" si="4"/>
        <v>0</v>
      </c>
      <c r="C53">
        <f t="shared" si="4"/>
        <v>0</v>
      </c>
      <c r="D53">
        <f t="shared" si="4"/>
        <v>8.3699999999999997E-2</v>
      </c>
      <c r="E53">
        <f t="shared" si="4"/>
        <v>5.4800000000000001E-2</v>
      </c>
      <c r="F53">
        <f t="shared" si="4"/>
        <v>0</v>
      </c>
      <c r="G53">
        <f t="shared" si="4"/>
        <v>7.0699999999999999E-2</v>
      </c>
      <c r="H53">
        <f t="shared" si="4"/>
        <v>0</v>
      </c>
      <c r="I53">
        <f t="shared" si="4"/>
        <v>0.1673</v>
      </c>
      <c r="J53">
        <f t="shared" si="4"/>
        <v>7.0699999999999999E-2</v>
      </c>
      <c r="K53">
        <f t="shared" si="4"/>
        <v>0</v>
      </c>
      <c r="L53">
        <f t="shared" si="4"/>
        <v>0</v>
      </c>
      <c r="M53">
        <f t="shared" si="4"/>
        <v>7.0699999999999999E-2</v>
      </c>
    </row>
    <row r="54" spans="1:13" x14ac:dyDescent="0.3">
      <c r="A54" t="s">
        <v>10</v>
      </c>
      <c r="B54">
        <f t="shared" si="4"/>
        <v>8.3699999999999997E-2</v>
      </c>
      <c r="C54">
        <f t="shared" si="4"/>
        <v>5.4800000000000001E-2</v>
      </c>
      <c r="D54">
        <f t="shared" si="4"/>
        <v>7.0699999999999999E-2</v>
      </c>
      <c r="E54">
        <f t="shared" si="4"/>
        <v>0</v>
      </c>
      <c r="F54">
        <f t="shared" si="4"/>
        <v>0</v>
      </c>
      <c r="G54">
        <f t="shared" si="4"/>
        <v>7.0699999999999999E-2</v>
      </c>
      <c r="H54">
        <f t="shared" si="4"/>
        <v>0</v>
      </c>
      <c r="I54">
        <f t="shared" si="4"/>
        <v>0</v>
      </c>
      <c r="J54">
        <f t="shared" si="4"/>
        <v>7.0699999999999999E-2</v>
      </c>
      <c r="K54">
        <f t="shared" si="4"/>
        <v>0</v>
      </c>
      <c r="L54">
        <f t="shared" si="4"/>
        <v>0</v>
      </c>
      <c r="M54">
        <f t="shared" si="4"/>
        <v>0.3795</v>
      </c>
    </row>
    <row r="55" spans="1:13" x14ac:dyDescent="0.3">
      <c r="A55" t="s">
        <v>11</v>
      </c>
      <c r="B55">
        <f t="shared" si="4"/>
        <v>7.0699999999999999E-2</v>
      </c>
      <c r="C55">
        <f t="shared" si="4"/>
        <v>0</v>
      </c>
      <c r="D55">
        <f t="shared" si="4"/>
        <v>0.1414</v>
      </c>
      <c r="E55">
        <f t="shared" si="4"/>
        <v>7.0699999999999999E-2</v>
      </c>
      <c r="F55">
        <f t="shared" si="4"/>
        <v>7.0699999999999999E-2</v>
      </c>
      <c r="G55">
        <f t="shared" si="4"/>
        <v>0.1414</v>
      </c>
      <c r="H55">
        <f t="shared" si="4"/>
        <v>0.1414</v>
      </c>
      <c r="I55">
        <f t="shared" si="4"/>
        <v>0.1414</v>
      </c>
      <c r="J55">
        <f t="shared" si="4"/>
        <v>7.0699999999999999E-2</v>
      </c>
      <c r="K55">
        <f t="shared" si="4"/>
        <v>7.0699999999999999E-2</v>
      </c>
      <c r="L55">
        <f t="shared" si="4"/>
        <v>7.0699999999999999E-2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0.3795</v>
      </c>
      <c r="D58">
        <f t="shared" si="6"/>
        <v>0.3347</v>
      </c>
      <c r="E58">
        <f t="shared" si="6"/>
        <v>0.21210000000000001</v>
      </c>
      <c r="F58">
        <f t="shared" si="6"/>
        <v>8.3699999999999997E-2</v>
      </c>
      <c r="G58">
        <f t="shared" si="6"/>
        <v>8.3699999999999997E-2</v>
      </c>
      <c r="H58">
        <f t="shared" si="6"/>
        <v>7.0699999999999999E-2</v>
      </c>
      <c r="I58">
        <f t="shared" si="6"/>
        <v>5.4800000000000001E-2</v>
      </c>
      <c r="J58">
        <f t="shared" si="6"/>
        <v>0.3347</v>
      </c>
      <c r="K58">
        <f t="shared" si="6"/>
        <v>0.21210000000000001</v>
      </c>
      <c r="L58">
        <f t="shared" si="6"/>
        <v>0.1095</v>
      </c>
      <c r="M58">
        <f t="shared" si="6"/>
        <v>0.1414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0.21210000000000001</v>
      </c>
      <c r="C59">
        <f t="shared" si="7"/>
        <v>0</v>
      </c>
      <c r="D59">
        <f t="shared" si="7"/>
        <v>0.3347</v>
      </c>
      <c r="E59">
        <f t="shared" si="7"/>
        <v>0.3347</v>
      </c>
      <c r="F59">
        <f t="shared" si="7"/>
        <v>6.3200000000000006E-2</v>
      </c>
      <c r="G59">
        <f t="shared" si="7"/>
        <v>0.3347</v>
      </c>
      <c r="H59">
        <f t="shared" si="7"/>
        <v>0.21210000000000001</v>
      </c>
      <c r="I59">
        <f t="shared" si="7"/>
        <v>0.1414</v>
      </c>
      <c r="J59">
        <f t="shared" si="7"/>
        <v>0.3795</v>
      </c>
      <c r="K59">
        <f t="shared" si="7"/>
        <v>0.3795</v>
      </c>
      <c r="L59">
        <f t="shared" si="7"/>
        <v>0.3347</v>
      </c>
      <c r="M59">
        <f t="shared" si="7"/>
        <v>0.3795</v>
      </c>
    </row>
    <row r="60" spans="1:13" x14ac:dyDescent="0.3">
      <c r="A60" t="s">
        <v>2</v>
      </c>
      <c r="B60">
        <f t="shared" si="7"/>
        <v>0.3347</v>
      </c>
      <c r="C60">
        <f t="shared" si="7"/>
        <v>0.251</v>
      </c>
      <c r="D60">
        <f t="shared" si="7"/>
        <v>0</v>
      </c>
      <c r="E60">
        <f t="shared" si="7"/>
        <v>7.0699999999999999E-2</v>
      </c>
      <c r="F60">
        <f t="shared" si="7"/>
        <v>6.3200000000000006E-2</v>
      </c>
      <c r="G60">
        <f t="shared" si="7"/>
        <v>0.3347</v>
      </c>
      <c r="H60">
        <f t="shared" si="7"/>
        <v>0.2828</v>
      </c>
      <c r="I60">
        <f t="shared" si="7"/>
        <v>0.1414</v>
      </c>
      <c r="J60">
        <f t="shared" si="7"/>
        <v>0.3795</v>
      </c>
      <c r="K60">
        <f t="shared" si="7"/>
        <v>0.3795</v>
      </c>
      <c r="L60">
        <f t="shared" si="7"/>
        <v>0.3347</v>
      </c>
      <c r="M60">
        <f t="shared" si="7"/>
        <v>0.3795</v>
      </c>
    </row>
    <row r="61" spans="1:13" x14ac:dyDescent="0.3">
      <c r="A61" t="s">
        <v>3</v>
      </c>
      <c r="B61">
        <f t="shared" si="7"/>
        <v>5.4800000000000001E-2</v>
      </c>
      <c r="C61">
        <f t="shared" si="7"/>
        <v>5.4800000000000001E-2</v>
      </c>
      <c r="D61">
        <f t="shared" si="7"/>
        <v>0.1673</v>
      </c>
      <c r="E61">
        <f t="shared" si="7"/>
        <v>0</v>
      </c>
      <c r="F61">
        <f t="shared" si="7"/>
        <v>0.1095</v>
      </c>
      <c r="G61">
        <f t="shared" si="7"/>
        <v>0.21210000000000001</v>
      </c>
      <c r="H61">
        <f t="shared" si="7"/>
        <v>0.3795</v>
      </c>
      <c r="I61">
        <f t="shared" si="7"/>
        <v>0.21210000000000001</v>
      </c>
      <c r="J61">
        <f t="shared" si="7"/>
        <v>0.3795</v>
      </c>
      <c r="K61">
        <f t="shared" si="7"/>
        <v>7.0699999999999999E-2</v>
      </c>
      <c r="L61">
        <f t="shared" si="7"/>
        <v>0.3795</v>
      </c>
      <c r="M61">
        <f t="shared" si="7"/>
        <v>0.3795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0.1414</v>
      </c>
      <c r="C62">
        <f t="shared" si="8"/>
        <v>7.0699999999999999E-2</v>
      </c>
      <c r="D62">
        <f t="shared" si="8"/>
        <v>0.1414</v>
      </c>
      <c r="E62">
        <f t="shared" si="8"/>
        <v>0.1095</v>
      </c>
      <c r="F62">
        <f t="shared" si="8"/>
        <v>0</v>
      </c>
      <c r="G62">
        <f t="shared" si="8"/>
        <v>0.3347</v>
      </c>
      <c r="H62">
        <f t="shared" si="8"/>
        <v>0.21210000000000001</v>
      </c>
      <c r="I62">
        <f t="shared" si="8"/>
        <v>0.21210000000000001</v>
      </c>
      <c r="J62">
        <f t="shared" si="8"/>
        <v>0.3347</v>
      </c>
      <c r="K62">
        <f t="shared" si="8"/>
        <v>0.3347</v>
      </c>
      <c r="L62">
        <f t="shared" si="8"/>
        <v>0.1095</v>
      </c>
      <c r="M62">
        <f t="shared" si="8"/>
        <v>0.1673</v>
      </c>
    </row>
    <row r="63" spans="1:13" x14ac:dyDescent="0.3">
      <c r="A63" t="s">
        <v>5</v>
      </c>
      <c r="B63">
        <f t="shared" si="7"/>
        <v>8.3699999999999997E-2</v>
      </c>
      <c r="C63">
        <f t="shared" si="7"/>
        <v>5.4800000000000001E-2</v>
      </c>
      <c r="D63">
        <f t="shared" si="7"/>
        <v>0.21210000000000001</v>
      </c>
      <c r="E63">
        <f t="shared" si="7"/>
        <v>7.0699999999999999E-2</v>
      </c>
      <c r="F63">
        <f t="shared" si="7"/>
        <v>7.0699999999999999E-2</v>
      </c>
      <c r="G63">
        <f t="shared" si="7"/>
        <v>0</v>
      </c>
      <c r="H63">
        <f t="shared" si="7"/>
        <v>0.1414</v>
      </c>
      <c r="I63">
        <f t="shared" si="7"/>
        <v>7.0699999999999999E-2</v>
      </c>
      <c r="J63">
        <f t="shared" si="7"/>
        <v>0.3795</v>
      </c>
      <c r="K63">
        <f t="shared" si="7"/>
        <v>7.0699999999999999E-2</v>
      </c>
      <c r="L63">
        <f t="shared" si="7"/>
        <v>7.0699999999999999E-2</v>
      </c>
      <c r="M63">
        <f t="shared" si="7"/>
        <v>0.21210000000000001</v>
      </c>
    </row>
    <row r="64" spans="1:13" x14ac:dyDescent="0.3">
      <c r="A64" t="s">
        <v>6</v>
      </c>
      <c r="B64">
        <f t="shared" si="7"/>
        <v>0.21210000000000001</v>
      </c>
      <c r="C64">
        <f t="shared" si="7"/>
        <v>5.4800000000000001E-2</v>
      </c>
      <c r="D64">
        <f t="shared" si="7"/>
        <v>0.1095</v>
      </c>
      <c r="E64">
        <f t="shared" si="7"/>
        <v>5.4800000000000001E-2</v>
      </c>
      <c r="F64">
        <f t="shared" si="7"/>
        <v>0.21210000000000001</v>
      </c>
      <c r="G64">
        <f t="shared" si="7"/>
        <v>0.1414</v>
      </c>
      <c r="H64">
        <f t="shared" si="7"/>
        <v>0</v>
      </c>
      <c r="I64">
        <f t="shared" si="7"/>
        <v>3.1600000000000003E-2</v>
      </c>
      <c r="J64">
        <f t="shared" si="7"/>
        <v>0.1414</v>
      </c>
      <c r="K64">
        <f t="shared" si="7"/>
        <v>5.4800000000000001E-2</v>
      </c>
      <c r="L64">
        <f t="shared" si="7"/>
        <v>0.1414</v>
      </c>
      <c r="M64">
        <f t="shared" si="7"/>
        <v>7.0699999999999999E-2</v>
      </c>
    </row>
    <row r="65" spans="1:13" x14ac:dyDescent="0.3">
      <c r="A65" t="s">
        <v>7</v>
      </c>
      <c r="B65">
        <f t="shared" si="7"/>
        <v>0.21210000000000001</v>
      </c>
      <c r="C65">
        <f t="shared" si="7"/>
        <v>0.1414</v>
      </c>
      <c r="D65">
        <f t="shared" si="7"/>
        <v>7.0699999999999999E-2</v>
      </c>
      <c r="E65">
        <f t="shared" si="7"/>
        <v>0.1095</v>
      </c>
      <c r="F65">
        <f t="shared" si="7"/>
        <v>7.0699999999999999E-2</v>
      </c>
      <c r="G65">
        <f t="shared" si="7"/>
        <v>0.1414</v>
      </c>
      <c r="H65">
        <f t="shared" si="7"/>
        <v>7.0699999999999999E-2</v>
      </c>
      <c r="I65">
        <f t="shared" si="7"/>
        <v>0</v>
      </c>
      <c r="J65">
        <f t="shared" si="7"/>
        <v>0.3795</v>
      </c>
      <c r="K65">
        <f t="shared" si="7"/>
        <v>0.3795</v>
      </c>
      <c r="L65">
        <f t="shared" si="7"/>
        <v>0.3795</v>
      </c>
      <c r="M65">
        <f t="shared" si="7"/>
        <v>0.3795</v>
      </c>
    </row>
    <row r="66" spans="1:13" x14ac:dyDescent="0.3">
      <c r="A66" t="s">
        <v>8</v>
      </c>
      <c r="B66">
        <f t="shared" si="7"/>
        <v>0.251</v>
      </c>
      <c r="C66">
        <f t="shared" si="7"/>
        <v>7.0699999999999999E-2</v>
      </c>
      <c r="D66">
        <f t="shared" si="7"/>
        <v>7.0699999999999999E-2</v>
      </c>
      <c r="E66">
        <f t="shared" si="7"/>
        <v>7.0699999999999999E-2</v>
      </c>
      <c r="F66">
        <f t="shared" si="7"/>
        <v>0.1095</v>
      </c>
      <c r="G66">
        <f t="shared" si="7"/>
        <v>0.1414</v>
      </c>
      <c r="H66">
        <f t="shared" si="7"/>
        <v>0.3347</v>
      </c>
      <c r="I66">
        <f t="shared" si="7"/>
        <v>7.0699999999999999E-2</v>
      </c>
      <c r="J66">
        <f t="shared" si="7"/>
        <v>0</v>
      </c>
      <c r="K66">
        <f t="shared" si="7"/>
        <v>0.3795</v>
      </c>
      <c r="L66">
        <f t="shared" si="7"/>
        <v>0.3795</v>
      </c>
      <c r="M66">
        <f t="shared" si="7"/>
        <v>0.3795</v>
      </c>
    </row>
    <row r="67" spans="1:13" x14ac:dyDescent="0.3">
      <c r="A67" t="s">
        <v>9</v>
      </c>
      <c r="B67">
        <f t="shared" si="7"/>
        <v>7.0699999999999999E-2</v>
      </c>
      <c r="C67">
        <f t="shared" si="7"/>
        <v>3.1600000000000003E-2</v>
      </c>
      <c r="D67">
        <f t="shared" si="7"/>
        <v>0.1673</v>
      </c>
      <c r="E67">
        <f t="shared" si="7"/>
        <v>0.1095</v>
      </c>
      <c r="F67">
        <f t="shared" si="7"/>
        <v>7.0699999999999999E-2</v>
      </c>
      <c r="G67">
        <f t="shared" si="7"/>
        <v>0.1414</v>
      </c>
      <c r="H67">
        <f t="shared" si="7"/>
        <v>8.3699999999999997E-2</v>
      </c>
      <c r="I67">
        <f t="shared" si="7"/>
        <v>0.251</v>
      </c>
      <c r="J67">
        <f t="shared" si="7"/>
        <v>0.1414</v>
      </c>
      <c r="K67">
        <f t="shared" si="7"/>
        <v>0</v>
      </c>
      <c r="L67">
        <f t="shared" si="7"/>
        <v>7.0699999999999999E-2</v>
      </c>
      <c r="M67">
        <f t="shared" si="7"/>
        <v>0.1414</v>
      </c>
    </row>
    <row r="68" spans="1:13" x14ac:dyDescent="0.3">
      <c r="A68" t="s">
        <v>10</v>
      </c>
      <c r="B68">
        <f t="shared" si="7"/>
        <v>0.1673</v>
      </c>
      <c r="C68">
        <f t="shared" si="7"/>
        <v>0.1095</v>
      </c>
      <c r="D68">
        <f t="shared" si="7"/>
        <v>0.1414</v>
      </c>
      <c r="E68">
        <f t="shared" si="7"/>
        <v>7.0699999999999999E-2</v>
      </c>
      <c r="F68">
        <f t="shared" si="7"/>
        <v>7.0699999999999999E-2</v>
      </c>
      <c r="G68">
        <f t="shared" si="7"/>
        <v>0.1414</v>
      </c>
      <c r="H68">
        <f t="shared" si="7"/>
        <v>7.0699999999999999E-2</v>
      </c>
      <c r="I68">
        <f t="shared" si="7"/>
        <v>7.0699999999999999E-2</v>
      </c>
      <c r="J68">
        <f t="shared" si="7"/>
        <v>0.1414</v>
      </c>
      <c r="K68">
        <f t="shared" si="7"/>
        <v>7.0699999999999999E-2</v>
      </c>
      <c r="L68">
        <f t="shared" si="7"/>
        <v>0</v>
      </c>
      <c r="M68">
        <f t="shared" si="7"/>
        <v>0.3795</v>
      </c>
    </row>
    <row r="69" spans="1:13" x14ac:dyDescent="0.3">
      <c r="A69" t="s">
        <v>11</v>
      </c>
      <c r="B69">
        <f t="shared" si="7"/>
        <v>0.1414</v>
      </c>
      <c r="C69">
        <f t="shared" si="7"/>
        <v>5.4800000000000001E-2</v>
      </c>
      <c r="D69">
        <f t="shared" si="7"/>
        <v>0.21210000000000001</v>
      </c>
      <c r="E69">
        <f t="shared" si="7"/>
        <v>0.1414</v>
      </c>
      <c r="F69">
        <f t="shared" si="7"/>
        <v>0.1414</v>
      </c>
      <c r="G69">
        <f t="shared" si="7"/>
        <v>0.21210000000000001</v>
      </c>
      <c r="H69">
        <f t="shared" si="7"/>
        <v>0.21210000000000001</v>
      </c>
      <c r="I69">
        <f t="shared" si="7"/>
        <v>0.21210000000000001</v>
      </c>
      <c r="J69">
        <f t="shared" si="7"/>
        <v>0.1414</v>
      </c>
      <c r="K69">
        <f t="shared" si="7"/>
        <v>0.1414</v>
      </c>
      <c r="L69">
        <f t="shared" si="7"/>
        <v>0.1414</v>
      </c>
      <c r="M69">
        <f t="shared" si="7"/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6"/>
  <dimension ref="A1:M69"/>
  <sheetViews>
    <sheetView workbookViewId="0">
      <selection activeCell="A15" sqref="A15:M69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12</v>
      </c>
      <c r="D2" t="s">
        <v>13</v>
      </c>
      <c r="E2" t="s">
        <v>15</v>
      </c>
      <c r="F2" t="s">
        <v>24</v>
      </c>
      <c r="G2" t="s">
        <v>15</v>
      </c>
      <c r="H2" t="s">
        <v>20</v>
      </c>
      <c r="I2" t="s">
        <v>17</v>
      </c>
      <c r="J2" t="s">
        <v>13</v>
      </c>
      <c r="K2" t="s">
        <v>20</v>
      </c>
      <c r="L2" t="s">
        <v>23</v>
      </c>
      <c r="M2" t="s">
        <v>16</v>
      </c>
    </row>
    <row r="3" spans="1:13" x14ac:dyDescent="0.3">
      <c r="A3" s="1" t="s">
        <v>1</v>
      </c>
      <c r="B3" t="s">
        <v>22</v>
      </c>
      <c r="C3">
        <v>0</v>
      </c>
      <c r="D3" t="s">
        <v>18</v>
      </c>
      <c r="E3" t="s">
        <v>18</v>
      </c>
      <c r="F3" t="s">
        <v>12</v>
      </c>
      <c r="G3" t="s">
        <v>20</v>
      </c>
      <c r="H3" t="s">
        <v>16</v>
      </c>
      <c r="I3" t="s">
        <v>24</v>
      </c>
      <c r="J3" t="s">
        <v>12</v>
      </c>
      <c r="K3" t="s">
        <v>18</v>
      </c>
      <c r="L3" t="s">
        <v>12</v>
      </c>
      <c r="M3" t="s">
        <v>18</v>
      </c>
    </row>
    <row r="4" spans="1:13" x14ac:dyDescent="0.3">
      <c r="A4" s="1" t="s">
        <v>2</v>
      </c>
      <c r="B4" t="s">
        <v>19</v>
      </c>
      <c r="C4" t="s">
        <v>16</v>
      </c>
      <c r="D4">
        <v>0</v>
      </c>
      <c r="E4" t="s">
        <v>21</v>
      </c>
      <c r="F4" t="s">
        <v>24</v>
      </c>
      <c r="G4" t="s">
        <v>22</v>
      </c>
      <c r="H4" t="s">
        <v>15</v>
      </c>
      <c r="I4" t="s">
        <v>15</v>
      </c>
      <c r="J4" t="s">
        <v>18</v>
      </c>
      <c r="K4" t="s">
        <v>25</v>
      </c>
      <c r="L4" t="s">
        <v>13</v>
      </c>
      <c r="M4" t="s">
        <v>13</v>
      </c>
    </row>
    <row r="5" spans="1:13" x14ac:dyDescent="0.3">
      <c r="A5" s="1" t="s">
        <v>3</v>
      </c>
      <c r="B5" t="s">
        <v>15</v>
      </c>
      <c r="C5" t="s">
        <v>16</v>
      </c>
      <c r="D5" t="s">
        <v>16</v>
      </c>
      <c r="E5">
        <v>0</v>
      </c>
      <c r="F5" t="s">
        <v>17</v>
      </c>
      <c r="G5" t="s">
        <v>24</v>
      </c>
      <c r="H5" t="s">
        <v>13</v>
      </c>
      <c r="I5" t="s">
        <v>16</v>
      </c>
      <c r="J5" t="s">
        <v>12</v>
      </c>
      <c r="K5" t="s">
        <v>15</v>
      </c>
      <c r="L5" t="s">
        <v>13</v>
      </c>
      <c r="M5" t="s">
        <v>21</v>
      </c>
    </row>
    <row r="6" spans="1:13" x14ac:dyDescent="0.3">
      <c r="A6" s="1" t="s">
        <v>4</v>
      </c>
      <c r="B6" t="s">
        <v>15</v>
      </c>
      <c r="C6" t="s">
        <v>16</v>
      </c>
      <c r="D6" t="s">
        <v>22</v>
      </c>
      <c r="E6" t="s">
        <v>16</v>
      </c>
      <c r="F6">
        <v>0</v>
      </c>
      <c r="G6" t="s">
        <v>12</v>
      </c>
      <c r="H6" t="s">
        <v>22</v>
      </c>
      <c r="I6" t="s">
        <v>22</v>
      </c>
      <c r="J6" t="s">
        <v>25</v>
      </c>
      <c r="K6" t="s">
        <v>13</v>
      </c>
      <c r="L6" t="s">
        <v>22</v>
      </c>
      <c r="M6" t="s">
        <v>15</v>
      </c>
    </row>
    <row r="7" spans="1:13" x14ac:dyDescent="0.3">
      <c r="A7" s="1" t="s">
        <v>5</v>
      </c>
      <c r="B7" t="s">
        <v>22</v>
      </c>
      <c r="C7" t="s">
        <v>17</v>
      </c>
      <c r="D7" t="s">
        <v>24</v>
      </c>
      <c r="E7" t="s">
        <v>16</v>
      </c>
      <c r="F7" t="s">
        <v>15</v>
      </c>
      <c r="G7">
        <v>0</v>
      </c>
      <c r="H7" t="s">
        <v>15</v>
      </c>
      <c r="I7" t="s">
        <v>22</v>
      </c>
      <c r="J7" t="s">
        <v>13</v>
      </c>
      <c r="K7" t="s">
        <v>15</v>
      </c>
      <c r="L7" t="s">
        <v>17</v>
      </c>
      <c r="M7" t="s">
        <v>23</v>
      </c>
    </row>
    <row r="8" spans="1:13" x14ac:dyDescent="0.3">
      <c r="A8" s="1" t="s">
        <v>6</v>
      </c>
      <c r="B8" t="s">
        <v>22</v>
      </c>
      <c r="C8" t="s">
        <v>23</v>
      </c>
      <c r="D8" t="s">
        <v>22</v>
      </c>
      <c r="E8" t="s">
        <v>17</v>
      </c>
      <c r="F8" t="s">
        <v>16</v>
      </c>
      <c r="G8" t="s">
        <v>15</v>
      </c>
      <c r="H8">
        <v>0</v>
      </c>
      <c r="I8" t="s">
        <v>15</v>
      </c>
      <c r="J8" t="s">
        <v>16</v>
      </c>
      <c r="K8" t="s">
        <v>24</v>
      </c>
      <c r="L8" t="s">
        <v>24</v>
      </c>
      <c r="M8" t="s">
        <v>20</v>
      </c>
    </row>
    <row r="9" spans="1:13" x14ac:dyDescent="0.3">
      <c r="A9" s="1" t="s">
        <v>7</v>
      </c>
      <c r="B9" t="s">
        <v>16</v>
      </c>
      <c r="C9" t="s">
        <v>16</v>
      </c>
      <c r="D9" t="s">
        <v>20</v>
      </c>
      <c r="E9" t="s">
        <v>15</v>
      </c>
      <c r="F9" t="s">
        <v>71</v>
      </c>
      <c r="G9" t="s">
        <v>20</v>
      </c>
      <c r="H9" t="s">
        <v>15</v>
      </c>
      <c r="I9">
        <v>0</v>
      </c>
      <c r="J9" t="s">
        <v>13</v>
      </c>
      <c r="K9" t="s">
        <v>13</v>
      </c>
      <c r="L9" t="s">
        <v>18</v>
      </c>
      <c r="M9" t="s">
        <v>18</v>
      </c>
    </row>
    <row r="10" spans="1:13" x14ac:dyDescent="0.3">
      <c r="A10" s="1" t="s">
        <v>8</v>
      </c>
      <c r="B10" t="s">
        <v>21</v>
      </c>
      <c r="C10" t="s">
        <v>15</v>
      </c>
      <c r="D10" t="s">
        <v>15</v>
      </c>
      <c r="E10" t="s">
        <v>20</v>
      </c>
      <c r="F10" t="s">
        <v>20</v>
      </c>
      <c r="G10" t="s">
        <v>15</v>
      </c>
      <c r="H10" t="s">
        <v>18</v>
      </c>
      <c r="I10" t="s">
        <v>15</v>
      </c>
      <c r="J10">
        <v>0</v>
      </c>
      <c r="K10" t="s">
        <v>25</v>
      </c>
      <c r="L10" t="s">
        <v>18</v>
      </c>
      <c r="M10" t="s">
        <v>13</v>
      </c>
    </row>
    <row r="11" spans="1:13" x14ac:dyDescent="0.3">
      <c r="A11" s="1" t="s">
        <v>9</v>
      </c>
      <c r="B11" t="s">
        <v>15</v>
      </c>
      <c r="C11" t="s">
        <v>62</v>
      </c>
      <c r="D11" t="s">
        <v>16</v>
      </c>
      <c r="E11" t="s">
        <v>24</v>
      </c>
      <c r="F11" t="s">
        <v>24</v>
      </c>
      <c r="G11" t="s">
        <v>20</v>
      </c>
      <c r="H11" t="s">
        <v>24</v>
      </c>
      <c r="I11" t="s">
        <v>16</v>
      </c>
      <c r="J11" t="s">
        <v>16</v>
      </c>
      <c r="K11">
        <v>0</v>
      </c>
      <c r="L11" t="s">
        <v>16</v>
      </c>
      <c r="M11" t="s">
        <v>15</v>
      </c>
    </row>
    <row r="12" spans="1:13" x14ac:dyDescent="0.3">
      <c r="A12" s="1" t="s">
        <v>10</v>
      </c>
      <c r="B12" t="s">
        <v>24</v>
      </c>
      <c r="C12" t="s">
        <v>24</v>
      </c>
      <c r="D12" t="s">
        <v>62</v>
      </c>
      <c r="E12" t="s">
        <v>23</v>
      </c>
      <c r="F12" t="s">
        <v>17</v>
      </c>
      <c r="G12" t="s">
        <v>23</v>
      </c>
      <c r="H12" t="s">
        <v>15</v>
      </c>
      <c r="I12" t="s">
        <v>15</v>
      </c>
      <c r="J12" t="s">
        <v>20</v>
      </c>
      <c r="K12" t="s">
        <v>20</v>
      </c>
      <c r="L12">
        <v>0</v>
      </c>
      <c r="M12" t="s">
        <v>13</v>
      </c>
    </row>
    <row r="13" spans="1:13" x14ac:dyDescent="0.3">
      <c r="A13" s="1" t="s">
        <v>11</v>
      </c>
      <c r="B13" t="s">
        <v>16</v>
      </c>
      <c r="C13" t="s">
        <v>23</v>
      </c>
      <c r="D13" t="s">
        <v>24</v>
      </c>
      <c r="E13" t="s">
        <v>16</v>
      </c>
      <c r="F13" t="s">
        <v>20</v>
      </c>
      <c r="G13" t="s">
        <v>15</v>
      </c>
      <c r="H13" t="s">
        <v>21</v>
      </c>
      <c r="I13" t="s">
        <v>24</v>
      </c>
      <c r="J13" t="s">
        <v>24</v>
      </c>
      <c r="K13" t="s">
        <v>71</v>
      </c>
      <c r="L13" t="s">
        <v>24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(0,1673; 0,251; 0,3347)</v>
      </c>
      <c r="D16" t="str">
        <f>VLOOKUP(D2,'Thang đánh giá'!$C$2:$D$27,2,FALSE)</f>
        <v>(0,1897; 0,2846; 0,3795)</v>
      </c>
      <c r="E16" t="str">
        <f>VLOOKUP(E2,'Thang đánh giá'!$C$2:$D$27,2,FALSE)</f>
        <v>(0; 0,0707; 0,1414)</v>
      </c>
      <c r="F16" t="str">
        <f>VLOOKUP(F2,'Thang đánh giá'!$C$2:$D$27,2,FALSE)</f>
        <v>(0; 0; 0,0548)</v>
      </c>
      <c r="G16" t="str">
        <f>VLOOKUP(G2,'Thang đánh giá'!$C$2:$D$27,2,FALSE)</f>
        <v>(0; 0,0707; 0,1414)</v>
      </c>
      <c r="H16" t="str">
        <f>VLOOKUP(H2,'Thang đánh giá'!$C$2:$D$27,2,FALSE)</f>
        <v>(0; 0,0548; 0,1095)</v>
      </c>
      <c r="I16" t="str">
        <f>VLOOKUP(I2,'Thang đánh giá'!$C$2:$D$27,2,FALSE)</f>
        <v>(0; 0,0316; 0,0632)</v>
      </c>
      <c r="J16" t="str">
        <f>VLOOKUP(J2,'Thang đánh giá'!$C$2:$D$27,2,FALSE)</f>
        <v>(0,1897; 0,2846; 0,3795)</v>
      </c>
      <c r="K16" t="str">
        <f>VLOOKUP(K2,'Thang đánh giá'!$C$2:$D$27,2,FALSE)</f>
        <v>(0; 0,0548; 0,1095)</v>
      </c>
      <c r="L16" t="str">
        <f>VLOOKUP(L2,'Thang đánh giá'!$C$2:$D$27,2,FALSE)</f>
        <v>(0; 0; 0,0316)</v>
      </c>
      <c r="M16" t="str">
        <f>VLOOKUP(M2,'Thang đánh giá'!$C$2:$D$27,2,FALSE)</f>
        <v>(0; 0; 0,0707)</v>
      </c>
    </row>
    <row r="17" spans="1:13" x14ac:dyDescent="0.3">
      <c r="A17" t="s">
        <v>1</v>
      </c>
      <c r="B17" t="str">
        <f>VLOOKUP(B3,'Thang đánh giá'!$C$2:$D$27,2,FALSE)</f>
        <v>(0,0707; 0,1414; 0,2121)</v>
      </c>
      <c r="C17" t="str">
        <f>VLOOKUP(C3,'Thang đánh giá'!$C$2:$D$27,2,FALSE)</f>
        <v>(0; 0; 0)</v>
      </c>
      <c r="D17" t="str">
        <f>VLOOKUP(D3,'Thang đánh giá'!$C$2:$D$27,2,FALSE)</f>
        <v>(0,2846; 0,3795; 0,3795)</v>
      </c>
      <c r="E17" t="str">
        <f>VLOOKUP(E3,'Thang đánh giá'!$C$2:$D$27,2,FALSE)</f>
        <v>(0,2846; 0,3795; 0,3795)</v>
      </c>
      <c r="F17" t="str">
        <f>VLOOKUP(F3,'Thang đánh giá'!$C$2:$D$27,2,FALSE)</f>
        <v>(0,1673; 0,251; 0,3347)</v>
      </c>
      <c r="G17" t="str">
        <f>VLOOKUP(G3,'Thang đánh giá'!$C$2:$D$27,2,FALSE)</f>
        <v>(0; 0,0548; 0,1095)</v>
      </c>
      <c r="H17" t="str">
        <f>VLOOKUP(H3,'Thang đánh giá'!$C$2:$D$27,2,FALSE)</f>
        <v>(0; 0; 0,0707)</v>
      </c>
      <c r="I17" t="str">
        <f>VLOOKUP(I3,'Thang đánh giá'!$C$2:$D$27,2,FALSE)</f>
        <v>(0; 0; 0,0548)</v>
      </c>
      <c r="J17" t="str">
        <f>VLOOKUP(J3,'Thang đánh giá'!$C$2:$D$27,2,FALSE)</f>
        <v>(0,1673; 0,251; 0,3347)</v>
      </c>
      <c r="K17" t="str">
        <f>VLOOKUP(K3,'Thang đánh giá'!$C$2:$D$27,2,FALSE)</f>
        <v>(0,2846; 0,3795; 0,3795)</v>
      </c>
      <c r="L17" t="str">
        <f>VLOOKUP(L3,'Thang đánh giá'!$C$2:$D$27,2,FALSE)</f>
        <v>(0,1673; 0,251; 0,3347)</v>
      </c>
      <c r="M17" t="str">
        <f>VLOOKUP(M3,'Thang đánh giá'!$C$2:$D$27,2,FALSE)</f>
        <v>(0,2846; 0,3795; 0,3795)</v>
      </c>
    </row>
    <row r="18" spans="1:13" x14ac:dyDescent="0.3">
      <c r="A18" t="s">
        <v>2</v>
      </c>
      <c r="B18" t="str">
        <f>VLOOKUP(B4,'Thang đánh giá'!$C$2:$D$27,2,FALSE)</f>
        <v>(0,1414; 0,2121; 0,2828)</v>
      </c>
      <c r="C18" t="str">
        <f>VLOOKUP(C4,'Thang đánh giá'!$C$2:$D$27,2,FALSE)</f>
        <v>(0; 0; 0,0707)</v>
      </c>
      <c r="D18" t="str">
        <f>VLOOKUP(D4,'Thang đánh giá'!$C$2:$D$27,2,FALSE)</f>
        <v>(0; 0; 0)</v>
      </c>
      <c r="E18" t="str">
        <f>VLOOKUP(E4,'Thang đánh giá'!$C$2:$D$27,2,FALSE)</f>
        <v>(0,0837; 0,1673; 0,251)</v>
      </c>
      <c r="F18" t="str">
        <f>VLOOKUP(F4,'Thang đánh giá'!$C$2:$D$27,2,FALSE)</f>
        <v>(0; 0; 0,0548)</v>
      </c>
      <c r="G18" t="str">
        <f>VLOOKUP(G4,'Thang đánh giá'!$C$2:$D$27,2,FALSE)</f>
        <v>(0,0707; 0,1414; 0,2121)</v>
      </c>
      <c r="H18" t="str">
        <f>VLOOKUP(H4,'Thang đánh giá'!$C$2:$D$27,2,FALSE)</f>
        <v>(0; 0,0707; 0,1414)</v>
      </c>
      <c r="I18" t="str">
        <f>VLOOKUP(I4,'Thang đánh giá'!$C$2:$D$27,2,FALSE)</f>
        <v>(0; 0,0707; 0,1414)</v>
      </c>
      <c r="J18" t="str">
        <f>VLOOKUP(J4,'Thang đánh giá'!$C$2:$D$27,2,FALSE)</f>
        <v>(0,2846; 0,3795; 0,3795)</v>
      </c>
      <c r="K18" t="str">
        <f>VLOOKUP(K4,'Thang đánh giá'!$C$2:$D$27,2,FALSE)</f>
        <v>(0,251; 0,3347; 0,3347)</v>
      </c>
      <c r="L18" t="str">
        <f>VLOOKUP(L4,'Thang đánh giá'!$C$2:$D$27,2,FALSE)</f>
        <v>(0,1897; 0,2846; 0,3795)</v>
      </c>
      <c r="M18" t="str">
        <f>VLOOKUP(M4,'Thang đánh giá'!$C$2:$D$27,2,FALSE)</f>
        <v>(0,1897; 0,2846; 0,3795)</v>
      </c>
    </row>
    <row r="19" spans="1:13" x14ac:dyDescent="0.3">
      <c r="A19" t="s">
        <v>3</v>
      </c>
      <c r="B19" t="str">
        <f>VLOOKUP(B5,'Thang đánh giá'!$C$2:$D$27,2,FALSE)</f>
        <v>(0; 0,0707; 0,1414)</v>
      </c>
      <c r="C19" t="str">
        <f>VLOOKUP(C5,'Thang đánh giá'!$C$2:$D$27,2,FALSE)</f>
        <v>(0; 0; 0,0707)</v>
      </c>
      <c r="D19" t="str">
        <f>VLOOKUP(D5,'Thang đánh giá'!$C$2:$D$27,2,FALSE)</f>
        <v>(0; 0; 0,0707)</v>
      </c>
      <c r="E19" t="str">
        <f>VLOOKUP(E5,'Thang đánh giá'!$C$2:$D$27,2,FALSE)</f>
        <v>(0; 0; 0)</v>
      </c>
      <c r="F19" t="str">
        <f>VLOOKUP(F5,'Thang đánh giá'!$C$2:$D$27,2,FALSE)</f>
        <v>(0; 0,0316; 0,0632)</v>
      </c>
      <c r="G19" t="str">
        <f>VLOOKUP(G5,'Thang đánh giá'!$C$2:$D$27,2,FALSE)</f>
        <v>(0; 0; 0,0548)</v>
      </c>
      <c r="H19" t="str">
        <f>VLOOKUP(H5,'Thang đánh giá'!$C$2:$D$27,2,FALSE)</f>
        <v>(0,1897; 0,2846; 0,3795)</v>
      </c>
      <c r="I19" t="str">
        <f>VLOOKUP(I5,'Thang đánh giá'!$C$2:$D$27,2,FALSE)</f>
        <v>(0; 0; 0,0707)</v>
      </c>
      <c r="J19" t="str">
        <f>VLOOKUP(J5,'Thang đánh giá'!$C$2:$D$27,2,FALSE)</f>
        <v>(0,1673; 0,251; 0,3347)</v>
      </c>
      <c r="K19" t="str">
        <f>VLOOKUP(K5,'Thang đánh giá'!$C$2:$D$27,2,FALSE)</f>
        <v>(0; 0,0707; 0,1414)</v>
      </c>
      <c r="L19" t="str">
        <f>VLOOKUP(L5,'Thang đánh giá'!$C$2:$D$27,2,FALSE)</f>
        <v>(0,1897; 0,2846; 0,3795)</v>
      </c>
      <c r="M19" t="str">
        <f>VLOOKUP(M5,'Thang đánh giá'!$C$2:$D$27,2,FALSE)</f>
        <v>(0,0837; 0,1673; 0,251)</v>
      </c>
    </row>
    <row r="20" spans="1:13" x14ac:dyDescent="0.3">
      <c r="A20" t="s">
        <v>4</v>
      </c>
      <c r="B20" t="str">
        <f>VLOOKUP(B6,'Thang đánh giá'!$C$2:$D$27,2,FALSE)</f>
        <v>(0; 0,0707; 0,1414)</v>
      </c>
      <c r="C20" t="str">
        <f>VLOOKUP(C6,'Thang đánh giá'!$C$2:$D$27,2,FALSE)</f>
        <v>(0; 0; 0,0707)</v>
      </c>
      <c r="D20" t="str">
        <f>VLOOKUP(D6,'Thang đánh giá'!$C$2:$D$27,2,FALSE)</f>
        <v>(0,0707; 0,1414; 0,2121)</v>
      </c>
      <c r="E20" t="str">
        <f>VLOOKUP(E6,'Thang đánh giá'!$C$2:$D$27,2,FALSE)</f>
        <v>(0; 0; 0,0707)</v>
      </c>
      <c r="F20" t="str">
        <f>VLOOKUP(F6,'Thang đánh giá'!$C$2:$D$27,2,FALSE)</f>
        <v>(0; 0; 0)</v>
      </c>
      <c r="G20" t="str">
        <f>VLOOKUP(G6,'Thang đánh giá'!$C$2:$D$27,2,FALSE)</f>
        <v>(0,1673; 0,251; 0,3347)</v>
      </c>
      <c r="H20" t="str">
        <f>VLOOKUP(H6,'Thang đánh giá'!$C$2:$D$27,2,FALSE)</f>
        <v>(0,0707; 0,1414; 0,2121)</v>
      </c>
      <c r="I20" t="str">
        <f>VLOOKUP(I6,'Thang đánh giá'!$C$2:$D$27,2,FALSE)</f>
        <v>(0,0707; 0,1414; 0,2121)</v>
      </c>
      <c r="J20" t="str">
        <f>VLOOKUP(J6,'Thang đánh giá'!$C$2:$D$27,2,FALSE)</f>
        <v>(0,251; 0,3347; 0,3347)</v>
      </c>
      <c r="K20" t="str">
        <f>VLOOKUP(K6,'Thang đánh giá'!$C$2:$D$27,2,FALSE)</f>
        <v>(0,1897; 0,2846; 0,3795)</v>
      </c>
      <c r="L20" t="str">
        <f>VLOOKUP(L6,'Thang đánh giá'!$C$2:$D$27,2,FALSE)</f>
        <v>(0,0707; 0,1414; 0,2121)</v>
      </c>
      <c r="M20" t="str">
        <f>VLOOKUP(M6,'Thang đánh giá'!$C$2:$D$27,2,FALSE)</f>
        <v>(0; 0,0707; 0,1414)</v>
      </c>
    </row>
    <row r="21" spans="1:13" x14ac:dyDescent="0.3">
      <c r="A21" t="s">
        <v>5</v>
      </c>
      <c r="B21" t="str">
        <f>VLOOKUP(B7,'Thang đánh giá'!$C$2:$D$27,2,FALSE)</f>
        <v>(0,0707; 0,1414; 0,2121)</v>
      </c>
      <c r="C21" t="str">
        <f>VLOOKUP(C7,'Thang đánh giá'!$C$2:$D$27,2,FALSE)</f>
        <v>(0; 0,0316; 0,0632)</v>
      </c>
      <c r="D21" t="str">
        <f>VLOOKUP(D7,'Thang đánh giá'!$C$2:$D$27,2,FALSE)</f>
        <v>(0; 0; 0,0548)</v>
      </c>
      <c r="E21" t="str">
        <f>VLOOKUP(E7,'Thang đánh giá'!$C$2:$D$27,2,FALSE)</f>
        <v>(0; 0; 0,0707)</v>
      </c>
      <c r="F21" t="str">
        <f>VLOOKUP(F7,'Thang đánh giá'!$C$2:$D$27,2,FALSE)</f>
        <v>(0; 0,0707; 0,1414)</v>
      </c>
      <c r="G21" t="str">
        <f>VLOOKUP(G7,'Thang đánh giá'!$C$2:$D$27,2,FALSE)</f>
        <v>(0; 0; 0)</v>
      </c>
      <c r="H21" t="str">
        <f>VLOOKUP(H7,'Thang đánh giá'!$C$2:$D$27,2,FALSE)</f>
        <v>(0; 0,0707; 0,1414)</v>
      </c>
      <c r="I21" t="str">
        <f>VLOOKUP(I7,'Thang đánh giá'!$C$2:$D$27,2,FALSE)</f>
        <v>(0,0707; 0,1414; 0,2121)</v>
      </c>
      <c r="J21" t="str">
        <f>VLOOKUP(J7,'Thang đánh giá'!$C$2:$D$27,2,FALSE)</f>
        <v>(0,1897; 0,2846; 0,3795)</v>
      </c>
      <c r="K21" t="str">
        <f>VLOOKUP(K7,'Thang đánh giá'!$C$2:$D$27,2,FALSE)</f>
        <v>(0; 0,0707; 0,1414)</v>
      </c>
      <c r="L21" t="str">
        <f>VLOOKUP(L7,'Thang đánh giá'!$C$2:$D$27,2,FALSE)</f>
        <v>(0; 0,0316; 0,0632)</v>
      </c>
      <c r="M21" t="str">
        <f>VLOOKUP(M7,'Thang đánh giá'!$C$2:$D$27,2,FALSE)</f>
        <v>(0; 0; 0,0316)</v>
      </c>
    </row>
    <row r="22" spans="1:13" x14ac:dyDescent="0.3">
      <c r="A22" t="s">
        <v>6</v>
      </c>
      <c r="B22" t="str">
        <f>VLOOKUP(B8,'Thang đánh giá'!$C$2:$D$27,2,FALSE)</f>
        <v>(0,0707; 0,1414; 0,2121)</v>
      </c>
      <c r="C22" t="str">
        <f>VLOOKUP(C8,'Thang đánh giá'!$C$2:$D$27,2,FALSE)</f>
        <v>(0; 0; 0,0316)</v>
      </c>
      <c r="D22" t="str">
        <f>VLOOKUP(D8,'Thang đánh giá'!$C$2:$D$27,2,FALSE)</f>
        <v>(0,0707; 0,1414; 0,2121)</v>
      </c>
      <c r="E22" t="str">
        <f>VLOOKUP(E8,'Thang đánh giá'!$C$2:$D$27,2,FALSE)</f>
        <v>(0; 0,0316; 0,0632)</v>
      </c>
      <c r="F22" t="str">
        <f>VLOOKUP(F8,'Thang đánh giá'!$C$2:$D$27,2,FALSE)</f>
        <v>(0; 0; 0,0707)</v>
      </c>
      <c r="G22" t="str">
        <f>VLOOKUP(G8,'Thang đánh giá'!$C$2:$D$27,2,FALSE)</f>
        <v>(0; 0,0707; 0,1414)</v>
      </c>
      <c r="H22" t="str">
        <f>VLOOKUP(H8,'Thang đánh giá'!$C$2:$D$27,2,FALSE)</f>
        <v>(0; 0; 0)</v>
      </c>
      <c r="I22" t="str">
        <f>VLOOKUP(I8,'Thang đánh giá'!$C$2:$D$27,2,FALSE)</f>
        <v>(0; 0,0707; 0,1414)</v>
      </c>
      <c r="J22" t="str">
        <f>VLOOKUP(J8,'Thang đánh giá'!$C$2:$D$27,2,FALSE)</f>
        <v>(0; 0; 0,0707)</v>
      </c>
      <c r="K22" t="str">
        <f>VLOOKUP(K8,'Thang đánh giá'!$C$2:$D$27,2,FALSE)</f>
        <v>(0; 0; 0,0548)</v>
      </c>
      <c r="L22" t="str">
        <f>VLOOKUP(L8,'Thang đánh giá'!$C$2:$D$27,2,FALSE)</f>
        <v>(0; 0; 0,0548)</v>
      </c>
      <c r="M22" t="str">
        <f>VLOOKUP(M8,'Thang đánh giá'!$C$2:$D$27,2,FALSE)</f>
        <v>(0; 0,0548; 0,1095)</v>
      </c>
    </row>
    <row r="23" spans="1:13" x14ac:dyDescent="0.3">
      <c r="A23" t="s">
        <v>7</v>
      </c>
      <c r="B23" t="str">
        <f>VLOOKUP(B9,'Thang đánh giá'!$C$2:$D$27,2,FALSE)</f>
        <v>(0; 0; 0,0707)</v>
      </c>
      <c r="C23" t="str">
        <f>VLOOKUP(C9,'Thang đánh giá'!$C$2:$D$27,2,FALSE)</f>
        <v>(0; 0; 0,0707)</v>
      </c>
      <c r="D23" t="str">
        <f>VLOOKUP(D9,'Thang đánh giá'!$C$2:$D$27,2,FALSE)</f>
        <v>(0; 0,0548; 0,1095)</v>
      </c>
      <c r="E23" t="str">
        <f>VLOOKUP(E9,'Thang đánh giá'!$C$2:$D$27,2,FALSE)</f>
        <v>(0; 0,0707; 0,1414)</v>
      </c>
      <c r="F23" t="str">
        <f>VLOOKUP(F9,'Thang đánh giá'!$C$2:$D$27,2,FALSE)</f>
        <v>(0; 0; 0,0837)</v>
      </c>
      <c r="G23" t="str">
        <f>VLOOKUP(G9,'Thang đánh giá'!$C$2:$D$27,2,FALSE)</f>
        <v>(0; 0,0548; 0,1095)</v>
      </c>
      <c r="H23" t="str">
        <f>VLOOKUP(H9,'Thang đánh giá'!$C$2:$D$27,2,FALSE)</f>
        <v>(0; 0,0707; 0,1414)</v>
      </c>
      <c r="I23" t="str">
        <f>VLOOKUP(I9,'Thang đánh giá'!$C$2:$D$27,2,FALSE)</f>
        <v>(0; 0; 0)</v>
      </c>
      <c r="J23" t="str">
        <f>VLOOKUP(J9,'Thang đánh giá'!$C$2:$D$27,2,FALSE)</f>
        <v>(0,1897; 0,2846; 0,3795)</v>
      </c>
      <c r="K23" t="str">
        <f>VLOOKUP(K9,'Thang đánh giá'!$C$2:$D$27,2,FALSE)</f>
        <v>(0,1897; 0,2846; 0,3795)</v>
      </c>
      <c r="L23" t="str">
        <f>VLOOKUP(L9,'Thang đánh giá'!$C$2:$D$27,2,FALSE)</f>
        <v>(0,2846; 0,3795; 0,3795)</v>
      </c>
      <c r="M23" t="str">
        <f>VLOOKUP(M9,'Thang đánh giá'!$C$2:$D$27,2,FALSE)</f>
        <v>(0,2846; 0,3795; 0,3795)</v>
      </c>
    </row>
    <row r="24" spans="1:13" x14ac:dyDescent="0.3">
      <c r="A24" t="s">
        <v>8</v>
      </c>
      <c r="B24" t="str">
        <f>VLOOKUP(B10,'Thang đánh giá'!$C$2:$D$27,2,FALSE)</f>
        <v>(0,0837; 0,1673; 0,251)</v>
      </c>
      <c r="C24" t="str">
        <f>VLOOKUP(C10,'Thang đánh giá'!$C$2:$D$27,2,FALSE)</f>
        <v>(0; 0,0707; 0,1414)</v>
      </c>
      <c r="D24" t="str">
        <f>VLOOKUP(D10,'Thang đánh giá'!$C$2:$D$27,2,FALSE)</f>
        <v>(0; 0,0707; 0,1414)</v>
      </c>
      <c r="E24" t="str">
        <f>VLOOKUP(E10,'Thang đánh giá'!$C$2:$D$27,2,FALSE)</f>
        <v>(0; 0,0548; 0,1095)</v>
      </c>
      <c r="F24" t="str">
        <f>VLOOKUP(F10,'Thang đánh giá'!$C$2:$D$27,2,FALSE)</f>
        <v>(0; 0,0548; 0,1095)</v>
      </c>
      <c r="G24" t="str">
        <f>VLOOKUP(G10,'Thang đánh giá'!$C$2:$D$27,2,FALSE)</f>
        <v>(0; 0,0707; 0,1414)</v>
      </c>
      <c r="H24" t="str">
        <f>VLOOKUP(H10,'Thang đánh giá'!$C$2:$D$27,2,FALSE)</f>
        <v>(0,2846; 0,3795; 0,3795)</v>
      </c>
      <c r="I24" t="str">
        <f>VLOOKUP(I10,'Thang đánh giá'!$C$2:$D$27,2,FALSE)</f>
        <v>(0; 0,0707; 0,1414)</v>
      </c>
      <c r="J24" t="str">
        <f>VLOOKUP(J10,'Thang đánh giá'!$C$2:$D$27,2,FALSE)</f>
        <v>(0; 0; 0)</v>
      </c>
      <c r="K24" t="str">
        <f>VLOOKUP(K10,'Thang đánh giá'!$C$2:$D$27,2,FALSE)</f>
        <v>(0,251; 0,3347; 0,3347)</v>
      </c>
      <c r="L24" t="str">
        <f>VLOOKUP(L10,'Thang đánh giá'!$C$2:$D$27,2,FALSE)</f>
        <v>(0,2846; 0,3795; 0,3795)</v>
      </c>
      <c r="M24" t="str">
        <f>VLOOKUP(M10,'Thang đánh giá'!$C$2:$D$27,2,FALSE)</f>
        <v>(0,1897; 0,2846; 0,3795)</v>
      </c>
    </row>
    <row r="25" spans="1:13" x14ac:dyDescent="0.3">
      <c r="A25" t="s">
        <v>9</v>
      </c>
      <c r="B25" t="str">
        <f>VLOOKUP(B11,'Thang đánh giá'!$C$2:$D$27,2,FALSE)</f>
        <v>(0; 0,0707; 0,1414)</v>
      </c>
      <c r="C25" t="str">
        <f>VLOOKUP(C11,'Thang đánh giá'!$C$2:$D$27,2,FALSE)</f>
        <v>(0; 0,0837; 0,1673)</v>
      </c>
      <c r="D25" t="str">
        <f>VLOOKUP(D11,'Thang đánh giá'!$C$2:$D$27,2,FALSE)</f>
        <v>(0; 0; 0,0707)</v>
      </c>
      <c r="E25" t="str">
        <f>VLOOKUP(E11,'Thang đánh giá'!$C$2:$D$27,2,FALSE)</f>
        <v>(0; 0; 0,0548)</v>
      </c>
      <c r="F25" t="str">
        <f>VLOOKUP(F11,'Thang đánh giá'!$C$2:$D$27,2,FALSE)</f>
        <v>(0; 0; 0,0548)</v>
      </c>
      <c r="G25" t="str">
        <f>VLOOKUP(G11,'Thang đánh giá'!$C$2:$D$27,2,FALSE)</f>
        <v>(0; 0,0548; 0,1095)</v>
      </c>
      <c r="H25" t="str">
        <f>VLOOKUP(H11,'Thang đánh giá'!$C$2:$D$27,2,FALSE)</f>
        <v>(0; 0; 0,0548)</v>
      </c>
      <c r="I25" t="str">
        <f>VLOOKUP(I11,'Thang đánh giá'!$C$2:$D$27,2,FALSE)</f>
        <v>(0; 0; 0,0707)</v>
      </c>
      <c r="J25" t="str">
        <f>VLOOKUP(J11,'Thang đánh giá'!$C$2:$D$27,2,FALSE)</f>
        <v>(0; 0; 0,0707)</v>
      </c>
      <c r="K25" t="str">
        <f>VLOOKUP(K11,'Thang đánh giá'!$C$2:$D$27,2,FALSE)</f>
        <v>(0; 0; 0)</v>
      </c>
      <c r="L25" t="str">
        <f>VLOOKUP(L11,'Thang đánh giá'!$C$2:$D$27,2,FALSE)</f>
        <v>(0; 0; 0,0707)</v>
      </c>
      <c r="M25" t="str">
        <f>VLOOKUP(M11,'Thang đánh giá'!$C$2:$D$27,2,FALSE)</f>
        <v>(0; 0,0707; 0,1414)</v>
      </c>
    </row>
    <row r="26" spans="1:13" x14ac:dyDescent="0.3">
      <c r="A26" t="s">
        <v>10</v>
      </c>
      <c r="B26" t="str">
        <f>VLOOKUP(B12,'Thang đánh giá'!$C$2:$D$27,2,FALSE)</f>
        <v>(0; 0; 0,0548)</v>
      </c>
      <c r="C26" t="str">
        <f>VLOOKUP(C12,'Thang đánh giá'!$C$2:$D$27,2,FALSE)</f>
        <v>(0; 0; 0,0548)</v>
      </c>
      <c r="D26" t="str">
        <f>VLOOKUP(D12,'Thang đánh giá'!$C$2:$D$27,2,FALSE)</f>
        <v>(0; 0,0837; 0,1673)</v>
      </c>
      <c r="E26" t="str">
        <f>VLOOKUP(E12,'Thang đánh giá'!$C$2:$D$27,2,FALSE)</f>
        <v>(0; 0; 0,0316)</v>
      </c>
      <c r="F26" t="str">
        <f>VLOOKUP(F12,'Thang đánh giá'!$C$2:$D$27,2,FALSE)</f>
        <v>(0; 0,0316; 0,0632)</v>
      </c>
      <c r="G26" t="str">
        <f>VLOOKUP(G12,'Thang đánh giá'!$C$2:$D$27,2,FALSE)</f>
        <v>(0; 0; 0,0316)</v>
      </c>
      <c r="H26" t="str">
        <f>VLOOKUP(H12,'Thang đánh giá'!$C$2:$D$27,2,FALSE)</f>
        <v>(0; 0,0707; 0,1414)</v>
      </c>
      <c r="I26" t="str">
        <f>VLOOKUP(I12,'Thang đánh giá'!$C$2:$D$27,2,FALSE)</f>
        <v>(0; 0,0707; 0,1414)</v>
      </c>
      <c r="J26" t="str">
        <f>VLOOKUP(J12,'Thang đánh giá'!$C$2:$D$27,2,FALSE)</f>
        <v>(0; 0,0548; 0,1095)</v>
      </c>
      <c r="K26" t="str">
        <f>VLOOKUP(K12,'Thang đánh giá'!$C$2:$D$27,2,FALSE)</f>
        <v>(0; 0,0548; 0,1095)</v>
      </c>
      <c r="L26" t="str">
        <f>VLOOKUP(L12,'Thang đánh giá'!$C$2:$D$27,2,FALSE)</f>
        <v>(0; 0; 0)</v>
      </c>
      <c r="M26" t="str">
        <f>VLOOKUP(M12,'Thang đánh giá'!$C$2:$D$27,2,FALSE)</f>
        <v>(0,1897; 0,2846; 0,3795)</v>
      </c>
    </row>
    <row r="27" spans="1:13" x14ac:dyDescent="0.3">
      <c r="A27" t="s">
        <v>11</v>
      </c>
      <c r="B27" t="str">
        <f>VLOOKUP(B13,'Thang đánh giá'!$C$2:$D$27,2,FALSE)</f>
        <v>(0; 0; 0,0707)</v>
      </c>
      <c r="C27" t="str">
        <f>VLOOKUP(C13,'Thang đánh giá'!$C$2:$D$27,2,FALSE)</f>
        <v>(0; 0; 0,0316)</v>
      </c>
      <c r="D27" t="str">
        <f>VLOOKUP(D13,'Thang đánh giá'!$C$2:$D$27,2,FALSE)</f>
        <v>(0; 0; 0,0548)</v>
      </c>
      <c r="E27" t="str">
        <f>VLOOKUP(E13,'Thang đánh giá'!$C$2:$D$27,2,FALSE)</f>
        <v>(0; 0; 0,0707)</v>
      </c>
      <c r="F27" t="str">
        <f>VLOOKUP(F13,'Thang đánh giá'!$C$2:$D$27,2,FALSE)</f>
        <v>(0; 0,0548; 0,1095)</v>
      </c>
      <c r="G27" t="str">
        <f>VLOOKUP(G13,'Thang đánh giá'!$C$2:$D$27,2,FALSE)</f>
        <v>(0; 0,0707; 0,1414)</v>
      </c>
      <c r="H27" t="str">
        <f>VLOOKUP(H13,'Thang đánh giá'!$C$2:$D$27,2,FALSE)</f>
        <v>(0,0837; 0,1673; 0,251)</v>
      </c>
      <c r="I27" t="str">
        <f>VLOOKUP(I13,'Thang đánh giá'!$C$2:$D$27,2,FALSE)</f>
        <v>(0; 0; 0,0548)</v>
      </c>
      <c r="J27" t="str">
        <f>VLOOKUP(J13,'Thang đánh giá'!$C$2:$D$27,2,FALSE)</f>
        <v>(0; 0; 0,0548)</v>
      </c>
      <c r="K27" t="str">
        <f>VLOOKUP(K13,'Thang đánh giá'!$C$2:$D$27,2,FALSE)</f>
        <v>(0; 0; 0,0837)</v>
      </c>
      <c r="L27" t="str">
        <f>VLOOKUP(L13,'Thang đánh giá'!$C$2:$D$27,2,FALSE)</f>
        <v>(0; 0; 0,0548)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0.1673</v>
      </c>
      <c r="D30">
        <f t="shared" si="0"/>
        <v>0.18970000000000001</v>
      </c>
      <c r="E30">
        <f t="shared" si="0"/>
        <v>0</v>
      </c>
      <c r="F30">
        <f t="shared" si="0"/>
        <v>0</v>
      </c>
      <c r="G30">
        <f t="shared" si="0"/>
        <v>0</v>
      </c>
      <c r="H30">
        <f t="shared" si="0"/>
        <v>0</v>
      </c>
      <c r="I30">
        <f t="shared" si="0"/>
        <v>0</v>
      </c>
      <c r="J30">
        <f t="shared" si="0"/>
        <v>0.18970000000000001</v>
      </c>
      <c r="K30">
        <f t="shared" si="0"/>
        <v>0</v>
      </c>
      <c r="L30">
        <f t="shared" si="0"/>
        <v>0</v>
      </c>
      <c r="M30">
        <f t="shared" si="0"/>
        <v>0</v>
      </c>
    </row>
    <row r="31" spans="1:13" x14ac:dyDescent="0.3">
      <c r="A31" t="s">
        <v>1</v>
      </c>
      <c r="B31">
        <f t="shared" ref="B31:M41" si="1">_xlfn.NUMBERVALUE(MID(B17,2,FIND(";",B17,1)-2))</f>
        <v>7.0699999999999999E-2</v>
      </c>
      <c r="C31">
        <f t="shared" si="1"/>
        <v>0</v>
      </c>
      <c r="D31">
        <f t="shared" si="1"/>
        <v>0.28460000000000002</v>
      </c>
      <c r="E31">
        <f t="shared" si="1"/>
        <v>0.28460000000000002</v>
      </c>
      <c r="F31">
        <f t="shared" si="1"/>
        <v>0.1673</v>
      </c>
      <c r="G31">
        <f t="shared" si="1"/>
        <v>0</v>
      </c>
      <c r="H31">
        <f t="shared" si="1"/>
        <v>0</v>
      </c>
      <c r="I31">
        <f t="shared" si="1"/>
        <v>0</v>
      </c>
      <c r="J31">
        <f t="shared" si="1"/>
        <v>0.1673</v>
      </c>
      <c r="K31">
        <f t="shared" si="1"/>
        <v>0.28460000000000002</v>
      </c>
      <c r="L31">
        <f t="shared" si="1"/>
        <v>0.1673</v>
      </c>
      <c r="M31">
        <f t="shared" si="1"/>
        <v>0.28460000000000002</v>
      </c>
    </row>
    <row r="32" spans="1:13" x14ac:dyDescent="0.3">
      <c r="A32" t="s">
        <v>2</v>
      </c>
      <c r="B32">
        <f t="shared" si="1"/>
        <v>0.1414</v>
      </c>
      <c r="C32">
        <f t="shared" si="1"/>
        <v>0</v>
      </c>
      <c r="D32">
        <f t="shared" si="1"/>
        <v>0</v>
      </c>
      <c r="E32">
        <f t="shared" si="1"/>
        <v>8.3699999999999997E-2</v>
      </c>
      <c r="F32">
        <f t="shared" si="1"/>
        <v>0</v>
      </c>
      <c r="G32">
        <f t="shared" si="1"/>
        <v>7.0699999999999999E-2</v>
      </c>
      <c r="H32">
        <f t="shared" si="1"/>
        <v>0</v>
      </c>
      <c r="I32">
        <f t="shared" si="1"/>
        <v>0</v>
      </c>
      <c r="J32">
        <f t="shared" si="1"/>
        <v>0.28460000000000002</v>
      </c>
      <c r="K32">
        <f t="shared" si="1"/>
        <v>0.251</v>
      </c>
      <c r="L32">
        <f t="shared" si="1"/>
        <v>0.18970000000000001</v>
      </c>
      <c r="M32">
        <f t="shared" si="1"/>
        <v>0.18970000000000001</v>
      </c>
    </row>
    <row r="33" spans="1:13" x14ac:dyDescent="0.3">
      <c r="A33" t="s">
        <v>3</v>
      </c>
      <c r="B33">
        <f t="shared" si="1"/>
        <v>0</v>
      </c>
      <c r="C33">
        <f t="shared" si="1"/>
        <v>0</v>
      </c>
      <c r="D33">
        <f t="shared" si="1"/>
        <v>0</v>
      </c>
      <c r="E33">
        <f t="shared" si="1"/>
        <v>0</v>
      </c>
      <c r="F33">
        <f t="shared" si="1"/>
        <v>0</v>
      </c>
      <c r="G33">
        <f t="shared" si="1"/>
        <v>0</v>
      </c>
      <c r="H33">
        <f t="shared" si="1"/>
        <v>0.18970000000000001</v>
      </c>
      <c r="I33">
        <f t="shared" si="1"/>
        <v>0</v>
      </c>
      <c r="J33">
        <f t="shared" si="1"/>
        <v>0.1673</v>
      </c>
      <c r="K33">
        <f t="shared" si="1"/>
        <v>0</v>
      </c>
      <c r="L33">
        <f t="shared" si="1"/>
        <v>0.18970000000000001</v>
      </c>
      <c r="M33">
        <f t="shared" si="1"/>
        <v>8.3699999999999997E-2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0</v>
      </c>
      <c r="D34">
        <f t="shared" si="2"/>
        <v>7.0699999999999999E-2</v>
      </c>
      <c r="E34">
        <f t="shared" si="2"/>
        <v>0</v>
      </c>
      <c r="F34">
        <f t="shared" si="2"/>
        <v>0</v>
      </c>
      <c r="G34">
        <f t="shared" si="2"/>
        <v>0.1673</v>
      </c>
      <c r="H34">
        <f t="shared" si="2"/>
        <v>7.0699999999999999E-2</v>
      </c>
      <c r="I34">
        <f t="shared" si="2"/>
        <v>7.0699999999999999E-2</v>
      </c>
      <c r="J34">
        <f t="shared" si="2"/>
        <v>0.251</v>
      </c>
      <c r="K34">
        <f t="shared" si="2"/>
        <v>0.18970000000000001</v>
      </c>
      <c r="L34">
        <f t="shared" si="2"/>
        <v>7.0699999999999999E-2</v>
      </c>
      <c r="M34">
        <f t="shared" si="2"/>
        <v>0</v>
      </c>
    </row>
    <row r="35" spans="1:13" x14ac:dyDescent="0.3">
      <c r="A35" t="s">
        <v>5</v>
      </c>
      <c r="B35">
        <f t="shared" si="1"/>
        <v>7.0699999999999999E-2</v>
      </c>
      <c r="C35">
        <f t="shared" si="1"/>
        <v>0</v>
      </c>
      <c r="D35">
        <f t="shared" si="1"/>
        <v>0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7.0699999999999999E-2</v>
      </c>
      <c r="J35">
        <f t="shared" si="1"/>
        <v>0.18970000000000001</v>
      </c>
      <c r="K35">
        <f t="shared" si="1"/>
        <v>0</v>
      </c>
      <c r="L35">
        <f t="shared" si="1"/>
        <v>0</v>
      </c>
      <c r="M35">
        <f t="shared" si="1"/>
        <v>0</v>
      </c>
    </row>
    <row r="36" spans="1:13" x14ac:dyDescent="0.3">
      <c r="A36" t="s">
        <v>6</v>
      </c>
      <c r="B36">
        <f t="shared" si="1"/>
        <v>7.0699999999999999E-2</v>
      </c>
      <c r="C36">
        <f t="shared" si="1"/>
        <v>0</v>
      </c>
      <c r="D36">
        <f t="shared" si="1"/>
        <v>7.0699999999999999E-2</v>
      </c>
      <c r="E36">
        <f t="shared" si="1"/>
        <v>0</v>
      </c>
      <c r="F36">
        <f t="shared" si="1"/>
        <v>0</v>
      </c>
      <c r="G36">
        <f t="shared" si="1"/>
        <v>0</v>
      </c>
      <c r="H36">
        <f t="shared" si="1"/>
        <v>0</v>
      </c>
      <c r="I36">
        <f t="shared" si="1"/>
        <v>0</v>
      </c>
      <c r="J36">
        <f t="shared" si="1"/>
        <v>0</v>
      </c>
      <c r="K36">
        <f t="shared" si="1"/>
        <v>0</v>
      </c>
      <c r="L36">
        <f t="shared" si="1"/>
        <v>0</v>
      </c>
      <c r="M36">
        <f t="shared" si="1"/>
        <v>0</v>
      </c>
    </row>
    <row r="37" spans="1:13" x14ac:dyDescent="0.3">
      <c r="A37" t="s">
        <v>7</v>
      </c>
      <c r="B37">
        <f t="shared" si="1"/>
        <v>0</v>
      </c>
      <c r="C37">
        <f t="shared" si="1"/>
        <v>0</v>
      </c>
      <c r="D37">
        <f t="shared" si="1"/>
        <v>0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0.18970000000000001</v>
      </c>
      <c r="K37">
        <f t="shared" si="1"/>
        <v>0.18970000000000001</v>
      </c>
      <c r="L37">
        <f t="shared" si="1"/>
        <v>0.28460000000000002</v>
      </c>
      <c r="M37">
        <f t="shared" si="1"/>
        <v>0.28460000000000002</v>
      </c>
    </row>
    <row r="38" spans="1:13" x14ac:dyDescent="0.3">
      <c r="A38" t="s">
        <v>8</v>
      </c>
      <c r="B38">
        <f t="shared" si="1"/>
        <v>8.3699999999999997E-2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0.28460000000000002</v>
      </c>
      <c r="I38">
        <f t="shared" si="1"/>
        <v>0</v>
      </c>
      <c r="J38">
        <f t="shared" si="1"/>
        <v>0</v>
      </c>
      <c r="K38">
        <f t="shared" si="1"/>
        <v>0.251</v>
      </c>
      <c r="L38">
        <f t="shared" si="1"/>
        <v>0.28460000000000002</v>
      </c>
      <c r="M38">
        <f t="shared" si="1"/>
        <v>0.18970000000000001</v>
      </c>
    </row>
    <row r="39" spans="1:13" x14ac:dyDescent="0.3">
      <c r="A39" t="s">
        <v>9</v>
      </c>
      <c r="B39">
        <f t="shared" si="1"/>
        <v>0</v>
      </c>
      <c r="C39">
        <f t="shared" si="1"/>
        <v>0</v>
      </c>
      <c r="D39">
        <f t="shared" si="1"/>
        <v>0</v>
      </c>
      <c r="E39">
        <f t="shared" si="1"/>
        <v>0</v>
      </c>
      <c r="F39">
        <f t="shared" si="1"/>
        <v>0</v>
      </c>
      <c r="G39">
        <f t="shared" si="1"/>
        <v>0</v>
      </c>
      <c r="H39">
        <f t="shared" si="1"/>
        <v>0</v>
      </c>
      <c r="I39">
        <f t="shared" si="1"/>
        <v>0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0</v>
      </c>
    </row>
    <row r="40" spans="1:13" x14ac:dyDescent="0.3">
      <c r="A40" t="s">
        <v>10</v>
      </c>
      <c r="B40">
        <f t="shared" si="1"/>
        <v>0</v>
      </c>
      <c r="C40">
        <f t="shared" si="1"/>
        <v>0</v>
      </c>
      <c r="D40">
        <f t="shared" si="1"/>
        <v>0</v>
      </c>
      <c r="E40">
        <f t="shared" si="1"/>
        <v>0</v>
      </c>
      <c r="F40">
        <f t="shared" si="1"/>
        <v>0</v>
      </c>
      <c r="G40">
        <f t="shared" si="1"/>
        <v>0</v>
      </c>
      <c r="H40">
        <f t="shared" si="1"/>
        <v>0</v>
      </c>
      <c r="I40">
        <f t="shared" si="1"/>
        <v>0</v>
      </c>
      <c r="J40">
        <f t="shared" si="1"/>
        <v>0</v>
      </c>
      <c r="K40">
        <f t="shared" si="1"/>
        <v>0</v>
      </c>
      <c r="L40">
        <f t="shared" si="1"/>
        <v>0</v>
      </c>
      <c r="M40">
        <f t="shared" si="1"/>
        <v>0.18970000000000001</v>
      </c>
    </row>
    <row r="41" spans="1:13" x14ac:dyDescent="0.3">
      <c r="A41" t="s">
        <v>11</v>
      </c>
      <c r="B41">
        <f t="shared" si="1"/>
        <v>0</v>
      </c>
      <c r="C41">
        <f t="shared" si="1"/>
        <v>0</v>
      </c>
      <c r="D41">
        <f t="shared" si="1"/>
        <v>0</v>
      </c>
      <c r="E41">
        <f t="shared" si="1"/>
        <v>0</v>
      </c>
      <c r="F41">
        <f t="shared" si="1"/>
        <v>0</v>
      </c>
      <c r="G41">
        <f t="shared" si="1"/>
        <v>0</v>
      </c>
      <c r="H41">
        <f t="shared" si="1"/>
        <v>8.3699999999999997E-2</v>
      </c>
      <c r="I41">
        <f t="shared" si="1"/>
        <v>0</v>
      </c>
      <c r="J41">
        <f t="shared" si="1"/>
        <v>0</v>
      </c>
      <c r="K41">
        <f t="shared" si="1"/>
        <v>0</v>
      </c>
      <c r="L41">
        <f t="shared" si="1"/>
        <v>0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0.251</v>
      </c>
      <c r="D44">
        <f t="shared" si="3"/>
        <v>0.28460000000000002</v>
      </c>
      <c r="E44">
        <f t="shared" si="3"/>
        <v>7.0699999999999999E-2</v>
      </c>
      <c r="F44">
        <f t="shared" si="3"/>
        <v>0</v>
      </c>
      <c r="G44">
        <f t="shared" si="3"/>
        <v>7.0699999999999999E-2</v>
      </c>
      <c r="H44">
        <f t="shared" si="3"/>
        <v>5.4800000000000001E-2</v>
      </c>
      <c r="I44">
        <f t="shared" si="3"/>
        <v>3.1600000000000003E-2</v>
      </c>
      <c r="J44">
        <f t="shared" si="3"/>
        <v>0.28460000000000002</v>
      </c>
      <c r="K44">
        <f t="shared" si="3"/>
        <v>5.4800000000000001E-2</v>
      </c>
      <c r="L44">
        <f t="shared" si="3"/>
        <v>0</v>
      </c>
      <c r="M44">
        <f t="shared" si="3"/>
        <v>0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0.1414</v>
      </c>
      <c r="C45">
        <f t="shared" si="4"/>
        <v>0</v>
      </c>
      <c r="D45">
        <f t="shared" si="4"/>
        <v>0.3795</v>
      </c>
      <c r="E45">
        <f t="shared" si="4"/>
        <v>0.3795</v>
      </c>
      <c r="F45">
        <f t="shared" si="4"/>
        <v>0.251</v>
      </c>
      <c r="G45">
        <f t="shared" si="4"/>
        <v>5.4800000000000001E-2</v>
      </c>
      <c r="H45">
        <f t="shared" si="4"/>
        <v>0</v>
      </c>
      <c r="I45">
        <f t="shared" si="4"/>
        <v>0</v>
      </c>
      <c r="J45">
        <f t="shared" si="4"/>
        <v>0.251</v>
      </c>
      <c r="K45">
        <f t="shared" si="4"/>
        <v>0.3795</v>
      </c>
      <c r="L45">
        <f t="shared" si="4"/>
        <v>0.251</v>
      </c>
      <c r="M45">
        <f t="shared" si="4"/>
        <v>0.3795</v>
      </c>
    </row>
    <row r="46" spans="1:13" x14ac:dyDescent="0.3">
      <c r="A46" t="s">
        <v>2</v>
      </c>
      <c r="B46">
        <f t="shared" si="4"/>
        <v>0.21210000000000001</v>
      </c>
      <c r="C46">
        <f t="shared" si="4"/>
        <v>0</v>
      </c>
      <c r="D46">
        <f t="shared" si="4"/>
        <v>0</v>
      </c>
      <c r="E46">
        <f t="shared" si="4"/>
        <v>0.1673</v>
      </c>
      <c r="F46">
        <f t="shared" si="4"/>
        <v>0</v>
      </c>
      <c r="G46">
        <f t="shared" si="4"/>
        <v>0.1414</v>
      </c>
      <c r="H46">
        <f t="shared" si="4"/>
        <v>7.0699999999999999E-2</v>
      </c>
      <c r="I46">
        <f t="shared" si="4"/>
        <v>7.0699999999999999E-2</v>
      </c>
      <c r="J46">
        <f t="shared" si="4"/>
        <v>0.3795</v>
      </c>
      <c r="K46">
        <f t="shared" si="4"/>
        <v>0.3347</v>
      </c>
      <c r="L46">
        <f t="shared" si="4"/>
        <v>0.28460000000000002</v>
      </c>
      <c r="M46">
        <f t="shared" si="4"/>
        <v>0.28460000000000002</v>
      </c>
    </row>
    <row r="47" spans="1:13" x14ac:dyDescent="0.3">
      <c r="A47" t="s">
        <v>3</v>
      </c>
      <c r="B47">
        <f t="shared" si="4"/>
        <v>7.0699999999999999E-2</v>
      </c>
      <c r="C47">
        <f t="shared" si="4"/>
        <v>0</v>
      </c>
      <c r="D47">
        <f t="shared" si="4"/>
        <v>0</v>
      </c>
      <c r="E47">
        <f t="shared" si="4"/>
        <v>0</v>
      </c>
      <c r="F47">
        <f t="shared" si="4"/>
        <v>3.1600000000000003E-2</v>
      </c>
      <c r="G47">
        <f t="shared" si="4"/>
        <v>0</v>
      </c>
      <c r="H47">
        <f t="shared" si="4"/>
        <v>0.28460000000000002</v>
      </c>
      <c r="I47">
        <f t="shared" si="4"/>
        <v>0</v>
      </c>
      <c r="J47">
        <f t="shared" si="4"/>
        <v>0.251</v>
      </c>
      <c r="K47">
        <f t="shared" si="4"/>
        <v>7.0699999999999999E-2</v>
      </c>
      <c r="L47">
        <f t="shared" si="4"/>
        <v>0.28460000000000002</v>
      </c>
      <c r="M47">
        <f t="shared" si="4"/>
        <v>0.1673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7.0699999999999999E-2</v>
      </c>
      <c r="C48">
        <f t="shared" si="5"/>
        <v>0</v>
      </c>
      <c r="D48">
        <f t="shared" si="5"/>
        <v>0.1414</v>
      </c>
      <c r="E48">
        <f t="shared" si="5"/>
        <v>0</v>
      </c>
      <c r="F48">
        <f t="shared" si="5"/>
        <v>0</v>
      </c>
      <c r="G48">
        <f t="shared" si="5"/>
        <v>0.251</v>
      </c>
      <c r="H48">
        <f t="shared" si="5"/>
        <v>0.1414</v>
      </c>
      <c r="I48">
        <f t="shared" si="5"/>
        <v>0.1414</v>
      </c>
      <c r="J48">
        <f t="shared" si="5"/>
        <v>0.3347</v>
      </c>
      <c r="K48">
        <f t="shared" si="5"/>
        <v>0.28460000000000002</v>
      </c>
      <c r="L48">
        <f t="shared" si="5"/>
        <v>0.1414</v>
      </c>
      <c r="M48">
        <f t="shared" si="5"/>
        <v>7.0699999999999999E-2</v>
      </c>
    </row>
    <row r="49" spans="1:13" x14ac:dyDescent="0.3">
      <c r="A49" t="s">
        <v>5</v>
      </c>
      <c r="B49">
        <f t="shared" si="4"/>
        <v>0.1414</v>
      </c>
      <c r="C49">
        <f t="shared" si="4"/>
        <v>3.1600000000000003E-2</v>
      </c>
      <c r="D49">
        <f t="shared" si="4"/>
        <v>0</v>
      </c>
      <c r="E49">
        <f t="shared" si="4"/>
        <v>0</v>
      </c>
      <c r="F49">
        <f t="shared" si="4"/>
        <v>7.0699999999999999E-2</v>
      </c>
      <c r="G49">
        <f t="shared" si="4"/>
        <v>0</v>
      </c>
      <c r="H49">
        <f t="shared" si="4"/>
        <v>7.0699999999999999E-2</v>
      </c>
      <c r="I49">
        <f t="shared" si="4"/>
        <v>0.1414</v>
      </c>
      <c r="J49">
        <f t="shared" si="4"/>
        <v>0.28460000000000002</v>
      </c>
      <c r="K49">
        <f t="shared" si="4"/>
        <v>7.0699999999999999E-2</v>
      </c>
      <c r="L49">
        <f t="shared" si="4"/>
        <v>3.1600000000000003E-2</v>
      </c>
      <c r="M49">
        <f t="shared" si="4"/>
        <v>0</v>
      </c>
    </row>
    <row r="50" spans="1:13" x14ac:dyDescent="0.3">
      <c r="A50" t="s">
        <v>6</v>
      </c>
      <c r="B50">
        <f t="shared" si="4"/>
        <v>0.1414</v>
      </c>
      <c r="C50">
        <f t="shared" si="4"/>
        <v>0</v>
      </c>
      <c r="D50">
        <f t="shared" si="4"/>
        <v>0.1414</v>
      </c>
      <c r="E50">
        <f t="shared" si="4"/>
        <v>3.1600000000000003E-2</v>
      </c>
      <c r="F50">
        <f t="shared" si="4"/>
        <v>0</v>
      </c>
      <c r="G50">
        <f t="shared" si="4"/>
        <v>7.0699999999999999E-2</v>
      </c>
      <c r="H50">
        <f t="shared" si="4"/>
        <v>0</v>
      </c>
      <c r="I50">
        <f t="shared" si="4"/>
        <v>7.0699999999999999E-2</v>
      </c>
      <c r="J50">
        <f t="shared" si="4"/>
        <v>0</v>
      </c>
      <c r="K50">
        <f t="shared" si="4"/>
        <v>0</v>
      </c>
      <c r="L50">
        <f t="shared" si="4"/>
        <v>0</v>
      </c>
      <c r="M50">
        <f t="shared" si="4"/>
        <v>5.4800000000000001E-2</v>
      </c>
    </row>
    <row r="51" spans="1:13" x14ac:dyDescent="0.3">
      <c r="A51" t="s">
        <v>7</v>
      </c>
      <c r="B51">
        <f t="shared" si="4"/>
        <v>0</v>
      </c>
      <c r="C51">
        <f t="shared" si="4"/>
        <v>0</v>
      </c>
      <c r="D51">
        <f t="shared" si="4"/>
        <v>5.4800000000000001E-2</v>
      </c>
      <c r="E51">
        <f t="shared" si="4"/>
        <v>7.0699999999999999E-2</v>
      </c>
      <c r="F51">
        <f t="shared" si="4"/>
        <v>0</v>
      </c>
      <c r="G51">
        <f t="shared" si="4"/>
        <v>5.4800000000000001E-2</v>
      </c>
      <c r="H51">
        <f t="shared" si="4"/>
        <v>7.0699999999999999E-2</v>
      </c>
      <c r="I51">
        <f t="shared" si="4"/>
        <v>0</v>
      </c>
      <c r="J51">
        <f t="shared" si="4"/>
        <v>0.28460000000000002</v>
      </c>
      <c r="K51">
        <f t="shared" si="4"/>
        <v>0.28460000000000002</v>
      </c>
      <c r="L51">
        <f t="shared" si="4"/>
        <v>0.3795</v>
      </c>
      <c r="M51">
        <f t="shared" si="4"/>
        <v>0.3795</v>
      </c>
    </row>
    <row r="52" spans="1:13" x14ac:dyDescent="0.3">
      <c r="A52" t="s">
        <v>8</v>
      </c>
      <c r="B52">
        <f t="shared" si="4"/>
        <v>0.1673</v>
      </c>
      <c r="C52">
        <f t="shared" si="4"/>
        <v>7.0699999999999999E-2</v>
      </c>
      <c r="D52">
        <f t="shared" si="4"/>
        <v>7.0699999999999999E-2</v>
      </c>
      <c r="E52">
        <f t="shared" si="4"/>
        <v>5.4800000000000001E-2</v>
      </c>
      <c r="F52">
        <f t="shared" si="4"/>
        <v>5.4800000000000001E-2</v>
      </c>
      <c r="G52">
        <f t="shared" si="4"/>
        <v>7.0699999999999999E-2</v>
      </c>
      <c r="H52">
        <f t="shared" si="4"/>
        <v>0.3795</v>
      </c>
      <c r="I52">
        <f t="shared" si="4"/>
        <v>7.0699999999999999E-2</v>
      </c>
      <c r="J52">
        <f t="shared" si="4"/>
        <v>0</v>
      </c>
      <c r="K52">
        <f t="shared" si="4"/>
        <v>0.3347</v>
      </c>
      <c r="L52">
        <f t="shared" si="4"/>
        <v>0.3795</v>
      </c>
      <c r="M52">
        <f t="shared" si="4"/>
        <v>0.28460000000000002</v>
      </c>
    </row>
    <row r="53" spans="1:13" x14ac:dyDescent="0.3">
      <c r="A53" t="s">
        <v>9</v>
      </c>
      <c r="B53">
        <f t="shared" si="4"/>
        <v>7.0699999999999999E-2</v>
      </c>
      <c r="C53">
        <f t="shared" si="4"/>
        <v>8.3699999999999997E-2</v>
      </c>
      <c r="D53">
        <f t="shared" si="4"/>
        <v>0</v>
      </c>
      <c r="E53">
        <f t="shared" si="4"/>
        <v>0</v>
      </c>
      <c r="F53">
        <f t="shared" si="4"/>
        <v>0</v>
      </c>
      <c r="G53">
        <f t="shared" si="4"/>
        <v>5.4800000000000001E-2</v>
      </c>
      <c r="H53">
        <f t="shared" si="4"/>
        <v>0</v>
      </c>
      <c r="I53">
        <f t="shared" si="4"/>
        <v>0</v>
      </c>
      <c r="J53">
        <f t="shared" si="4"/>
        <v>0</v>
      </c>
      <c r="K53">
        <f t="shared" si="4"/>
        <v>0</v>
      </c>
      <c r="L53">
        <f t="shared" si="4"/>
        <v>0</v>
      </c>
      <c r="M53">
        <f t="shared" si="4"/>
        <v>7.0699999999999999E-2</v>
      </c>
    </row>
    <row r="54" spans="1:13" x14ac:dyDescent="0.3">
      <c r="A54" t="s">
        <v>10</v>
      </c>
      <c r="B54">
        <f t="shared" si="4"/>
        <v>0</v>
      </c>
      <c r="C54">
        <f t="shared" si="4"/>
        <v>0</v>
      </c>
      <c r="D54">
        <f t="shared" si="4"/>
        <v>8.3699999999999997E-2</v>
      </c>
      <c r="E54">
        <f t="shared" si="4"/>
        <v>0</v>
      </c>
      <c r="F54">
        <f t="shared" si="4"/>
        <v>3.1600000000000003E-2</v>
      </c>
      <c r="G54">
        <f t="shared" si="4"/>
        <v>0</v>
      </c>
      <c r="H54">
        <f t="shared" si="4"/>
        <v>7.0699999999999999E-2</v>
      </c>
      <c r="I54">
        <f t="shared" si="4"/>
        <v>7.0699999999999999E-2</v>
      </c>
      <c r="J54">
        <f t="shared" si="4"/>
        <v>5.4800000000000001E-2</v>
      </c>
      <c r="K54">
        <f t="shared" si="4"/>
        <v>5.4800000000000001E-2</v>
      </c>
      <c r="L54">
        <f t="shared" si="4"/>
        <v>0</v>
      </c>
      <c r="M54">
        <f t="shared" si="4"/>
        <v>0.28460000000000002</v>
      </c>
    </row>
    <row r="55" spans="1:13" x14ac:dyDescent="0.3">
      <c r="A55" t="s">
        <v>11</v>
      </c>
      <c r="B55">
        <f t="shared" si="4"/>
        <v>0</v>
      </c>
      <c r="C55">
        <f t="shared" si="4"/>
        <v>0</v>
      </c>
      <c r="D55">
        <f t="shared" si="4"/>
        <v>0</v>
      </c>
      <c r="E55">
        <f t="shared" si="4"/>
        <v>0</v>
      </c>
      <c r="F55">
        <f t="shared" si="4"/>
        <v>5.4800000000000001E-2</v>
      </c>
      <c r="G55">
        <f t="shared" si="4"/>
        <v>7.0699999999999999E-2</v>
      </c>
      <c r="H55">
        <f t="shared" si="4"/>
        <v>0.1673</v>
      </c>
      <c r="I55">
        <f t="shared" si="4"/>
        <v>0</v>
      </c>
      <c r="J55">
        <f t="shared" si="4"/>
        <v>0</v>
      </c>
      <c r="K55">
        <f t="shared" si="4"/>
        <v>0</v>
      </c>
      <c r="L55">
        <f t="shared" si="4"/>
        <v>0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0.3347</v>
      </c>
      <c r="D58">
        <f t="shared" si="6"/>
        <v>0.3795</v>
      </c>
      <c r="E58">
        <f t="shared" si="6"/>
        <v>0.1414</v>
      </c>
      <c r="F58">
        <f t="shared" si="6"/>
        <v>5.4800000000000001E-2</v>
      </c>
      <c r="G58">
        <f t="shared" si="6"/>
        <v>0.1414</v>
      </c>
      <c r="H58">
        <f t="shared" si="6"/>
        <v>0.1095</v>
      </c>
      <c r="I58">
        <f t="shared" si="6"/>
        <v>6.3200000000000006E-2</v>
      </c>
      <c r="J58">
        <f t="shared" si="6"/>
        <v>0.3795</v>
      </c>
      <c r="K58">
        <f t="shared" si="6"/>
        <v>0.1095</v>
      </c>
      <c r="L58">
        <f t="shared" si="6"/>
        <v>3.1600000000000003E-2</v>
      </c>
      <c r="M58">
        <f t="shared" si="6"/>
        <v>7.0699999999999999E-2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0.21210000000000001</v>
      </c>
      <c r="C59">
        <f t="shared" si="7"/>
        <v>0</v>
      </c>
      <c r="D59">
        <f t="shared" si="7"/>
        <v>0.3795</v>
      </c>
      <c r="E59">
        <f t="shared" si="7"/>
        <v>0.3795</v>
      </c>
      <c r="F59">
        <f t="shared" si="7"/>
        <v>0.3347</v>
      </c>
      <c r="G59">
        <f t="shared" si="7"/>
        <v>0.1095</v>
      </c>
      <c r="H59">
        <f t="shared" si="7"/>
        <v>7.0699999999999999E-2</v>
      </c>
      <c r="I59">
        <f t="shared" si="7"/>
        <v>5.4800000000000001E-2</v>
      </c>
      <c r="J59">
        <f t="shared" si="7"/>
        <v>0.3347</v>
      </c>
      <c r="K59">
        <f t="shared" si="7"/>
        <v>0.3795</v>
      </c>
      <c r="L59">
        <f t="shared" si="7"/>
        <v>0.3347</v>
      </c>
      <c r="M59">
        <f t="shared" si="7"/>
        <v>0.3795</v>
      </c>
    </row>
    <row r="60" spans="1:13" x14ac:dyDescent="0.3">
      <c r="A60" t="s">
        <v>2</v>
      </c>
      <c r="B60">
        <f t="shared" si="7"/>
        <v>0.2828</v>
      </c>
      <c r="C60">
        <f t="shared" si="7"/>
        <v>7.0699999999999999E-2</v>
      </c>
      <c r="D60">
        <f t="shared" si="7"/>
        <v>0</v>
      </c>
      <c r="E60">
        <f t="shared" si="7"/>
        <v>0.251</v>
      </c>
      <c r="F60">
        <f t="shared" si="7"/>
        <v>5.4800000000000001E-2</v>
      </c>
      <c r="G60">
        <f t="shared" si="7"/>
        <v>0.21210000000000001</v>
      </c>
      <c r="H60">
        <f t="shared" si="7"/>
        <v>0.1414</v>
      </c>
      <c r="I60">
        <f t="shared" si="7"/>
        <v>0.1414</v>
      </c>
      <c r="J60">
        <f t="shared" si="7"/>
        <v>0.3795</v>
      </c>
      <c r="K60">
        <f t="shared" si="7"/>
        <v>0.3347</v>
      </c>
      <c r="L60">
        <f t="shared" si="7"/>
        <v>0.3795</v>
      </c>
      <c r="M60">
        <f t="shared" si="7"/>
        <v>0.3795</v>
      </c>
    </row>
    <row r="61" spans="1:13" x14ac:dyDescent="0.3">
      <c r="A61" t="s">
        <v>3</v>
      </c>
      <c r="B61">
        <f t="shared" si="7"/>
        <v>0.1414</v>
      </c>
      <c r="C61">
        <f t="shared" si="7"/>
        <v>7.0699999999999999E-2</v>
      </c>
      <c r="D61">
        <f t="shared" si="7"/>
        <v>7.0699999999999999E-2</v>
      </c>
      <c r="E61">
        <f t="shared" si="7"/>
        <v>0</v>
      </c>
      <c r="F61">
        <f t="shared" si="7"/>
        <v>6.3200000000000006E-2</v>
      </c>
      <c r="G61">
        <f t="shared" si="7"/>
        <v>5.4800000000000001E-2</v>
      </c>
      <c r="H61">
        <f t="shared" si="7"/>
        <v>0.3795</v>
      </c>
      <c r="I61">
        <f t="shared" si="7"/>
        <v>7.0699999999999999E-2</v>
      </c>
      <c r="J61">
        <f t="shared" si="7"/>
        <v>0.3347</v>
      </c>
      <c r="K61">
        <f t="shared" si="7"/>
        <v>0.1414</v>
      </c>
      <c r="L61">
        <f t="shared" si="7"/>
        <v>0.3795</v>
      </c>
      <c r="M61">
        <f t="shared" si="7"/>
        <v>0.251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0.1414</v>
      </c>
      <c r="C62">
        <f t="shared" si="8"/>
        <v>7.0699999999999999E-2</v>
      </c>
      <c r="D62">
        <f t="shared" si="8"/>
        <v>0.21210000000000001</v>
      </c>
      <c r="E62">
        <f t="shared" si="8"/>
        <v>7.0699999999999999E-2</v>
      </c>
      <c r="F62">
        <f t="shared" si="8"/>
        <v>0</v>
      </c>
      <c r="G62">
        <f t="shared" si="8"/>
        <v>0.3347</v>
      </c>
      <c r="H62">
        <f t="shared" si="8"/>
        <v>0.21210000000000001</v>
      </c>
      <c r="I62">
        <f t="shared" si="8"/>
        <v>0.21210000000000001</v>
      </c>
      <c r="J62">
        <f t="shared" si="8"/>
        <v>0.3347</v>
      </c>
      <c r="K62">
        <f t="shared" si="8"/>
        <v>0.3795</v>
      </c>
      <c r="L62">
        <f t="shared" si="8"/>
        <v>0.21210000000000001</v>
      </c>
      <c r="M62">
        <f t="shared" si="8"/>
        <v>0.1414</v>
      </c>
    </row>
    <row r="63" spans="1:13" x14ac:dyDescent="0.3">
      <c r="A63" t="s">
        <v>5</v>
      </c>
      <c r="B63">
        <f t="shared" si="7"/>
        <v>0.21210000000000001</v>
      </c>
      <c r="C63">
        <f t="shared" si="7"/>
        <v>6.3200000000000006E-2</v>
      </c>
      <c r="D63">
        <f t="shared" si="7"/>
        <v>5.4800000000000001E-2</v>
      </c>
      <c r="E63">
        <f t="shared" si="7"/>
        <v>7.0699999999999999E-2</v>
      </c>
      <c r="F63">
        <f t="shared" si="7"/>
        <v>0.1414</v>
      </c>
      <c r="G63">
        <f t="shared" si="7"/>
        <v>0</v>
      </c>
      <c r="H63">
        <f t="shared" si="7"/>
        <v>0.1414</v>
      </c>
      <c r="I63">
        <f t="shared" si="7"/>
        <v>0.21210000000000001</v>
      </c>
      <c r="J63">
        <f t="shared" si="7"/>
        <v>0.3795</v>
      </c>
      <c r="K63">
        <f t="shared" si="7"/>
        <v>0.1414</v>
      </c>
      <c r="L63">
        <f t="shared" si="7"/>
        <v>6.3200000000000006E-2</v>
      </c>
      <c r="M63">
        <f t="shared" si="7"/>
        <v>3.1600000000000003E-2</v>
      </c>
    </row>
    <row r="64" spans="1:13" x14ac:dyDescent="0.3">
      <c r="A64" t="s">
        <v>6</v>
      </c>
      <c r="B64">
        <f t="shared" si="7"/>
        <v>0.21210000000000001</v>
      </c>
      <c r="C64">
        <f t="shared" si="7"/>
        <v>3.1600000000000003E-2</v>
      </c>
      <c r="D64">
        <f t="shared" si="7"/>
        <v>0.21210000000000001</v>
      </c>
      <c r="E64">
        <f t="shared" si="7"/>
        <v>6.3200000000000006E-2</v>
      </c>
      <c r="F64">
        <f t="shared" si="7"/>
        <v>7.0699999999999999E-2</v>
      </c>
      <c r="G64">
        <f t="shared" si="7"/>
        <v>0.1414</v>
      </c>
      <c r="H64">
        <f t="shared" si="7"/>
        <v>0</v>
      </c>
      <c r="I64">
        <f t="shared" si="7"/>
        <v>0.1414</v>
      </c>
      <c r="J64">
        <f t="shared" si="7"/>
        <v>7.0699999999999999E-2</v>
      </c>
      <c r="K64">
        <f t="shared" si="7"/>
        <v>5.4800000000000001E-2</v>
      </c>
      <c r="L64">
        <f t="shared" si="7"/>
        <v>5.4800000000000001E-2</v>
      </c>
      <c r="M64">
        <f t="shared" si="7"/>
        <v>0.1095</v>
      </c>
    </row>
    <row r="65" spans="1:13" x14ac:dyDescent="0.3">
      <c r="A65" t="s">
        <v>7</v>
      </c>
      <c r="B65">
        <f t="shared" si="7"/>
        <v>7.0699999999999999E-2</v>
      </c>
      <c r="C65">
        <f t="shared" si="7"/>
        <v>7.0699999999999999E-2</v>
      </c>
      <c r="D65">
        <f t="shared" si="7"/>
        <v>0.1095</v>
      </c>
      <c r="E65">
        <f t="shared" si="7"/>
        <v>0.1414</v>
      </c>
      <c r="F65">
        <f t="shared" si="7"/>
        <v>8.3699999999999997E-2</v>
      </c>
      <c r="G65">
        <f t="shared" si="7"/>
        <v>0.1095</v>
      </c>
      <c r="H65">
        <f t="shared" si="7"/>
        <v>0.1414</v>
      </c>
      <c r="I65">
        <f t="shared" si="7"/>
        <v>0</v>
      </c>
      <c r="J65">
        <f t="shared" si="7"/>
        <v>0.3795</v>
      </c>
      <c r="K65">
        <f t="shared" si="7"/>
        <v>0.3795</v>
      </c>
      <c r="L65">
        <f t="shared" si="7"/>
        <v>0.3795</v>
      </c>
      <c r="M65">
        <f t="shared" si="7"/>
        <v>0.3795</v>
      </c>
    </row>
    <row r="66" spans="1:13" x14ac:dyDescent="0.3">
      <c r="A66" t="s">
        <v>8</v>
      </c>
      <c r="B66">
        <f t="shared" si="7"/>
        <v>0.251</v>
      </c>
      <c r="C66">
        <f t="shared" si="7"/>
        <v>0.1414</v>
      </c>
      <c r="D66">
        <f t="shared" si="7"/>
        <v>0.1414</v>
      </c>
      <c r="E66">
        <f t="shared" si="7"/>
        <v>0.1095</v>
      </c>
      <c r="F66">
        <f t="shared" si="7"/>
        <v>0.1095</v>
      </c>
      <c r="G66">
        <f t="shared" si="7"/>
        <v>0.1414</v>
      </c>
      <c r="H66">
        <f t="shared" si="7"/>
        <v>0.3795</v>
      </c>
      <c r="I66">
        <f t="shared" si="7"/>
        <v>0.1414</v>
      </c>
      <c r="J66">
        <f t="shared" si="7"/>
        <v>0</v>
      </c>
      <c r="K66">
        <f t="shared" si="7"/>
        <v>0.3347</v>
      </c>
      <c r="L66">
        <f t="shared" si="7"/>
        <v>0.3795</v>
      </c>
      <c r="M66">
        <f t="shared" si="7"/>
        <v>0.3795</v>
      </c>
    </row>
    <row r="67" spans="1:13" x14ac:dyDescent="0.3">
      <c r="A67" t="s">
        <v>9</v>
      </c>
      <c r="B67">
        <f t="shared" si="7"/>
        <v>0.1414</v>
      </c>
      <c r="C67">
        <f t="shared" si="7"/>
        <v>0.1673</v>
      </c>
      <c r="D67">
        <f t="shared" si="7"/>
        <v>7.0699999999999999E-2</v>
      </c>
      <c r="E67">
        <f t="shared" si="7"/>
        <v>5.4800000000000001E-2</v>
      </c>
      <c r="F67">
        <f t="shared" si="7"/>
        <v>5.4800000000000001E-2</v>
      </c>
      <c r="G67">
        <f t="shared" si="7"/>
        <v>0.1095</v>
      </c>
      <c r="H67">
        <f t="shared" si="7"/>
        <v>5.4800000000000001E-2</v>
      </c>
      <c r="I67">
        <f t="shared" si="7"/>
        <v>7.0699999999999999E-2</v>
      </c>
      <c r="J67">
        <f t="shared" si="7"/>
        <v>7.0699999999999999E-2</v>
      </c>
      <c r="K67">
        <f t="shared" si="7"/>
        <v>0</v>
      </c>
      <c r="L67">
        <f t="shared" si="7"/>
        <v>7.0699999999999999E-2</v>
      </c>
      <c r="M67">
        <f t="shared" si="7"/>
        <v>0.1414</v>
      </c>
    </row>
    <row r="68" spans="1:13" x14ac:dyDescent="0.3">
      <c r="A68" t="s">
        <v>10</v>
      </c>
      <c r="B68">
        <f t="shared" si="7"/>
        <v>5.4800000000000001E-2</v>
      </c>
      <c r="C68">
        <f t="shared" si="7"/>
        <v>5.4800000000000001E-2</v>
      </c>
      <c r="D68">
        <f t="shared" si="7"/>
        <v>0.1673</v>
      </c>
      <c r="E68">
        <f t="shared" si="7"/>
        <v>3.1600000000000003E-2</v>
      </c>
      <c r="F68">
        <f t="shared" si="7"/>
        <v>6.3200000000000006E-2</v>
      </c>
      <c r="G68">
        <f t="shared" si="7"/>
        <v>3.1600000000000003E-2</v>
      </c>
      <c r="H68">
        <f t="shared" si="7"/>
        <v>0.1414</v>
      </c>
      <c r="I68">
        <f t="shared" si="7"/>
        <v>0.1414</v>
      </c>
      <c r="J68">
        <f t="shared" si="7"/>
        <v>0.1095</v>
      </c>
      <c r="K68">
        <f t="shared" si="7"/>
        <v>0.1095</v>
      </c>
      <c r="L68">
        <f t="shared" si="7"/>
        <v>0</v>
      </c>
      <c r="M68">
        <f t="shared" si="7"/>
        <v>0.3795</v>
      </c>
    </row>
    <row r="69" spans="1:13" x14ac:dyDescent="0.3">
      <c r="A69" t="s">
        <v>11</v>
      </c>
      <c r="B69">
        <f t="shared" si="7"/>
        <v>7.0699999999999999E-2</v>
      </c>
      <c r="C69">
        <f t="shared" si="7"/>
        <v>3.1600000000000003E-2</v>
      </c>
      <c r="D69">
        <f t="shared" si="7"/>
        <v>5.4800000000000001E-2</v>
      </c>
      <c r="E69">
        <f t="shared" si="7"/>
        <v>7.0699999999999999E-2</v>
      </c>
      <c r="F69">
        <f t="shared" si="7"/>
        <v>0.1095</v>
      </c>
      <c r="G69">
        <f t="shared" si="7"/>
        <v>0.1414</v>
      </c>
      <c r="H69">
        <f t="shared" si="7"/>
        <v>0.251</v>
      </c>
      <c r="I69">
        <f t="shared" si="7"/>
        <v>5.4800000000000001E-2</v>
      </c>
      <c r="J69">
        <f t="shared" si="7"/>
        <v>5.4800000000000001E-2</v>
      </c>
      <c r="K69">
        <f t="shared" si="7"/>
        <v>8.3699999999999997E-2</v>
      </c>
      <c r="L69">
        <f t="shared" si="7"/>
        <v>5.4800000000000001E-2</v>
      </c>
      <c r="M69">
        <f t="shared" si="7"/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7"/>
  <dimension ref="A1:M69"/>
  <sheetViews>
    <sheetView workbookViewId="0">
      <selection activeCell="A15" sqref="A15:M69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13</v>
      </c>
      <c r="D2" t="s">
        <v>13</v>
      </c>
      <c r="E2" t="s">
        <v>15</v>
      </c>
      <c r="F2" t="s">
        <v>12</v>
      </c>
      <c r="G2" t="s">
        <v>15</v>
      </c>
      <c r="H2" t="s">
        <v>62</v>
      </c>
      <c r="I2" t="s">
        <v>16</v>
      </c>
      <c r="J2" t="s">
        <v>13</v>
      </c>
      <c r="K2" t="s">
        <v>17</v>
      </c>
      <c r="L2" t="s">
        <v>22</v>
      </c>
      <c r="M2" t="s">
        <v>62</v>
      </c>
    </row>
    <row r="3" spans="1:13" x14ac:dyDescent="0.3">
      <c r="A3" s="1" t="s">
        <v>1</v>
      </c>
      <c r="B3" t="s">
        <v>20</v>
      </c>
      <c r="C3">
        <v>0</v>
      </c>
      <c r="D3" t="s">
        <v>25</v>
      </c>
      <c r="E3" t="s">
        <v>18</v>
      </c>
      <c r="F3" t="s">
        <v>12</v>
      </c>
      <c r="G3" t="s">
        <v>18</v>
      </c>
      <c r="H3" t="s">
        <v>18</v>
      </c>
      <c r="I3" t="s">
        <v>15</v>
      </c>
      <c r="J3" t="s">
        <v>15</v>
      </c>
      <c r="K3" t="s">
        <v>25</v>
      </c>
      <c r="L3" t="s">
        <v>18</v>
      </c>
      <c r="M3" t="s">
        <v>18</v>
      </c>
    </row>
    <row r="4" spans="1:13" x14ac:dyDescent="0.3">
      <c r="A4" s="1" t="s">
        <v>2</v>
      </c>
      <c r="B4" t="s">
        <v>24</v>
      </c>
      <c r="C4" t="s">
        <v>15</v>
      </c>
      <c r="D4">
        <v>0</v>
      </c>
      <c r="E4" t="s">
        <v>16</v>
      </c>
      <c r="F4" t="s">
        <v>16</v>
      </c>
      <c r="G4" t="s">
        <v>62</v>
      </c>
      <c r="H4" t="s">
        <v>12</v>
      </c>
      <c r="I4" t="s">
        <v>22</v>
      </c>
      <c r="J4" t="s">
        <v>25</v>
      </c>
      <c r="K4" t="s">
        <v>18</v>
      </c>
      <c r="L4" t="s">
        <v>13</v>
      </c>
      <c r="M4" t="s">
        <v>18</v>
      </c>
    </row>
    <row r="5" spans="1:13" x14ac:dyDescent="0.3">
      <c r="A5" s="1" t="s">
        <v>3</v>
      </c>
      <c r="B5" t="s">
        <v>16</v>
      </c>
      <c r="C5" t="s">
        <v>24</v>
      </c>
      <c r="D5" t="s">
        <v>24</v>
      </c>
      <c r="E5">
        <v>0</v>
      </c>
      <c r="F5" t="s">
        <v>21</v>
      </c>
      <c r="G5" t="s">
        <v>20</v>
      </c>
      <c r="H5" t="s">
        <v>13</v>
      </c>
      <c r="I5" t="s">
        <v>24</v>
      </c>
      <c r="J5" t="s">
        <v>13</v>
      </c>
      <c r="K5" t="s">
        <v>17</v>
      </c>
      <c r="L5" t="s">
        <v>12</v>
      </c>
      <c r="M5" t="s">
        <v>13</v>
      </c>
    </row>
    <row r="6" spans="1:13" x14ac:dyDescent="0.3">
      <c r="A6" s="1" t="s">
        <v>4</v>
      </c>
      <c r="B6" t="s">
        <v>24</v>
      </c>
      <c r="C6" t="s">
        <v>16</v>
      </c>
      <c r="D6" t="s">
        <v>16</v>
      </c>
      <c r="E6" t="s">
        <v>17</v>
      </c>
      <c r="F6">
        <v>0</v>
      </c>
      <c r="G6" t="s">
        <v>25</v>
      </c>
      <c r="H6" t="s">
        <v>16</v>
      </c>
      <c r="I6" t="s">
        <v>15</v>
      </c>
      <c r="J6" t="s">
        <v>13</v>
      </c>
      <c r="K6" t="s">
        <v>25</v>
      </c>
      <c r="L6" t="s">
        <v>22</v>
      </c>
      <c r="M6" t="s">
        <v>20</v>
      </c>
    </row>
    <row r="7" spans="1:13" x14ac:dyDescent="0.3">
      <c r="A7" s="1" t="s">
        <v>5</v>
      </c>
      <c r="B7" t="s">
        <v>20</v>
      </c>
      <c r="C7" t="s">
        <v>16</v>
      </c>
      <c r="D7" t="s">
        <v>15</v>
      </c>
      <c r="E7" t="s">
        <v>22</v>
      </c>
      <c r="F7" t="s">
        <v>22</v>
      </c>
      <c r="G7">
        <v>0</v>
      </c>
      <c r="H7" t="s">
        <v>20</v>
      </c>
      <c r="I7" t="s">
        <v>22</v>
      </c>
      <c r="J7" t="s">
        <v>18</v>
      </c>
      <c r="K7" t="s">
        <v>15</v>
      </c>
      <c r="L7" s="6" t="s">
        <v>71</v>
      </c>
      <c r="M7" t="s">
        <v>22</v>
      </c>
    </row>
    <row r="8" spans="1:13" x14ac:dyDescent="0.3">
      <c r="A8" s="1" t="s">
        <v>6</v>
      </c>
      <c r="B8" t="s">
        <v>15</v>
      </c>
      <c r="C8" t="s">
        <v>15</v>
      </c>
      <c r="D8" t="s">
        <v>24</v>
      </c>
      <c r="E8" t="s">
        <v>20</v>
      </c>
      <c r="F8" t="s">
        <v>16</v>
      </c>
      <c r="G8" t="s">
        <v>15</v>
      </c>
      <c r="H8">
        <v>0</v>
      </c>
      <c r="I8" t="s">
        <v>22</v>
      </c>
      <c r="J8" t="s">
        <v>16</v>
      </c>
      <c r="K8" t="s">
        <v>22</v>
      </c>
      <c r="L8" s="6" t="s">
        <v>16</v>
      </c>
      <c r="M8" t="s">
        <v>20</v>
      </c>
    </row>
    <row r="9" spans="1:13" x14ac:dyDescent="0.3">
      <c r="A9" s="1" t="s">
        <v>7</v>
      </c>
      <c r="B9" t="s">
        <v>24</v>
      </c>
      <c r="C9" t="s">
        <v>20</v>
      </c>
      <c r="D9" t="s">
        <v>15</v>
      </c>
      <c r="E9" t="s">
        <v>24</v>
      </c>
      <c r="F9" t="s">
        <v>15</v>
      </c>
      <c r="G9" t="s">
        <v>15</v>
      </c>
      <c r="H9" t="s">
        <v>20</v>
      </c>
      <c r="I9">
        <v>0</v>
      </c>
      <c r="J9" t="s">
        <v>71</v>
      </c>
      <c r="K9" t="s">
        <v>13</v>
      </c>
      <c r="L9" s="6" t="s">
        <v>13</v>
      </c>
      <c r="M9" t="s">
        <v>21</v>
      </c>
    </row>
    <row r="10" spans="1:13" x14ac:dyDescent="0.3">
      <c r="A10" s="1" t="s">
        <v>8</v>
      </c>
      <c r="B10" t="s">
        <v>22</v>
      </c>
      <c r="C10" t="s">
        <v>20</v>
      </c>
      <c r="D10" t="s">
        <v>62</v>
      </c>
      <c r="E10" t="s">
        <v>20</v>
      </c>
      <c r="F10" t="s">
        <v>16</v>
      </c>
      <c r="G10" t="s">
        <v>17</v>
      </c>
      <c r="H10" t="s">
        <v>13</v>
      </c>
      <c r="I10" t="s">
        <v>15</v>
      </c>
      <c r="J10">
        <v>0</v>
      </c>
      <c r="K10" t="s">
        <v>25</v>
      </c>
      <c r="L10" s="6" t="s">
        <v>18</v>
      </c>
      <c r="M10" t="s">
        <v>18</v>
      </c>
    </row>
    <row r="11" spans="1:13" x14ac:dyDescent="0.3">
      <c r="A11" s="1" t="s">
        <v>9</v>
      </c>
      <c r="B11" t="s">
        <v>15</v>
      </c>
      <c r="C11" t="s">
        <v>15</v>
      </c>
      <c r="D11" t="s">
        <v>15</v>
      </c>
      <c r="E11" t="s">
        <v>22</v>
      </c>
      <c r="F11" t="s">
        <v>15</v>
      </c>
      <c r="G11" t="s">
        <v>15</v>
      </c>
      <c r="H11" t="s">
        <v>15</v>
      </c>
      <c r="I11" t="s">
        <v>24</v>
      </c>
      <c r="J11" t="s">
        <v>23</v>
      </c>
      <c r="K11">
        <v>0</v>
      </c>
      <c r="L11" s="6" t="s">
        <v>16</v>
      </c>
      <c r="M11" t="s">
        <v>23</v>
      </c>
    </row>
    <row r="12" spans="1:13" x14ac:dyDescent="0.3">
      <c r="A12" s="1" t="s">
        <v>10</v>
      </c>
      <c r="B12" t="s">
        <v>20</v>
      </c>
      <c r="C12" t="s">
        <v>17</v>
      </c>
      <c r="D12" t="s">
        <v>21</v>
      </c>
      <c r="E12" t="s">
        <v>16</v>
      </c>
      <c r="F12" t="s">
        <v>17</v>
      </c>
      <c r="G12" t="s">
        <v>16</v>
      </c>
      <c r="H12" t="s">
        <v>17</v>
      </c>
      <c r="I12" t="s">
        <v>20</v>
      </c>
      <c r="J12" t="s">
        <v>16</v>
      </c>
      <c r="K12" t="s">
        <v>22</v>
      </c>
      <c r="L12">
        <v>0</v>
      </c>
      <c r="M12" t="s">
        <v>12</v>
      </c>
    </row>
    <row r="13" spans="1:13" x14ac:dyDescent="0.3">
      <c r="A13" s="1" t="s">
        <v>11</v>
      </c>
      <c r="B13" t="s">
        <v>15</v>
      </c>
      <c r="C13" t="s">
        <v>71</v>
      </c>
      <c r="D13" t="s">
        <v>15</v>
      </c>
      <c r="E13" t="s">
        <v>15</v>
      </c>
      <c r="F13" t="s">
        <v>20</v>
      </c>
      <c r="G13" t="s">
        <v>20</v>
      </c>
      <c r="H13" t="s">
        <v>15</v>
      </c>
      <c r="I13" t="s">
        <v>20</v>
      </c>
      <c r="J13" t="s">
        <v>17</v>
      </c>
      <c r="K13" t="s">
        <v>17</v>
      </c>
      <c r="L13" t="s">
        <v>16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(0,1897; 0,2846; 0,3795)</v>
      </c>
      <c r="D16" t="str">
        <f>VLOOKUP(D2,'Thang đánh giá'!$C$2:$D$27,2,FALSE)</f>
        <v>(0,1897; 0,2846; 0,3795)</v>
      </c>
      <c r="E16" t="str">
        <f>VLOOKUP(E2,'Thang đánh giá'!$C$2:$D$27,2,FALSE)</f>
        <v>(0; 0,0707; 0,1414)</v>
      </c>
      <c r="F16" t="str">
        <f>VLOOKUP(F2,'Thang đánh giá'!$C$2:$D$27,2,FALSE)</f>
        <v>(0,1673; 0,251; 0,3347)</v>
      </c>
      <c r="G16" t="str">
        <f>VLOOKUP(G2,'Thang đánh giá'!$C$2:$D$27,2,FALSE)</f>
        <v>(0; 0,0707; 0,1414)</v>
      </c>
      <c r="H16" t="str">
        <f>VLOOKUP(H2,'Thang đánh giá'!$C$2:$D$27,2,FALSE)</f>
        <v>(0; 0,0837; 0,1673)</v>
      </c>
      <c r="I16" t="str">
        <f>VLOOKUP(I2,'Thang đánh giá'!$C$2:$D$27,2,FALSE)</f>
        <v>(0; 0; 0,0707)</v>
      </c>
      <c r="J16" t="str">
        <f>VLOOKUP(J2,'Thang đánh giá'!$C$2:$D$27,2,FALSE)</f>
        <v>(0,1897; 0,2846; 0,3795)</v>
      </c>
      <c r="K16" t="str">
        <f>VLOOKUP(K2,'Thang đánh giá'!$C$2:$D$27,2,FALSE)</f>
        <v>(0; 0,0316; 0,0632)</v>
      </c>
      <c r="L16" t="str">
        <f>VLOOKUP(L2,'Thang đánh giá'!$C$2:$D$27,2,FALSE)</f>
        <v>(0,0707; 0,1414; 0,2121)</v>
      </c>
      <c r="M16" t="str">
        <f>VLOOKUP(M2,'Thang đánh giá'!$C$2:$D$27,2,FALSE)</f>
        <v>(0; 0,0837; 0,1673)</v>
      </c>
    </row>
    <row r="17" spans="1:13" x14ac:dyDescent="0.3">
      <c r="A17" t="s">
        <v>1</v>
      </c>
      <c r="B17" t="str">
        <f>VLOOKUP(B3,'Thang đánh giá'!$C$2:$D$27,2,FALSE)</f>
        <v>(0; 0,0548; 0,1095)</v>
      </c>
      <c r="C17" t="str">
        <f>VLOOKUP(C3,'Thang đánh giá'!$C$2:$D$27,2,FALSE)</f>
        <v>(0; 0; 0)</v>
      </c>
      <c r="D17" t="str">
        <f>VLOOKUP(D3,'Thang đánh giá'!$C$2:$D$27,2,FALSE)</f>
        <v>(0,251; 0,3347; 0,3347)</v>
      </c>
      <c r="E17" t="str">
        <f>VLOOKUP(E3,'Thang đánh giá'!$C$2:$D$27,2,FALSE)</f>
        <v>(0,2846; 0,3795; 0,3795)</v>
      </c>
      <c r="F17" t="str">
        <f>VLOOKUP(F3,'Thang đánh giá'!$C$2:$D$27,2,FALSE)</f>
        <v>(0,1673; 0,251; 0,3347)</v>
      </c>
      <c r="G17" t="str">
        <f>VLOOKUP(G3,'Thang đánh giá'!$C$2:$D$27,2,FALSE)</f>
        <v>(0,2846; 0,3795; 0,3795)</v>
      </c>
      <c r="H17" t="str">
        <f>VLOOKUP(H3,'Thang đánh giá'!$C$2:$D$27,2,FALSE)</f>
        <v>(0,2846; 0,3795; 0,3795)</v>
      </c>
      <c r="I17" t="str">
        <f>VLOOKUP(I3,'Thang đánh giá'!$C$2:$D$27,2,FALSE)</f>
        <v>(0; 0,0707; 0,1414)</v>
      </c>
      <c r="J17" t="str">
        <f>VLOOKUP(J3,'Thang đánh giá'!$C$2:$D$27,2,FALSE)</f>
        <v>(0; 0,0707; 0,1414)</v>
      </c>
      <c r="K17" t="str">
        <f>VLOOKUP(K3,'Thang đánh giá'!$C$2:$D$27,2,FALSE)</f>
        <v>(0,251; 0,3347; 0,3347)</v>
      </c>
      <c r="L17" t="str">
        <f>VLOOKUP(L3,'Thang đánh giá'!$C$2:$D$27,2,FALSE)</f>
        <v>(0,2846; 0,3795; 0,3795)</v>
      </c>
      <c r="M17" t="str">
        <f>VLOOKUP(M3,'Thang đánh giá'!$C$2:$D$27,2,FALSE)</f>
        <v>(0,2846; 0,3795; 0,3795)</v>
      </c>
    </row>
    <row r="18" spans="1:13" x14ac:dyDescent="0.3">
      <c r="A18" t="s">
        <v>2</v>
      </c>
      <c r="B18" t="str">
        <f>VLOOKUP(B4,'Thang đánh giá'!$C$2:$D$27,2,FALSE)</f>
        <v>(0; 0; 0,0548)</v>
      </c>
      <c r="C18" t="str">
        <f>VLOOKUP(C4,'Thang đánh giá'!$C$2:$D$27,2,FALSE)</f>
        <v>(0; 0,0707; 0,1414)</v>
      </c>
      <c r="D18" t="str">
        <f>VLOOKUP(D4,'Thang đánh giá'!$C$2:$D$27,2,FALSE)</f>
        <v>(0; 0; 0)</v>
      </c>
      <c r="E18" t="str">
        <f>VLOOKUP(E4,'Thang đánh giá'!$C$2:$D$27,2,FALSE)</f>
        <v>(0; 0; 0,0707)</v>
      </c>
      <c r="F18" t="str">
        <f>VLOOKUP(F4,'Thang đánh giá'!$C$2:$D$27,2,FALSE)</f>
        <v>(0; 0; 0,0707)</v>
      </c>
      <c r="G18" t="str">
        <f>VLOOKUP(G4,'Thang đánh giá'!$C$2:$D$27,2,FALSE)</f>
        <v>(0; 0,0837; 0,1673)</v>
      </c>
      <c r="H18" t="str">
        <f>VLOOKUP(H4,'Thang đánh giá'!$C$2:$D$27,2,FALSE)</f>
        <v>(0,1673; 0,251; 0,3347)</v>
      </c>
      <c r="I18" t="str">
        <f>VLOOKUP(I4,'Thang đánh giá'!$C$2:$D$27,2,FALSE)</f>
        <v>(0,0707; 0,1414; 0,2121)</v>
      </c>
      <c r="J18" t="str">
        <f>VLOOKUP(J4,'Thang đánh giá'!$C$2:$D$27,2,FALSE)</f>
        <v>(0,251; 0,3347; 0,3347)</v>
      </c>
      <c r="K18" t="str">
        <f>VLOOKUP(K4,'Thang đánh giá'!$C$2:$D$27,2,FALSE)</f>
        <v>(0,2846; 0,3795; 0,3795)</v>
      </c>
      <c r="L18" t="str">
        <f>VLOOKUP(L4,'Thang đánh giá'!$C$2:$D$27,2,FALSE)</f>
        <v>(0,1897; 0,2846; 0,3795)</v>
      </c>
      <c r="M18" t="str">
        <f>VLOOKUP(M4,'Thang đánh giá'!$C$2:$D$27,2,FALSE)</f>
        <v>(0,2846; 0,3795; 0,3795)</v>
      </c>
    </row>
    <row r="19" spans="1:13" x14ac:dyDescent="0.3">
      <c r="A19" t="s">
        <v>3</v>
      </c>
      <c r="B19" t="str">
        <f>VLOOKUP(B5,'Thang đánh giá'!$C$2:$D$27,2,FALSE)</f>
        <v>(0; 0; 0,0707)</v>
      </c>
      <c r="C19" t="str">
        <f>VLOOKUP(C5,'Thang đánh giá'!$C$2:$D$27,2,FALSE)</f>
        <v>(0; 0; 0,0548)</v>
      </c>
      <c r="D19" t="str">
        <f>VLOOKUP(D5,'Thang đánh giá'!$C$2:$D$27,2,FALSE)</f>
        <v>(0; 0; 0,0548)</v>
      </c>
      <c r="E19" t="str">
        <f>VLOOKUP(E5,'Thang đánh giá'!$C$2:$D$27,2,FALSE)</f>
        <v>(0; 0; 0)</v>
      </c>
      <c r="F19" t="str">
        <f>VLOOKUP(F5,'Thang đánh giá'!$C$2:$D$27,2,FALSE)</f>
        <v>(0,0837; 0,1673; 0,251)</v>
      </c>
      <c r="G19" t="str">
        <f>VLOOKUP(G5,'Thang đánh giá'!$C$2:$D$27,2,FALSE)</f>
        <v>(0; 0,0548; 0,1095)</v>
      </c>
      <c r="H19" t="str">
        <f>VLOOKUP(H5,'Thang đánh giá'!$C$2:$D$27,2,FALSE)</f>
        <v>(0,1897; 0,2846; 0,3795)</v>
      </c>
      <c r="I19" t="str">
        <f>VLOOKUP(I5,'Thang đánh giá'!$C$2:$D$27,2,FALSE)</f>
        <v>(0; 0; 0,0548)</v>
      </c>
      <c r="J19" t="str">
        <f>VLOOKUP(J5,'Thang đánh giá'!$C$2:$D$27,2,FALSE)</f>
        <v>(0,1897; 0,2846; 0,3795)</v>
      </c>
      <c r="K19" t="str">
        <f>VLOOKUP(K5,'Thang đánh giá'!$C$2:$D$27,2,FALSE)</f>
        <v>(0; 0,0316; 0,0632)</v>
      </c>
      <c r="L19" t="str">
        <f>VLOOKUP(L5,'Thang đánh giá'!$C$2:$D$27,2,FALSE)</f>
        <v>(0,1673; 0,251; 0,3347)</v>
      </c>
      <c r="M19" t="str">
        <f>VLOOKUP(M5,'Thang đánh giá'!$C$2:$D$27,2,FALSE)</f>
        <v>(0,1897; 0,2846; 0,3795)</v>
      </c>
    </row>
    <row r="20" spans="1:13" x14ac:dyDescent="0.3">
      <c r="A20" t="s">
        <v>4</v>
      </c>
      <c r="B20" t="str">
        <f>VLOOKUP(B6,'Thang đánh giá'!$C$2:$D$27,2,FALSE)</f>
        <v>(0; 0; 0,0548)</v>
      </c>
      <c r="C20" t="str">
        <f>VLOOKUP(C6,'Thang đánh giá'!$C$2:$D$27,2,FALSE)</f>
        <v>(0; 0; 0,0707)</v>
      </c>
      <c r="D20" t="str">
        <f>VLOOKUP(D6,'Thang đánh giá'!$C$2:$D$27,2,FALSE)</f>
        <v>(0; 0; 0,0707)</v>
      </c>
      <c r="E20" t="str">
        <f>VLOOKUP(E6,'Thang đánh giá'!$C$2:$D$27,2,FALSE)</f>
        <v>(0; 0,0316; 0,0632)</v>
      </c>
      <c r="F20" t="str">
        <f>VLOOKUP(F6,'Thang đánh giá'!$C$2:$D$27,2,FALSE)</f>
        <v>(0; 0; 0)</v>
      </c>
      <c r="G20" t="str">
        <f>VLOOKUP(G6,'Thang đánh giá'!$C$2:$D$27,2,FALSE)</f>
        <v>(0,251; 0,3347; 0,3347)</v>
      </c>
      <c r="H20" t="str">
        <f>VLOOKUP(H6,'Thang đánh giá'!$C$2:$D$27,2,FALSE)</f>
        <v>(0; 0; 0,0707)</v>
      </c>
      <c r="I20" t="str">
        <f>VLOOKUP(I6,'Thang đánh giá'!$C$2:$D$27,2,FALSE)</f>
        <v>(0; 0,0707; 0,1414)</v>
      </c>
      <c r="J20" t="str">
        <f>VLOOKUP(J6,'Thang đánh giá'!$C$2:$D$27,2,FALSE)</f>
        <v>(0,1897; 0,2846; 0,3795)</v>
      </c>
      <c r="K20" t="str">
        <f>VLOOKUP(K6,'Thang đánh giá'!$C$2:$D$27,2,FALSE)</f>
        <v>(0,251; 0,3347; 0,3347)</v>
      </c>
      <c r="L20" t="str">
        <f>VLOOKUP(L6,'Thang đánh giá'!$C$2:$D$27,2,FALSE)</f>
        <v>(0,0707; 0,1414; 0,2121)</v>
      </c>
      <c r="M20" t="str">
        <f>VLOOKUP(M6,'Thang đánh giá'!$C$2:$D$27,2,FALSE)</f>
        <v>(0; 0,0548; 0,1095)</v>
      </c>
    </row>
    <row r="21" spans="1:13" x14ac:dyDescent="0.3">
      <c r="A21" t="s">
        <v>5</v>
      </c>
      <c r="B21" t="str">
        <f>VLOOKUP(B7,'Thang đánh giá'!$C$2:$D$27,2,FALSE)</f>
        <v>(0; 0,0548; 0,1095)</v>
      </c>
      <c r="C21" t="str">
        <f>VLOOKUP(C7,'Thang đánh giá'!$C$2:$D$27,2,FALSE)</f>
        <v>(0; 0; 0,0707)</v>
      </c>
      <c r="D21" t="str">
        <f>VLOOKUP(D7,'Thang đánh giá'!$C$2:$D$27,2,FALSE)</f>
        <v>(0; 0,0707; 0,1414)</v>
      </c>
      <c r="E21" t="str">
        <f>VLOOKUP(E7,'Thang đánh giá'!$C$2:$D$27,2,FALSE)</f>
        <v>(0,0707; 0,1414; 0,2121)</v>
      </c>
      <c r="F21" t="str">
        <f>VLOOKUP(F7,'Thang đánh giá'!$C$2:$D$27,2,FALSE)</f>
        <v>(0,0707; 0,1414; 0,2121)</v>
      </c>
      <c r="G21" t="str">
        <f>VLOOKUP(G7,'Thang đánh giá'!$C$2:$D$27,2,FALSE)</f>
        <v>(0; 0; 0)</v>
      </c>
      <c r="H21" t="str">
        <f>VLOOKUP(H7,'Thang đánh giá'!$C$2:$D$27,2,FALSE)</f>
        <v>(0; 0,0548; 0,1095)</v>
      </c>
      <c r="I21" t="str">
        <f>VLOOKUP(I7,'Thang đánh giá'!$C$2:$D$27,2,FALSE)</f>
        <v>(0,0707; 0,1414; 0,2121)</v>
      </c>
      <c r="J21" t="str">
        <f>VLOOKUP(J7,'Thang đánh giá'!$C$2:$D$27,2,FALSE)</f>
        <v>(0,2846; 0,3795; 0,3795)</v>
      </c>
      <c r="K21" t="str">
        <f>VLOOKUP(K7,'Thang đánh giá'!$C$2:$D$27,2,FALSE)</f>
        <v>(0; 0,0707; 0,1414)</v>
      </c>
      <c r="L21" t="str">
        <f>VLOOKUP(L7,'Thang đánh giá'!$C$2:$D$27,2,FALSE)</f>
        <v>(0; 0; 0,0837)</v>
      </c>
      <c r="M21" t="str">
        <f>VLOOKUP(M7,'Thang đánh giá'!$C$2:$D$27,2,FALSE)</f>
        <v>(0,0707; 0,1414; 0,2121)</v>
      </c>
    </row>
    <row r="22" spans="1:13" x14ac:dyDescent="0.3">
      <c r="A22" t="s">
        <v>6</v>
      </c>
      <c r="B22" t="str">
        <f>VLOOKUP(B8,'Thang đánh giá'!$C$2:$D$27,2,FALSE)</f>
        <v>(0; 0,0707; 0,1414)</v>
      </c>
      <c r="C22" t="str">
        <f>VLOOKUP(C8,'Thang đánh giá'!$C$2:$D$27,2,FALSE)</f>
        <v>(0; 0,0707; 0,1414)</v>
      </c>
      <c r="D22" t="str">
        <f>VLOOKUP(D8,'Thang đánh giá'!$C$2:$D$27,2,FALSE)</f>
        <v>(0; 0; 0,0548)</v>
      </c>
      <c r="E22" t="str">
        <f>VLOOKUP(E8,'Thang đánh giá'!$C$2:$D$27,2,FALSE)</f>
        <v>(0; 0,0548; 0,1095)</v>
      </c>
      <c r="F22" t="str">
        <f>VLOOKUP(F8,'Thang đánh giá'!$C$2:$D$27,2,FALSE)</f>
        <v>(0; 0; 0,0707)</v>
      </c>
      <c r="G22" t="str">
        <f>VLOOKUP(G8,'Thang đánh giá'!$C$2:$D$27,2,FALSE)</f>
        <v>(0; 0,0707; 0,1414)</v>
      </c>
      <c r="H22" t="str">
        <f>VLOOKUP(H8,'Thang đánh giá'!$C$2:$D$27,2,FALSE)</f>
        <v>(0; 0; 0)</v>
      </c>
      <c r="I22" t="str">
        <f>VLOOKUP(I8,'Thang đánh giá'!$C$2:$D$27,2,FALSE)</f>
        <v>(0,0707; 0,1414; 0,2121)</v>
      </c>
      <c r="J22" t="str">
        <f>VLOOKUP(J8,'Thang đánh giá'!$C$2:$D$27,2,FALSE)</f>
        <v>(0; 0; 0,0707)</v>
      </c>
      <c r="K22" t="str">
        <f>VLOOKUP(K8,'Thang đánh giá'!$C$2:$D$27,2,FALSE)</f>
        <v>(0,0707; 0,1414; 0,2121)</v>
      </c>
      <c r="L22" t="str">
        <f>VLOOKUP(L8,'Thang đánh giá'!$C$2:$D$27,2,FALSE)</f>
        <v>(0; 0; 0,0707)</v>
      </c>
      <c r="M22" t="str">
        <f>VLOOKUP(M8,'Thang đánh giá'!$C$2:$D$27,2,FALSE)</f>
        <v>(0; 0,0548; 0,1095)</v>
      </c>
    </row>
    <row r="23" spans="1:13" x14ac:dyDescent="0.3">
      <c r="A23" t="s">
        <v>7</v>
      </c>
      <c r="B23" t="str">
        <f>VLOOKUP(B9,'Thang đánh giá'!$C$2:$D$27,2,FALSE)</f>
        <v>(0; 0; 0,0548)</v>
      </c>
      <c r="C23" t="str">
        <f>VLOOKUP(C9,'Thang đánh giá'!$C$2:$D$27,2,FALSE)</f>
        <v>(0; 0,0548; 0,1095)</v>
      </c>
      <c r="D23" t="str">
        <f>VLOOKUP(D9,'Thang đánh giá'!$C$2:$D$27,2,FALSE)</f>
        <v>(0; 0,0707; 0,1414)</v>
      </c>
      <c r="E23" t="str">
        <f>VLOOKUP(E9,'Thang đánh giá'!$C$2:$D$27,2,FALSE)</f>
        <v>(0; 0; 0,0548)</v>
      </c>
      <c r="F23" t="str">
        <f>VLOOKUP(F9,'Thang đánh giá'!$C$2:$D$27,2,FALSE)</f>
        <v>(0; 0,0707; 0,1414)</v>
      </c>
      <c r="G23" t="str">
        <f>VLOOKUP(G9,'Thang đánh giá'!$C$2:$D$27,2,FALSE)</f>
        <v>(0; 0,0707; 0,1414)</v>
      </c>
      <c r="H23" t="str">
        <f>VLOOKUP(H9,'Thang đánh giá'!$C$2:$D$27,2,FALSE)</f>
        <v>(0; 0,0548; 0,1095)</v>
      </c>
      <c r="I23" t="str">
        <f>VLOOKUP(I9,'Thang đánh giá'!$C$2:$D$27,2,FALSE)</f>
        <v>(0; 0; 0)</v>
      </c>
      <c r="J23" t="str">
        <f>VLOOKUP(J9,'Thang đánh giá'!$C$2:$D$27,2,FALSE)</f>
        <v>(0; 0; 0,0837)</v>
      </c>
      <c r="K23" t="str">
        <f>VLOOKUP(K9,'Thang đánh giá'!$C$2:$D$27,2,FALSE)</f>
        <v>(0,1897; 0,2846; 0,3795)</v>
      </c>
      <c r="L23" t="str">
        <f>VLOOKUP(L9,'Thang đánh giá'!$C$2:$D$27,2,FALSE)</f>
        <v>(0,1897; 0,2846; 0,3795)</v>
      </c>
      <c r="M23" t="str">
        <f>VLOOKUP(M9,'Thang đánh giá'!$C$2:$D$27,2,FALSE)</f>
        <v>(0,0837; 0,1673; 0,251)</v>
      </c>
    </row>
    <row r="24" spans="1:13" x14ac:dyDescent="0.3">
      <c r="A24" t="s">
        <v>8</v>
      </c>
      <c r="B24" t="str">
        <f>VLOOKUP(B10,'Thang đánh giá'!$C$2:$D$27,2,FALSE)</f>
        <v>(0,0707; 0,1414; 0,2121)</v>
      </c>
      <c r="C24" t="str">
        <f>VLOOKUP(C10,'Thang đánh giá'!$C$2:$D$27,2,FALSE)</f>
        <v>(0; 0,0548; 0,1095)</v>
      </c>
      <c r="D24" t="str">
        <f>VLOOKUP(D10,'Thang đánh giá'!$C$2:$D$27,2,FALSE)</f>
        <v>(0; 0,0837; 0,1673)</v>
      </c>
      <c r="E24" t="str">
        <f>VLOOKUP(E10,'Thang đánh giá'!$C$2:$D$27,2,FALSE)</f>
        <v>(0; 0,0548; 0,1095)</v>
      </c>
      <c r="F24" t="str">
        <f>VLOOKUP(F10,'Thang đánh giá'!$C$2:$D$27,2,FALSE)</f>
        <v>(0; 0; 0,0707)</v>
      </c>
      <c r="G24" t="str">
        <f>VLOOKUP(G10,'Thang đánh giá'!$C$2:$D$27,2,FALSE)</f>
        <v>(0; 0,0316; 0,0632)</v>
      </c>
      <c r="H24" t="str">
        <f>VLOOKUP(H10,'Thang đánh giá'!$C$2:$D$27,2,FALSE)</f>
        <v>(0,1897; 0,2846; 0,3795)</v>
      </c>
      <c r="I24" t="str">
        <f>VLOOKUP(I10,'Thang đánh giá'!$C$2:$D$27,2,FALSE)</f>
        <v>(0; 0,0707; 0,1414)</v>
      </c>
      <c r="J24" t="str">
        <f>VLOOKUP(J10,'Thang đánh giá'!$C$2:$D$27,2,FALSE)</f>
        <v>(0; 0; 0)</v>
      </c>
      <c r="K24" t="str">
        <f>VLOOKUP(K10,'Thang đánh giá'!$C$2:$D$27,2,FALSE)</f>
        <v>(0,251; 0,3347; 0,3347)</v>
      </c>
      <c r="L24" t="str">
        <f>VLOOKUP(L10,'Thang đánh giá'!$C$2:$D$27,2,FALSE)</f>
        <v>(0,2846; 0,3795; 0,3795)</v>
      </c>
      <c r="M24" t="str">
        <f>VLOOKUP(M10,'Thang đánh giá'!$C$2:$D$27,2,FALSE)</f>
        <v>(0,2846; 0,3795; 0,3795)</v>
      </c>
    </row>
    <row r="25" spans="1:13" x14ac:dyDescent="0.3">
      <c r="A25" t="s">
        <v>9</v>
      </c>
      <c r="B25" t="str">
        <f>VLOOKUP(B11,'Thang đánh giá'!$C$2:$D$27,2,FALSE)</f>
        <v>(0; 0,0707; 0,1414)</v>
      </c>
      <c r="C25" t="str">
        <f>VLOOKUP(C11,'Thang đánh giá'!$C$2:$D$27,2,FALSE)</f>
        <v>(0; 0,0707; 0,1414)</v>
      </c>
      <c r="D25" t="str">
        <f>VLOOKUP(D11,'Thang đánh giá'!$C$2:$D$27,2,FALSE)</f>
        <v>(0; 0,0707; 0,1414)</v>
      </c>
      <c r="E25" t="str">
        <f>VLOOKUP(E11,'Thang đánh giá'!$C$2:$D$27,2,FALSE)</f>
        <v>(0,0707; 0,1414; 0,2121)</v>
      </c>
      <c r="F25" t="str">
        <f>VLOOKUP(F11,'Thang đánh giá'!$C$2:$D$27,2,FALSE)</f>
        <v>(0; 0,0707; 0,1414)</v>
      </c>
      <c r="G25" t="str">
        <f>VLOOKUP(G11,'Thang đánh giá'!$C$2:$D$27,2,FALSE)</f>
        <v>(0; 0,0707; 0,1414)</v>
      </c>
      <c r="H25" t="str">
        <f>VLOOKUP(H11,'Thang đánh giá'!$C$2:$D$27,2,FALSE)</f>
        <v>(0; 0,0707; 0,1414)</v>
      </c>
      <c r="I25" t="str">
        <f>VLOOKUP(I11,'Thang đánh giá'!$C$2:$D$27,2,FALSE)</f>
        <v>(0; 0; 0,0548)</v>
      </c>
      <c r="J25" t="str">
        <f>VLOOKUP(J11,'Thang đánh giá'!$C$2:$D$27,2,FALSE)</f>
        <v>(0; 0; 0,0316)</v>
      </c>
      <c r="K25" t="str">
        <f>VLOOKUP(K11,'Thang đánh giá'!$C$2:$D$27,2,FALSE)</f>
        <v>(0; 0; 0)</v>
      </c>
      <c r="L25" t="str">
        <f>VLOOKUP(L11,'Thang đánh giá'!$C$2:$D$27,2,FALSE)</f>
        <v>(0; 0; 0,0707)</v>
      </c>
      <c r="M25" t="str">
        <f>VLOOKUP(M11,'Thang đánh giá'!$C$2:$D$27,2,FALSE)</f>
        <v>(0; 0; 0,0316)</v>
      </c>
    </row>
    <row r="26" spans="1:13" x14ac:dyDescent="0.3">
      <c r="A26" t="s">
        <v>10</v>
      </c>
      <c r="B26" t="str">
        <f>VLOOKUP(B12,'Thang đánh giá'!$C$2:$D$27,2,FALSE)</f>
        <v>(0; 0,0548; 0,1095)</v>
      </c>
      <c r="C26" t="str">
        <f>VLOOKUP(C12,'Thang đánh giá'!$C$2:$D$27,2,FALSE)</f>
        <v>(0; 0,0316; 0,0632)</v>
      </c>
      <c r="D26" t="str">
        <f>VLOOKUP(D12,'Thang đánh giá'!$C$2:$D$27,2,FALSE)</f>
        <v>(0,0837; 0,1673; 0,251)</v>
      </c>
      <c r="E26" t="str">
        <f>VLOOKUP(E12,'Thang đánh giá'!$C$2:$D$27,2,FALSE)</f>
        <v>(0; 0; 0,0707)</v>
      </c>
      <c r="F26" t="str">
        <f>VLOOKUP(F12,'Thang đánh giá'!$C$2:$D$27,2,FALSE)</f>
        <v>(0; 0,0316; 0,0632)</v>
      </c>
      <c r="G26" t="str">
        <f>VLOOKUP(G12,'Thang đánh giá'!$C$2:$D$27,2,FALSE)</f>
        <v>(0; 0; 0,0707)</v>
      </c>
      <c r="H26" t="str">
        <f>VLOOKUP(H12,'Thang đánh giá'!$C$2:$D$27,2,FALSE)</f>
        <v>(0; 0,0316; 0,0632)</v>
      </c>
      <c r="I26" t="str">
        <f>VLOOKUP(I12,'Thang đánh giá'!$C$2:$D$27,2,FALSE)</f>
        <v>(0; 0,0548; 0,1095)</v>
      </c>
      <c r="J26" t="str">
        <f>VLOOKUP(J12,'Thang đánh giá'!$C$2:$D$27,2,FALSE)</f>
        <v>(0; 0; 0,0707)</v>
      </c>
      <c r="K26" t="str">
        <f>VLOOKUP(K12,'Thang đánh giá'!$C$2:$D$27,2,FALSE)</f>
        <v>(0,0707; 0,1414; 0,2121)</v>
      </c>
      <c r="L26" t="str">
        <f>VLOOKUP(L12,'Thang đánh giá'!$C$2:$D$27,2,FALSE)</f>
        <v>(0; 0; 0)</v>
      </c>
      <c r="M26" t="str">
        <f>VLOOKUP(M12,'Thang đánh giá'!$C$2:$D$27,2,FALSE)</f>
        <v>(0,1673; 0,251; 0,3347)</v>
      </c>
    </row>
    <row r="27" spans="1:13" x14ac:dyDescent="0.3">
      <c r="A27" t="s">
        <v>11</v>
      </c>
      <c r="B27" t="str">
        <f>VLOOKUP(B13,'Thang đánh giá'!$C$2:$D$27,2,FALSE)</f>
        <v>(0; 0,0707; 0,1414)</v>
      </c>
      <c r="C27" t="str">
        <f>VLOOKUP(C13,'Thang đánh giá'!$C$2:$D$27,2,FALSE)</f>
        <v>(0; 0; 0,0837)</v>
      </c>
      <c r="D27" t="str">
        <f>VLOOKUP(D13,'Thang đánh giá'!$C$2:$D$27,2,FALSE)</f>
        <v>(0; 0,0707; 0,1414)</v>
      </c>
      <c r="E27" t="str">
        <f>VLOOKUP(E13,'Thang đánh giá'!$C$2:$D$27,2,FALSE)</f>
        <v>(0; 0,0707; 0,1414)</v>
      </c>
      <c r="F27" t="str">
        <f>VLOOKUP(F13,'Thang đánh giá'!$C$2:$D$27,2,FALSE)</f>
        <v>(0; 0,0548; 0,1095)</v>
      </c>
      <c r="G27" t="str">
        <f>VLOOKUP(G13,'Thang đánh giá'!$C$2:$D$27,2,FALSE)</f>
        <v>(0; 0,0548; 0,1095)</v>
      </c>
      <c r="H27" t="str">
        <f>VLOOKUP(H13,'Thang đánh giá'!$C$2:$D$27,2,FALSE)</f>
        <v>(0; 0,0707; 0,1414)</v>
      </c>
      <c r="I27" t="str">
        <f>VLOOKUP(I13,'Thang đánh giá'!$C$2:$D$27,2,FALSE)</f>
        <v>(0; 0,0548; 0,1095)</v>
      </c>
      <c r="J27" t="str">
        <f>VLOOKUP(J13,'Thang đánh giá'!$C$2:$D$27,2,FALSE)</f>
        <v>(0; 0,0316; 0,0632)</v>
      </c>
      <c r="K27" t="str">
        <f>VLOOKUP(K13,'Thang đánh giá'!$C$2:$D$27,2,FALSE)</f>
        <v>(0; 0,0316; 0,0632)</v>
      </c>
      <c r="L27" t="str">
        <f>VLOOKUP(L13,'Thang đánh giá'!$C$2:$D$27,2,FALSE)</f>
        <v>(0; 0; 0,0707)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0.18970000000000001</v>
      </c>
      <c r="D30">
        <f t="shared" si="0"/>
        <v>0.18970000000000001</v>
      </c>
      <c r="E30">
        <f t="shared" si="0"/>
        <v>0</v>
      </c>
      <c r="F30">
        <f t="shared" si="0"/>
        <v>0.1673</v>
      </c>
      <c r="G30">
        <f t="shared" si="0"/>
        <v>0</v>
      </c>
      <c r="H30">
        <f t="shared" si="0"/>
        <v>0</v>
      </c>
      <c r="I30">
        <f t="shared" si="0"/>
        <v>0</v>
      </c>
      <c r="J30">
        <f t="shared" si="0"/>
        <v>0.18970000000000001</v>
      </c>
      <c r="K30">
        <f t="shared" si="0"/>
        <v>0</v>
      </c>
      <c r="L30">
        <f t="shared" si="0"/>
        <v>7.0699999999999999E-2</v>
      </c>
      <c r="M30">
        <f t="shared" si="0"/>
        <v>0</v>
      </c>
    </row>
    <row r="31" spans="1:13" x14ac:dyDescent="0.3">
      <c r="A31" t="s">
        <v>1</v>
      </c>
      <c r="B31">
        <f t="shared" ref="B31:M41" si="1">_xlfn.NUMBERVALUE(MID(B17,2,FIND(";",B17,1)-2))</f>
        <v>0</v>
      </c>
      <c r="C31">
        <f t="shared" si="1"/>
        <v>0</v>
      </c>
      <c r="D31">
        <f t="shared" si="1"/>
        <v>0.251</v>
      </c>
      <c r="E31">
        <f t="shared" si="1"/>
        <v>0.28460000000000002</v>
      </c>
      <c r="F31">
        <f t="shared" si="1"/>
        <v>0.1673</v>
      </c>
      <c r="G31">
        <f t="shared" si="1"/>
        <v>0.28460000000000002</v>
      </c>
      <c r="H31">
        <f t="shared" si="1"/>
        <v>0.28460000000000002</v>
      </c>
      <c r="I31">
        <f t="shared" si="1"/>
        <v>0</v>
      </c>
      <c r="J31">
        <f t="shared" si="1"/>
        <v>0</v>
      </c>
      <c r="K31">
        <f t="shared" si="1"/>
        <v>0.251</v>
      </c>
      <c r="L31">
        <f t="shared" si="1"/>
        <v>0.28460000000000002</v>
      </c>
      <c r="M31">
        <f t="shared" si="1"/>
        <v>0.28460000000000002</v>
      </c>
    </row>
    <row r="32" spans="1:13" x14ac:dyDescent="0.3">
      <c r="A32" t="s">
        <v>2</v>
      </c>
      <c r="B32">
        <f t="shared" si="1"/>
        <v>0</v>
      </c>
      <c r="C32">
        <f t="shared" si="1"/>
        <v>0</v>
      </c>
      <c r="D32">
        <f t="shared" si="1"/>
        <v>0</v>
      </c>
      <c r="E32">
        <f t="shared" si="1"/>
        <v>0</v>
      </c>
      <c r="F32">
        <f t="shared" si="1"/>
        <v>0</v>
      </c>
      <c r="G32">
        <f t="shared" si="1"/>
        <v>0</v>
      </c>
      <c r="H32">
        <f t="shared" si="1"/>
        <v>0.1673</v>
      </c>
      <c r="I32">
        <f t="shared" si="1"/>
        <v>7.0699999999999999E-2</v>
      </c>
      <c r="J32">
        <f t="shared" si="1"/>
        <v>0.251</v>
      </c>
      <c r="K32">
        <f t="shared" si="1"/>
        <v>0.28460000000000002</v>
      </c>
      <c r="L32">
        <f t="shared" si="1"/>
        <v>0.18970000000000001</v>
      </c>
      <c r="M32">
        <f t="shared" si="1"/>
        <v>0.28460000000000002</v>
      </c>
    </row>
    <row r="33" spans="1:13" x14ac:dyDescent="0.3">
      <c r="A33" t="s">
        <v>3</v>
      </c>
      <c r="B33">
        <f t="shared" si="1"/>
        <v>0</v>
      </c>
      <c r="C33">
        <f t="shared" si="1"/>
        <v>0</v>
      </c>
      <c r="D33">
        <f t="shared" si="1"/>
        <v>0</v>
      </c>
      <c r="E33">
        <f t="shared" si="1"/>
        <v>0</v>
      </c>
      <c r="F33">
        <f t="shared" si="1"/>
        <v>8.3699999999999997E-2</v>
      </c>
      <c r="G33">
        <f t="shared" si="1"/>
        <v>0</v>
      </c>
      <c r="H33">
        <f t="shared" si="1"/>
        <v>0.18970000000000001</v>
      </c>
      <c r="I33">
        <f t="shared" si="1"/>
        <v>0</v>
      </c>
      <c r="J33">
        <f t="shared" si="1"/>
        <v>0.18970000000000001</v>
      </c>
      <c r="K33">
        <f t="shared" si="1"/>
        <v>0</v>
      </c>
      <c r="L33">
        <f t="shared" si="1"/>
        <v>0.1673</v>
      </c>
      <c r="M33">
        <f t="shared" si="1"/>
        <v>0.18970000000000001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0</v>
      </c>
      <c r="D34">
        <f t="shared" si="2"/>
        <v>0</v>
      </c>
      <c r="E34">
        <f t="shared" si="2"/>
        <v>0</v>
      </c>
      <c r="F34">
        <f t="shared" si="2"/>
        <v>0</v>
      </c>
      <c r="G34">
        <f t="shared" si="2"/>
        <v>0.251</v>
      </c>
      <c r="H34">
        <f t="shared" si="2"/>
        <v>0</v>
      </c>
      <c r="I34">
        <f t="shared" si="2"/>
        <v>0</v>
      </c>
      <c r="J34">
        <f t="shared" si="2"/>
        <v>0.18970000000000001</v>
      </c>
      <c r="K34">
        <f t="shared" si="2"/>
        <v>0.251</v>
      </c>
      <c r="L34">
        <f t="shared" si="2"/>
        <v>7.0699999999999999E-2</v>
      </c>
      <c r="M34">
        <f t="shared" si="2"/>
        <v>0</v>
      </c>
    </row>
    <row r="35" spans="1:13" x14ac:dyDescent="0.3">
      <c r="A35" t="s">
        <v>5</v>
      </c>
      <c r="B35">
        <f t="shared" si="1"/>
        <v>0</v>
      </c>
      <c r="C35">
        <f t="shared" si="1"/>
        <v>0</v>
      </c>
      <c r="D35">
        <f t="shared" si="1"/>
        <v>0</v>
      </c>
      <c r="E35">
        <f t="shared" si="1"/>
        <v>7.0699999999999999E-2</v>
      </c>
      <c r="F35">
        <f t="shared" si="1"/>
        <v>7.0699999999999999E-2</v>
      </c>
      <c r="G35">
        <f t="shared" si="1"/>
        <v>0</v>
      </c>
      <c r="H35">
        <f t="shared" si="1"/>
        <v>0</v>
      </c>
      <c r="I35">
        <f t="shared" si="1"/>
        <v>7.0699999999999999E-2</v>
      </c>
      <c r="J35">
        <f t="shared" si="1"/>
        <v>0.28460000000000002</v>
      </c>
      <c r="K35">
        <f t="shared" si="1"/>
        <v>0</v>
      </c>
      <c r="L35">
        <f t="shared" si="1"/>
        <v>0</v>
      </c>
      <c r="M35">
        <f t="shared" si="1"/>
        <v>7.0699999999999999E-2</v>
      </c>
    </row>
    <row r="36" spans="1:13" x14ac:dyDescent="0.3">
      <c r="A36" t="s">
        <v>6</v>
      </c>
      <c r="B36">
        <f t="shared" si="1"/>
        <v>0</v>
      </c>
      <c r="C36">
        <f t="shared" si="1"/>
        <v>0</v>
      </c>
      <c r="D36">
        <f t="shared" si="1"/>
        <v>0</v>
      </c>
      <c r="E36">
        <f t="shared" si="1"/>
        <v>0</v>
      </c>
      <c r="F36">
        <f t="shared" si="1"/>
        <v>0</v>
      </c>
      <c r="G36">
        <f t="shared" si="1"/>
        <v>0</v>
      </c>
      <c r="H36">
        <f t="shared" si="1"/>
        <v>0</v>
      </c>
      <c r="I36">
        <f t="shared" si="1"/>
        <v>7.0699999999999999E-2</v>
      </c>
      <c r="J36">
        <f t="shared" si="1"/>
        <v>0</v>
      </c>
      <c r="K36">
        <f t="shared" si="1"/>
        <v>7.0699999999999999E-2</v>
      </c>
      <c r="L36">
        <f t="shared" si="1"/>
        <v>0</v>
      </c>
      <c r="M36">
        <f t="shared" si="1"/>
        <v>0</v>
      </c>
    </row>
    <row r="37" spans="1:13" x14ac:dyDescent="0.3">
      <c r="A37" t="s">
        <v>7</v>
      </c>
      <c r="B37">
        <f t="shared" si="1"/>
        <v>0</v>
      </c>
      <c r="C37">
        <f t="shared" si="1"/>
        <v>0</v>
      </c>
      <c r="D37">
        <f t="shared" si="1"/>
        <v>0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0</v>
      </c>
      <c r="K37">
        <f t="shared" si="1"/>
        <v>0.18970000000000001</v>
      </c>
      <c r="L37">
        <f t="shared" si="1"/>
        <v>0.18970000000000001</v>
      </c>
      <c r="M37">
        <f t="shared" si="1"/>
        <v>8.3699999999999997E-2</v>
      </c>
    </row>
    <row r="38" spans="1:13" x14ac:dyDescent="0.3">
      <c r="A38" t="s">
        <v>8</v>
      </c>
      <c r="B38">
        <f t="shared" si="1"/>
        <v>7.0699999999999999E-2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0.18970000000000001</v>
      </c>
      <c r="I38">
        <f t="shared" si="1"/>
        <v>0</v>
      </c>
      <c r="J38">
        <f t="shared" si="1"/>
        <v>0</v>
      </c>
      <c r="K38">
        <f t="shared" si="1"/>
        <v>0.251</v>
      </c>
      <c r="L38">
        <f t="shared" si="1"/>
        <v>0.28460000000000002</v>
      </c>
      <c r="M38">
        <f t="shared" si="1"/>
        <v>0.28460000000000002</v>
      </c>
    </row>
    <row r="39" spans="1:13" x14ac:dyDescent="0.3">
      <c r="A39" t="s">
        <v>9</v>
      </c>
      <c r="B39">
        <f t="shared" si="1"/>
        <v>0</v>
      </c>
      <c r="C39">
        <f t="shared" si="1"/>
        <v>0</v>
      </c>
      <c r="D39">
        <f t="shared" si="1"/>
        <v>0</v>
      </c>
      <c r="E39">
        <f t="shared" si="1"/>
        <v>7.0699999999999999E-2</v>
      </c>
      <c r="F39">
        <f t="shared" si="1"/>
        <v>0</v>
      </c>
      <c r="G39">
        <f t="shared" si="1"/>
        <v>0</v>
      </c>
      <c r="H39">
        <f t="shared" si="1"/>
        <v>0</v>
      </c>
      <c r="I39">
        <f t="shared" si="1"/>
        <v>0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0</v>
      </c>
    </row>
    <row r="40" spans="1:13" x14ac:dyDescent="0.3">
      <c r="A40" t="s">
        <v>10</v>
      </c>
      <c r="B40">
        <f t="shared" si="1"/>
        <v>0</v>
      </c>
      <c r="C40">
        <f t="shared" si="1"/>
        <v>0</v>
      </c>
      <c r="D40">
        <f t="shared" si="1"/>
        <v>8.3699999999999997E-2</v>
      </c>
      <c r="E40">
        <f t="shared" si="1"/>
        <v>0</v>
      </c>
      <c r="F40">
        <f t="shared" si="1"/>
        <v>0</v>
      </c>
      <c r="G40">
        <f t="shared" si="1"/>
        <v>0</v>
      </c>
      <c r="H40">
        <f t="shared" si="1"/>
        <v>0</v>
      </c>
      <c r="I40">
        <f t="shared" si="1"/>
        <v>0</v>
      </c>
      <c r="J40">
        <f t="shared" si="1"/>
        <v>0</v>
      </c>
      <c r="K40">
        <f t="shared" si="1"/>
        <v>7.0699999999999999E-2</v>
      </c>
      <c r="L40">
        <f t="shared" si="1"/>
        <v>0</v>
      </c>
      <c r="M40">
        <f t="shared" si="1"/>
        <v>0.1673</v>
      </c>
    </row>
    <row r="41" spans="1:13" x14ac:dyDescent="0.3">
      <c r="A41" t="s">
        <v>11</v>
      </c>
      <c r="B41">
        <f t="shared" si="1"/>
        <v>0</v>
      </c>
      <c r="C41">
        <f t="shared" si="1"/>
        <v>0</v>
      </c>
      <c r="D41">
        <f t="shared" si="1"/>
        <v>0</v>
      </c>
      <c r="E41">
        <f t="shared" si="1"/>
        <v>0</v>
      </c>
      <c r="F41">
        <f t="shared" si="1"/>
        <v>0</v>
      </c>
      <c r="G41">
        <f t="shared" si="1"/>
        <v>0</v>
      </c>
      <c r="H41">
        <f t="shared" si="1"/>
        <v>0</v>
      </c>
      <c r="I41">
        <f t="shared" si="1"/>
        <v>0</v>
      </c>
      <c r="J41">
        <f t="shared" si="1"/>
        <v>0</v>
      </c>
      <c r="K41">
        <f t="shared" si="1"/>
        <v>0</v>
      </c>
      <c r="L41">
        <f t="shared" si="1"/>
        <v>0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0.28460000000000002</v>
      </c>
      <c r="D44">
        <f t="shared" si="3"/>
        <v>0.28460000000000002</v>
      </c>
      <c r="E44">
        <f t="shared" si="3"/>
        <v>7.0699999999999999E-2</v>
      </c>
      <c r="F44">
        <f t="shared" si="3"/>
        <v>0.251</v>
      </c>
      <c r="G44">
        <f t="shared" si="3"/>
        <v>7.0699999999999999E-2</v>
      </c>
      <c r="H44">
        <f t="shared" si="3"/>
        <v>8.3699999999999997E-2</v>
      </c>
      <c r="I44">
        <f t="shared" si="3"/>
        <v>0</v>
      </c>
      <c r="J44">
        <f t="shared" si="3"/>
        <v>0.28460000000000002</v>
      </c>
      <c r="K44">
        <f t="shared" si="3"/>
        <v>3.1600000000000003E-2</v>
      </c>
      <c r="L44">
        <f t="shared" si="3"/>
        <v>0.1414</v>
      </c>
      <c r="M44">
        <f t="shared" si="3"/>
        <v>8.3699999999999997E-2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5.4800000000000001E-2</v>
      </c>
      <c r="C45">
        <f t="shared" si="4"/>
        <v>0</v>
      </c>
      <c r="D45">
        <f t="shared" si="4"/>
        <v>0.3347</v>
      </c>
      <c r="E45">
        <f t="shared" si="4"/>
        <v>0.3795</v>
      </c>
      <c r="F45">
        <f t="shared" si="4"/>
        <v>0.251</v>
      </c>
      <c r="G45">
        <f t="shared" si="4"/>
        <v>0.3795</v>
      </c>
      <c r="H45">
        <f t="shared" si="4"/>
        <v>0.3795</v>
      </c>
      <c r="I45">
        <f t="shared" si="4"/>
        <v>7.0699999999999999E-2</v>
      </c>
      <c r="J45">
        <f t="shared" si="4"/>
        <v>7.0699999999999999E-2</v>
      </c>
      <c r="K45">
        <f t="shared" si="4"/>
        <v>0.3347</v>
      </c>
      <c r="L45">
        <f t="shared" si="4"/>
        <v>0.3795</v>
      </c>
      <c r="M45">
        <f t="shared" si="4"/>
        <v>0.3795</v>
      </c>
    </row>
    <row r="46" spans="1:13" x14ac:dyDescent="0.3">
      <c r="A46" t="s">
        <v>2</v>
      </c>
      <c r="B46">
        <f t="shared" si="4"/>
        <v>0</v>
      </c>
      <c r="C46">
        <f t="shared" si="4"/>
        <v>7.0699999999999999E-2</v>
      </c>
      <c r="D46">
        <f t="shared" si="4"/>
        <v>0</v>
      </c>
      <c r="E46">
        <f t="shared" si="4"/>
        <v>0</v>
      </c>
      <c r="F46">
        <f t="shared" si="4"/>
        <v>0</v>
      </c>
      <c r="G46">
        <f t="shared" si="4"/>
        <v>8.3699999999999997E-2</v>
      </c>
      <c r="H46">
        <f t="shared" si="4"/>
        <v>0.251</v>
      </c>
      <c r="I46">
        <f t="shared" si="4"/>
        <v>0.1414</v>
      </c>
      <c r="J46">
        <f t="shared" si="4"/>
        <v>0.3347</v>
      </c>
      <c r="K46">
        <f t="shared" si="4"/>
        <v>0.3795</v>
      </c>
      <c r="L46">
        <f t="shared" si="4"/>
        <v>0.28460000000000002</v>
      </c>
      <c r="M46">
        <f t="shared" si="4"/>
        <v>0.3795</v>
      </c>
    </row>
    <row r="47" spans="1:13" x14ac:dyDescent="0.3">
      <c r="A47" t="s">
        <v>3</v>
      </c>
      <c r="B47">
        <f t="shared" si="4"/>
        <v>0</v>
      </c>
      <c r="C47">
        <f t="shared" si="4"/>
        <v>0</v>
      </c>
      <c r="D47">
        <f t="shared" si="4"/>
        <v>0</v>
      </c>
      <c r="E47">
        <f t="shared" si="4"/>
        <v>0</v>
      </c>
      <c r="F47">
        <f t="shared" si="4"/>
        <v>0.1673</v>
      </c>
      <c r="G47">
        <f t="shared" si="4"/>
        <v>5.4800000000000001E-2</v>
      </c>
      <c r="H47">
        <f t="shared" si="4"/>
        <v>0.28460000000000002</v>
      </c>
      <c r="I47">
        <f t="shared" si="4"/>
        <v>0</v>
      </c>
      <c r="J47">
        <f t="shared" si="4"/>
        <v>0.28460000000000002</v>
      </c>
      <c r="K47">
        <f t="shared" si="4"/>
        <v>3.1600000000000003E-2</v>
      </c>
      <c r="L47">
        <f t="shared" si="4"/>
        <v>0.251</v>
      </c>
      <c r="M47">
        <f t="shared" si="4"/>
        <v>0.28460000000000002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0</v>
      </c>
      <c r="C48">
        <f t="shared" si="5"/>
        <v>0</v>
      </c>
      <c r="D48">
        <f t="shared" si="5"/>
        <v>0</v>
      </c>
      <c r="E48">
        <f t="shared" si="5"/>
        <v>3.1600000000000003E-2</v>
      </c>
      <c r="F48">
        <f t="shared" si="5"/>
        <v>0</v>
      </c>
      <c r="G48">
        <f t="shared" si="5"/>
        <v>0.3347</v>
      </c>
      <c r="H48">
        <f t="shared" si="5"/>
        <v>0</v>
      </c>
      <c r="I48">
        <f t="shared" si="5"/>
        <v>7.0699999999999999E-2</v>
      </c>
      <c r="J48">
        <f t="shared" si="5"/>
        <v>0.28460000000000002</v>
      </c>
      <c r="K48">
        <f t="shared" si="5"/>
        <v>0.3347</v>
      </c>
      <c r="L48">
        <f t="shared" si="5"/>
        <v>0.1414</v>
      </c>
      <c r="M48">
        <f t="shared" si="5"/>
        <v>5.4800000000000001E-2</v>
      </c>
    </row>
    <row r="49" spans="1:13" x14ac:dyDescent="0.3">
      <c r="A49" t="s">
        <v>5</v>
      </c>
      <c r="B49">
        <f t="shared" si="4"/>
        <v>5.4800000000000001E-2</v>
      </c>
      <c r="C49">
        <f t="shared" si="4"/>
        <v>0</v>
      </c>
      <c r="D49">
        <f t="shared" si="4"/>
        <v>7.0699999999999999E-2</v>
      </c>
      <c r="E49">
        <f t="shared" si="4"/>
        <v>0.1414</v>
      </c>
      <c r="F49">
        <f t="shared" si="4"/>
        <v>0.1414</v>
      </c>
      <c r="G49">
        <f t="shared" si="4"/>
        <v>0</v>
      </c>
      <c r="H49">
        <f t="shared" si="4"/>
        <v>5.4800000000000001E-2</v>
      </c>
      <c r="I49">
        <f t="shared" si="4"/>
        <v>0.1414</v>
      </c>
      <c r="J49">
        <f t="shared" si="4"/>
        <v>0.3795</v>
      </c>
      <c r="K49">
        <f t="shared" si="4"/>
        <v>7.0699999999999999E-2</v>
      </c>
      <c r="L49">
        <f t="shared" si="4"/>
        <v>0</v>
      </c>
      <c r="M49">
        <f t="shared" si="4"/>
        <v>0.1414</v>
      </c>
    </row>
    <row r="50" spans="1:13" x14ac:dyDescent="0.3">
      <c r="A50" t="s">
        <v>6</v>
      </c>
      <c r="B50">
        <f t="shared" si="4"/>
        <v>7.0699999999999999E-2</v>
      </c>
      <c r="C50">
        <f t="shared" si="4"/>
        <v>7.0699999999999999E-2</v>
      </c>
      <c r="D50">
        <f t="shared" si="4"/>
        <v>0</v>
      </c>
      <c r="E50">
        <f t="shared" si="4"/>
        <v>5.4800000000000001E-2</v>
      </c>
      <c r="F50">
        <f t="shared" si="4"/>
        <v>0</v>
      </c>
      <c r="G50">
        <f t="shared" si="4"/>
        <v>7.0699999999999999E-2</v>
      </c>
      <c r="H50">
        <f t="shared" si="4"/>
        <v>0</v>
      </c>
      <c r="I50">
        <f t="shared" si="4"/>
        <v>0.1414</v>
      </c>
      <c r="J50">
        <f t="shared" si="4"/>
        <v>0</v>
      </c>
      <c r="K50">
        <f t="shared" si="4"/>
        <v>0.1414</v>
      </c>
      <c r="L50">
        <f t="shared" si="4"/>
        <v>0</v>
      </c>
      <c r="M50">
        <f t="shared" si="4"/>
        <v>5.4800000000000001E-2</v>
      </c>
    </row>
    <row r="51" spans="1:13" x14ac:dyDescent="0.3">
      <c r="A51" t="s">
        <v>7</v>
      </c>
      <c r="B51">
        <f t="shared" si="4"/>
        <v>0</v>
      </c>
      <c r="C51">
        <f t="shared" si="4"/>
        <v>5.4800000000000001E-2</v>
      </c>
      <c r="D51">
        <f t="shared" si="4"/>
        <v>7.0699999999999999E-2</v>
      </c>
      <c r="E51">
        <f t="shared" si="4"/>
        <v>0</v>
      </c>
      <c r="F51">
        <f t="shared" si="4"/>
        <v>7.0699999999999999E-2</v>
      </c>
      <c r="G51">
        <f t="shared" si="4"/>
        <v>7.0699999999999999E-2</v>
      </c>
      <c r="H51">
        <f t="shared" si="4"/>
        <v>5.4800000000000001E-2</v>
      </c>
      <c r="I51">
        <f t="shared" si="4"/>
        <v>0</v>
      </c>
      <c r="J51">
        <f t="shared" si="4"/>
        <v>0</v>
      </c>
      <c r="K51">
        <f t="shared" si="4"/>
        <v>0.28460000000000002</v>
      </c>
      <c r="L51">
        <f t="shared" si="4"/>
        <v>0.28460000000000002</v>
      </c>
      <c r="M51">
        <f t="shared" si="4"/>
        <v>0.1673</v>
      </c>
    </row>
    <row r="52" spans="1:13" x14ac:dyDescent="0.3">
      <c r="A52" t="s">
        <v>8</v>
      </c>
      <c r="B52">
        <f t="shared" si="4"/>
        <v>0.1414</v>
      </c>
      <c r="C52">
        <f t="shared" si="4"/>
        <v>5.4800000000000001E-2</v>
      </c>
      <c r="D52">
        <f t="shared" si="4"/>
        <v>8.3699999999999997E-2</v>
      </c>
      <c r="E52">
        <f t="shared" si="4"/>
        <v>5.4800000000000001E-2</v>
      </c>
      <c r="F52">
        <f t="shared" si="4"/>
        <v>0</v>
      </c>
      <c r="G52">
        <f t="shared" si="4"/>
        <v>3.1600000000000003E-2</v>
      </c>
      <c r="H52">
        <f t="shared" si="4"/>
        <v>0.28460000000000002</v>
      </c>
      <c r="I52">
        <f t="shared" si="4"/>
        <v>7.0699999999999999E-2</v>
      </c>
      <c r="J52">
        <f t="shared" si="4"/>
        <v>0</v>
      </c>
      <c r="K52">
        <f t="shared" si="4"/>
        <v>0.3347</v>
      </c>
      <c r="L52">
        <f t="shared" si="4"/>
        <v>0.3795</v>
      </c>
      <c r="M52">
        <f t="shared" si="4"/>
        <v>0.3795</v>
      </c>
    </row>
    <row r="53" spans="1:13" x14ac:dyDescent="0.3">
      <c r="A53" t="s">
        <v>9</v>
      </c>
      <c r="B53">
        <f t="shared" si="4"/>
        <v>7.0699999999999999E-2</v>
      </c>
      <c r="C53">
        <f t="shared" si="4"/>
        <v>7.0699999999999999E-2</v>
      </c>
      <c r="D53">
        <f t="shared" si="4"/>
        <v>7.0699999999999999E-2</v>
      </c>
      <c r="E53">
        <f t="shared" si="4"/>
        <v>0.1414</v>
      </c>
      <c r="F53">
        <f t="shared" si="4"/>
        <v>7.0699999999999999E-2</v>
      </c>
      <c r="G53">
        <f t="shared" si="4"/>
        <v>7.0699999999999999E-2</v>
      </c>
      <c r="H53">
        <f t="shared" si="4"/>
        <v>7.0699999999999999E-2</v>
      </c>
      <c r="I53">
        <f t="shared" si="4"/>
        <v>0</v>
      </c>
      <c r="J53">
        <f t="shared" si="4"/>
        <v>0</v>
      </c>
      <c r="K53">
        <f t="shared" si="4"/>
        <v>0</v>
      </c>
      <c r="L53">
        <f t="shared" si="4"/>
        <v>0</v>
      </c>
      <c r="M53">
        <f t="shared" si="4"/>
        <v>0</v>
      </c>
    </row>
    <row r="54" spans="1:13" x14ac:dyDescent="0.3">
      <c r="A54" t="s">
        <v>10</v>
      </c>
      <c r="B54">
        <f t="shared" si="4"/>
        <v>5.4800000000000001E-2</v>
      </c>
      <c r="C54">
        <f t="shared" si="4"/>
        <v>3.1600000000000003E-2</v>
      </c>
      <c r="D54">
        <f t="shared" si="4"/>
        <v>0.1673</v>
      </c>
      <c r="E54">
        <f t="shared" si="4"/>
        <v>0</v>
      </c>
      <c r="F54">
        <f t="shared" si="4"/>
        <v>3.1600000000000003E-2</v>
      </c>
      <c r="G54">
        <f t="shared" si="4"/>
        <v>0</v>
      </c>
      <c r="H54">
        <f t="shared" si="4"/>
        <v>3.1600000000000003E-2</v>
      </c>
      <c r="I54">
        <f t="shared" si="4"/>
        <v>5.4800000000000001E-2</v>
      </c>
      <c r="J54">
        <f t="shared" si="4"/>
        <v>0</v>
      </c>
      <c r="K54">
        <f t="shared" si="4"/>
        <v>0.1414</v>
      </c>
      <c r="L54">
        <f t="shared" si="4"/>
        <v>0</v>
      </c>
      <c r="M54">
        <f t="shared" si="4"/>
        <v>0.251</v>
      </c>
    </row>
    <row r="55" spans="1:13" x14ac:dyDescent="0.3">
      <c r="A55" t="s">
        <v>11</v>
      </c>
      <c r="B55">
        <f t="shared" si="4"/>
        <v>7.0699999999999999E-2</v>
      </c>
      <c r="C55">
        <f t="shared" si="4"/>
        <v>0</v>
      </c>
      <c r="D55">
        <f t="shared" si="4"/>
        <v>7.0699999999999999E-2</v>
      </c>
      <c r="E55">
        <f t="shared" si="4"/>
        <v>7.0699999999999999E-2</v>
      </c>
      <c r="F55">
        <f t="shared" si="4"/>
        <v>5.4800000000000001E-2</v>
      </c>
      <c r="G55">
        <f t="shared" si="4"/>
        <v>5.4800000000000001E-2</v>
      </c>
      <c r="H55">
        <f t="shared" si="4"/>
        <v>7.0699999999999999E-2</v>
      </c>
      <c r="I55">
        <f t="shared" si="4"/>
        <v>5.4800000000000001E-2</v>
      </c>
      <c r="J55">
        <f t="shared" si="4"/>
        <v>3.1600000000000003E-2</v>
      </c>
      <c r="K55">
        <f t="shared" si="4"/>
        <v>3.1600000000000003E-2</v>
      </c>
      <c r="L55">
        <f t="shared" si="4"/>
        <v>0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0.3795</v>
      </c>
      <c r="D58">
        <f t="shared" si="6"/>
        <v>0.3795</v>
      </c>
      <c r="E58">
        <f t="shared" si="6"/>
        <v>0.1414</v>
      </c>
      <c r="F58">
        <f t="shared" si="6"/>
        <v>0.3347</v>
      </c>
      <c r="G58">
        <f t="shared" si="6"/>
        <v>0.1414</v>
      </c>
      <c r="H58">
        <f t="shared" si="6"/>
        <v>0.1673</v>
      </c>
      <c r="I58">
        <f t="shared" si="6"/>
        <v>7.0699999999999999E-2</v>
      </c>
      <c r="J58">
        <f t="shared" si="6"/>
        <v>0.3795</v>
      </c>
      <c r="K58">
        <f t="shared" si="6"/>
        <v>6.3200000000000006E-2</v>
      </c>
      <c r="L58">
        <f t="shared" si="6"/>
        <v>0.21210000000000001</v>
      </c>
      <c r="M58">
        <f t="shared" si="6"/>
        <v>0.1673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0.1095</v>
      </c>
      <c r="C59">
        <f t="shared" si="7"/>
        <v>0</v>
      </c>
      <c r="D59">
        <f t="shared" si="7"/>
        <v>0.3347</v>
      </c>
      <c r="E59">
        <f t="shared" si="7"/>
        <v>0.3795</v>
      </c>
      <c r="F59">
        <f t="shared" si="7"/>
        <v>0.3347</v>
      </c>
      <c r="G59">
        <f t="shared" si="7"/>
        <v>0.3795</v>
      </c>
      <c r="H59">
        <f t="shared" si="7"/>
        <v>0.3795</v>
      </c>
      <c r="I59">
        <f t="shared" si="7"/>
        <v>0.1414</v>
      </c>
      <c r="J59">
        <f t="shared" si="7"/>
        <v>0.1414</v>
      </c>
      <c r="K59">
        <f t="shared" si="7"/>
        <v>0.3347</v>
      </c>
      <c r="L59">
        <f t="shared" si="7"/>
        <v>0.3795</v>
      </c>
      <c r="M59">
        <f t="shared" si="7"/>
        <v>0.3795</v>
      </c>
    </row>
    <row r="60" spans="1:13" x14ac:dyDescent="0.3">
      <c r="A60" t="s">
        <v>2</v>
      </c>
      <c r="B60">
        <f t="shared" si="7"/>
        <v>5.4800000000000001E-2</v>
      </c>
      <c r="C60">
        <f t="shared" si="7"/>
        <v>0.1414</v>
      </c>
      <c r="D60">
        <f t="shared" si="7"/>
        <v>0</v>
      </c>
      <c r="E60">
        <f t="shared" si="7"/>
        <v>7.0699999999999999E-2</v>
      </c>
      <c r="F60">
        <f t="shared" si="7"/>
        <v>7.0699999999999999E-2</v>
      </c>
      <c r="G60">
        <f t="shared" si="7"/>
        <v>0.1673</v>
      </c>
      <c r="H60">
        <f t="shared" si="7"/>
        <v>0.3347</v>
      </c>
      <c r="I60">
        <f t="shared" si="7"/>
        <v>0.21210000000000001</v>
      </c>
      <c r="J60">
        <f t="shared" si="7"/>
        <v>0.3347</v>
      </c>
      <c r="K60">
        <f t="shared" si="7"/>
        <v>0.3795</v>
      </c>
      <c r="L60">
        <f t="shared" si="7"/>
        <v>0.3795</v>
      </c>
      <c r="M60">
        <f t="shared" si="7"/>
        <v>0.3795</v>
      </c>
    </row>
    <row r="61" spans="1:13" x14ac:dyDescent="0.3">
      <c r="A61" t="s">
        <v>3</v>
      </c>
      <c r="B61">
        <f t="shared" si="7"/>
        <v>7.0699999999999999E-2</v>
      </c>
      <c r="C61">
        <f t="shared" si="7"/>
        <v>5.4800000000000001E-2</v>
      </c>
      <c r="D61">
        <f t="shared" si="7"/>
        <v>5.4800000000000001E-2</v>
      </c>
      <c r="E61">
        <f t="shared" si="7"/>
        <v>0</v>
      </c>
      <c r="F61">
        <f t="shared" si="7"/>
        <v>0.251</v>
      </c>
      <c r="G61">
        <f t="shared" si="7"/>
        <v>0.1095</v>
      </c>
      <c r="H61">
        <f t="shared" si="7"/>
        <v>0.3795</v>
      </c>
      <c r="I61">
        <f t="shared" si="7"/>
        <v>5.4800000000000001E-2</v>
      </c>
      <c r="J61">
        <f t="shared" si="7"/>
        <v>0.3795</v>
      </c>
      <c r="K61">
        <f t="shared" si="7"/>
        <v>6.3200000000000006E-2</v>
      </c>
      <c r="L61">
        <f t="shared" si="7"/>
        <v>0.3347</v>
      </c>
      <c r="M61">
        <f t="shared" si="7"/>
        <v>0.3795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5.4800000000000001E-2</v>
      </c>
      <c r="C62">
        <f t="shared" si="8"/>
        <v>7.0699999999999999E-2</v>
      </c>
      <c r="D62">
        <f t="shared" si="8"/>
        <v>7.0699999999999999E-2</v>
      </c>
      <c r="E62">
        <f t="shared" si="8"/>
        <v>6.3200000000000006E-2</v>
      </c>
      <c r="F62">
        <f t="shared" si="8"/>
        <v>0</v>
      </c>
      <c r="G62">
        <f t="shared" si="8"/>
        <v>0.3347</v>
      </c>
      <c r="H62">
        <f t="shared" si="8"/>
        <v>7.0699999999999999E-2</v>
      </c>
      <c r="I62">
        <f t="shared" si="8"/>
        <v>0.1414</v>
      </c>
      <c r="J62">
        <f t="shared" si="8"/>
        <v>0.3795</v>
      </c>
      <c r="K62">
        <f t="shared" si="8"/>
        <v>0.3347</v>
      </c>
      <c r="L62">
        <f t="shared" si="8"/>
        <v>0.21210000000000001</v>
      </c>
      <c r="M62">
        <f t="shared" si="8"/>
        <v>0.1095</v>
      </c>
    </row>
    <row r="63" spans="1:13" x14ac:dyDescent="0.3">
      <c r="A63" t="s">
        <v>5</v>
      </c>
      <c r="B63">
        <f t="shared" si="7"/>
        <v>0.1095</v>
      </c>
      <c r="C63">
        <f t="shared" si="7"/>
        <v>7.0699999999999999E-2</v>
      </c>
      <c r="D63">
        <f t="shared" si="7"/>
        <v>0.1414</v>
      </c>
      <c r="E63">
        <f t="shared" si="7"/>
        <v>0.21210000000000001</v>
      </c>
      <c r="F63">
        <f t="shared" si="7"/>
        <v>0.21210000000000001</v>
      </c>
      <c r="G63">
        <f t="shared" si="7"/>
        <v>0</v>
      </c>
      <c r="H63">
        <f t="shared" si="7"/>
        <v>0.1095</v>
      </c>
      <c r="I63">
        <f t="shared" si="7"/>
        <v>0.21210000000000001</v>
      </c>
      <c r="J63">
        <f t="shared" si="7"/>
        <v>0.3795</v>
      </c>
      <c r="K63">
        <f t="shared" si="7"/>
        <v>0.1414</v>
      </c>
      <c r="L63">
        <f t="shared" si="7"/>
        <v>8.3699999999999997E-2</v>
      </c>
      <c r="M63">
        <f t="shared" si="7"/>
        <v>0.21210000000000001</v>
      </c>
    </row>
    <row r="64" spans="1:13" x14ac:dyDescent="0.3">
      <c r="A64" t="s">
        <v>6</v>
      </c>
      <c r="B64">
        <f t="shared" si="7"/>
        <v>0.1414</v>
      </c>
      <c r="C64">
        <f t="shared" si="7"/>
        <v>0.1414</v>
      </c>
      <c r="D64">
        <f t="shared" si="7"/>
        <v>5.4800000000000001E-2</v>
      </c>
      <c r="E64">
        <f t="shared" si="7"/>
        <v>0.1095</v>
      </c>
      <c r="F64">
        <f t="shared" si="7"/>
        <v>7.0699999999999999E-2</v>
      </c>
      <c r="G64">
        <f t="shared" si="7"/>
        <v>0.1414</v>
      </c>
      <c r="H64">
        <f t="shared" si="7"/>
        <v>0</v>
      </c>
      <c r="I64">
        <f t="shared" si="7"/>
        <v>0.21210000000000001</v>
      </c>
      <c r="J64">
        <f t="shared" si="7"/>
        <v>7.0699999999999999E-2</v>
      </c>
      <c r="K64">
        <f t="shared" si="7"/>
        <v>0.21210000000000001</v>
      </c>
      <c r="L64">
        <f t="shared" si="7"/>
        <v>7.0699999999999999E-2</v>
      </c>
      <c r="M64">
        <f t="shared" si="7"/>
        <v>0.1095</v>
      </c>
    </row>
    <row r="65" spans="1:13" x14ac:dyDescent="0.3">
      <c r="A65" t="s">
        <v>7</v>
      </c>
      <c r="B65">
        <f t="shared" si="7"/>
        <v>5.4800000000000001E-2</v>
      </c>
      <c r="C65">
        <f t="shared" si="7"/>
        <v>0.1095</v>
      </c>
      <c r="D65">
        <f t="shared" si="7"/>
        <v>0.1414</v>
      </c>
      <c r="E65">
        <f t="shared" si="7"/>
        <v>5.4800000000000001E-2</v>
      </c>
      <c r="F65">
        <f t="shared" si="7"/>
        <v>0.1414</v>
      </c>
      <c r="G65">
        <f t="shared" si="7"/>
        <v>0.1414</v>
      </c>
      <c r="H65">
        <f t="shared" si="7"/>
        <v>0.1095</v>
      </c>
      <c r="I65">
        <f t="shared" si="7"/>
        <v>0</v>
      </c>
      <c r="J65">
        <f t="shared" si="7"/>
        <v>8.3699999999999997E-2</v>
      </c>
      <c r="K65">
        <f t="shared" si="7"/>
        <v>0.3795</v>
      </c>
      <c r="L65">
        <f t="shared" si="7"/>
        <v>0.3795</v>
      </c>
      <c r="M65">
        <f t="shared" si="7"/>
        <v>0.251</v>
      </c>
    </row>
    <row r="66" spans="1:13" x14ac:dyDescent="0.3">
      <c r="A66" t="s">
        <v>8</v>
      </c>
      <c r="B66">
        <f t="shared" si="7"/>
        <v>0.21210000000000001</v>
      </c>
      <c r="C66">
        <f t="shared" si="7"/>
        <v>0.1095</v>
      </c>
      <c r="D66">
        <f t="shared" si="7"/>
        <v>0.1673</v>
      </c>
      <c r="E66">
        <f t="shared" si="7"/>
        <v>0.1095</v>
      </c>
      <c r="F66">
        <f t="shared" si="7"/>
        <v>7.0699999999999999E-2</v>
      </c>
      <c r="G66">
        <f t="shared" si="7"/>
        <v>6.3200000000000006E-2</v>
      </c>
      <c r="H66">
        <f t="shared" si="7"/>
        <v>0.3795</v>
      </c>
      <c r="I66">
        <f t="shared" si="7"/>
        <v>0.1414</v>
      </c>
      <c r="J66">
        <f t="shared" si="7"/>
        <v>0</v>
      </c>
      <c r="K66">
        <f t="shared" si="7"/>
        <v>0.3347</v>
      </c>
      <c r="L66">
        <f t="shared" si="7"/>
        <v>0.3795</v>
      </c>
      <c r="M66">
        <f t="shared" si="7"/>
        <v>0.3795</v>
      </c>
    </row>
    <row r="67" spans="1:13" x14ac:dyDescent="0.3">
      <c r="A67" t="s">
        <v>9</v>
      </c>
      <c r="B67">
        <f t="shared" si="7"/>
        <v>0.1414</v>
      </c>
      <c r="C67">
        <f t="shared" si="7"/>
        <v>0.1414</v>
      </c>
      <c r="D67">
        <f t="shared" si="7"/>
        <v>0.1414</v>
      </c>
      <c r="E67">
        <f t="shared" si="7"/>
        <v>0.21210000000000001</v>
      </c>
      <c r="F67">
        <f t="shared" si="7"/>
        <v>0.1414</v>
      </c>
      <c r="G67">
        <f t="shared" si="7"/>
        <v>0.1414</v>
      </c>
      <c r="H67">
        <f t="shared" si="7"/>
        <v>0.1414</v>
      </c>
      <c r="I67">
        <f t="shared" si="7"/>
        <v>5.4800000000000001E-2</v>
      </c>
      <c r="J67">
        <f t="shared" si="7"/>
        <v>3.1600000000000003E-2</v>
      </c>
      <c r="K67">
        <f t="shared" si="7"/>
        <v>0</v>
      </c>
      <c r="L67">
        <f t="shared" si="7"/>
        <v>7.0699999999999999E-2</v>
      </c>
      <c r="M67">
        <f t="shared" si="7"/>
        <v>3.1600000000000003E-2</v>
      </c>
    </row>
    <row r="68" spans="1:13" x14ac:dyDescent="0.3">
      <c r="A68" t="s">
        <v>10</v>
      </c>
      <c r="B68">
        <f t="shared" si="7"/>
        <v>0.1095</v>
      </c>
      <c r="C68">
        <f t="shared" si="7"/>
        <v>6.3200000000000006E-2</v>
      </c>
      <c r="D68">
        <f t="shared" si="7"/>
        <v>0.251</v>
      </c>
      <c r="E68">
        <f t="shared" si="7"/>
        <v>7.0699999999999999E-2</v>
      </c>
      <c r="F68">
        <f t="shared" si="7"/>
        <v>6.3200000000000006E-2</v>
      </c>
      <c r="G68">
        <f t="shared" si="7"/>
        <v>7.0699999999999999E-2</v>
      </c>
      <c r="H68">
        <f t="shared" si="7"/>
        <v>6.3200000000000006E-2</v>
      </c>
      <c r="I68">
        <f t="shared" si="7"/>
        <v>0.1095</v>
      </c>
      <c r="J68">
        <f t="shared" si="7"/>
        <v>7.0699999999999999E-2</v>
      </c>
      <c r="K68">
        <f t="shared" si="7"/>
        <v>0.21210000000000001</v>
      </c>
      <c r="L68">
        <f t="shared" si="7"/>
        <v>0</v>
      </c>
      <c r="M68">
        <f t="shared" si="7"/>
        <v>0.3347</v>
      </c>
    </row>
    <row r="69" spans="1:13" x14ac:dyDescent="0.3">
      <c r="A69" t="s">
        <v>11</v>
      </c>
      <c r="B69">
        <f t="shared" si="7"/>
        <v>0.1414</v>
      </c>
      <c r="C69">
        <f t="shared" si="7"/>
        <v>8.3699999999999997E-2</v>
      </c>
      <c r="D69">
        <f t="shared" si="7"/>
        <v>0.1414</v>
      </c>
      <c r="E69">
        <f t="shared" si="7"/>
        <v>0.1414</v>
      </c>
      <c r="F69">
        <f t="shared" si="7"/>
        <v>0.1095</v>
      </c>
      <c r="G69">
        <f t="shared" si="7"/>
        <v>0.1095</v>
      </c>
      <c r="H69">
        <f t="shared" si="7"/>
        <v>0.1414</v>
      </c>
      <c r="I69">
        <f t="shared" si="7"/>
        <v>0.1095</v>
      </c>
      <c r="J69">
        <f t="shared" si="7"/>
        <v>6.3200000000000006E-2</v>
      </c>
      <c r="K69">
        <f t="shared" si="7"/>
        <v>6.3200000000000006E-2</v>
      </c>
      <c r="L69">
        <f t="shared" si="7"/>
        <v>7.0699999999999999E-2</v>
      </c>
      <c r="M69">
        <f t="shared" si="7"/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8"/>
  <dimension ref="A1:M69"/>
  <sheetViews>
    <sheetView workbookViewId="0">
      <selection activeCell="A15" sqref="A15:M69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12</v>
      </c>
      <c r="D2" t="s">
        <v>12</v>
      </c>
      <c r="E2" t="s">
        <v>62</v>
      </c>
      <c r="F2" t="s">
        <v>15</v>
      </c>
      <c r="G2" t="s">
        <v>15</v>
      </c>
      <c r="H2" t="s">
        <v>22</v>
      </c>
      <c r="I2" t="s">
        <v>16</v>
      </c>
      <c r="J2" t="s">
        <v>13</v>
      </c>
      <c r="K2" t="s">
        <v>24</v>
      </c>
      <c r="L2" t="s">
        <v>16</v>
      </c>
      <c r="M2" t="s">
        <v>15</v>
      </c>
    </row>
    <row r="3" spans="1:13" x14ac:dyDescent="0.3">
      <c r="A3" s="1" t="s">
        <v>1</v>
      </c>
      <c r="B3" t="s">
        <v>20</v>
      </c>
      <c r="C3">
        <v>0</v>
      </c>
      <c r="D3" t="s">
        <v>25</v>
      </c>
      <c r="E3" t="s">
        <v>25</v>
      </c>
      <c r="F3" t="s">
        <v>15</v>
      </c>
      <c r="G3" t="s">
        <v>18</v>
      </c>
      <c r="H3" t="s">
        <v>25</v>
      </c>
      <c r="I3" t="s">
        <v>16</v>
      </c>
      <c r="J3" t="s">
        <v>12</v>
      </c>
      <c r="K3" t="s">
        <v>25</v>
      </c>
      <c r="L3" t="s">
        <v>18</v>
      </c>
      <c r="M3" t="s">
        <v>13</v>
      </c>
    </row>
    <row r="4" spans="1:13" x14ac:dyDescent="0.3">
      <c r="A4" s="1" t="s">
        <v>2</v>
      </c>
      <c r="B4" t="s">
        <v>12</v>
      </c>
      <c r="C4" t="s">
        <v>62</v>
      </c>
      <c r="D4">
        <v>0</v>
      </c>
      <c r="E4" t="s">
        <v>16</v>
      </c>
      <c r="F4" t="s">
        <v>15</v>
      </c>
      <c r="G4" t="s">
        <v>20</v>
      </c>
      <c r="H4" t="s">
        <v>22</v>
      </c>
      <c r="I4" t="s">
        <v>15</v>
      </c>
      <c r="J4" t="s">
        <v>18</v>
      </c>
      <c r="K4" t="s">
        <v>25</v>
      </c>
      <c r="L4" t="s">
        <v>13</v>
      </c>
      <c r="M4" t="s">
        <v>13</v>
      </c>
    </row>
    <row r="5" spans="1:13" x14ac:dyDescent="0.3">
      <c r="A5" s="1" t="s">
        <v>3</v>
      </c>
      <c r="B5" t="s">
        <v>15</v>
      </c>
      <c r="C5" t="s">
        <v>23</v>
      </c>
      <c r="D5" t="s">
        <v>15</v>
      </c>
      <c r="E5">
        <v>0</v>
      </c>
      <c r="F5" t="s">
        <v>21</v>
      </c>
      <c r="G5" t="s">
        <v>16</v>
      </c>
      <c r="H5" t="s">
        <v>12</v>
      </c>
      <c r="I5" t="s">
        <v>16</v>
      </c>
      <c r="J5" t="s">
        <v>18</v>
      </c>
      <c r="K5" t="s">
        <v>23</v>
      </c>
      <c r="L5" t="s">
        <v>12</v>
      </c>
      <c r="M5" t="s">
        <v>71</v>
      </c>
    </row>
    <row r="6" spans="1:13" x14ac:dyDescent="0.3">
      <c r="A6" s="1" t="s">
        <v>4</v>
      </c>
      <c r="B6" t="s">
        <v>15</v>
      </c>
      <c r="C6" t="s">
        <v>15</v>
      </c>
      <c r="D6" t="s">
        <v>24</v>
      </c>
      <c r="E6" t="s">
        <v>22</v>
      </c>
      <c r="F6">
        <v>0</v>
      </c>
      <c r="G6" t="s">
        <v>12</v>
      </c>
      <c r="H6" t="s">
        <v>16</v>
      </c>
      <c r="I6" t="s">
        <v>23</v>
      </c>
      <c r="J6" t="s">
        <v>25</v>
      </c>
      <c r="K6" t="s">
        <v>13</v>
      </c>
      <c r="L6" t="s">
        <v>22</v>
      </c>
      <c r="M6" t="s">
        <v>15</v>
      </c>
    </row>
    <row r="7" spans="1:13" x14ac:dyDescent="0.3">
      <c r="A7" s="1" t="s">
        <v>5</v>
      </c>
      <c r="B7" t="s">
        <v>16</v>
      </c>
      <c r="C7" t="s">
        <v>22</v>
      </c>
      <c r="D7" t="s">
        <v>71</v>
      </c>
      <c r="E7" t="s">
        <v>16</v>
      </c>
      <c r="F7" t="s">
        <v>23</v>
      </c>
      <c r="G7">
        <v>0</v>
      </c>
      <c r="H7" t="s">
        <v>23</v>
      </c>
      <c r="I7" t="s">
        <v>15</v>
      </c>
      <c r="J7" t="s">
        <v>25</v>
      </c>
      <c r="K7" t="s">
        <v>16</v>
      </c>
      <c r="L7" s="6" t="s">
        <v>24</v>
      </c>
      <c r="M7" t="s">
        <v>24</v>
      </c>
    </row>
    <row r="8" spans="1:13" x14ac:dyDescent="0.3">
      <c r="A8" s="1" t="s">
        <v>6</v>
      </c>
      <c r="B8" t="s">
        <v>15</v>
      </c>
      <c r="C8" t="s">
        <v>16</v>
      </c>
      <c r="D8" t="s">
        <v>22</v>
      </c>
      <c r="E8" t="s">
        <v>16</v>
      </c>
      <c r="F8" t="s">
        <v>17</v>
      </c>
      <c r="G8" t="s">
        <v>71</v>
      </c>
      <c r="H8">
        <v>0</v>
      </c>
      <c r="I8" t="s">
        <v>16</v>
      </c>
      <c r="J8" t="s">
        <v>15</v>
      </c>
      <c r="K8" t="s">
        <v>15</v>
      </c>
      <c r="L8" s="6" t="s">
        <v>24</v>
      </c>
      <c r="M8" t="s">
        <v>15</v>
      </c>
    </row>
    <row r="9" spans="1:13" x14ac:dyDescent="0.3">
      <c r="A9" s="1" t="s">
        <v>7</v>
      </c>
      <c r="B9" t="s">
        <v>24</v>
      </c>
      <c r="C9" t="s">
        <v>23</v>
      </c>
      <c r="D9" t="s">
        <v>21</v>
      </c>
      <c r="E9" t="s">
        <v>16</v>
      </c>
      <c r="F9" t="s">
        <v>15</v>
      </c>
      <c r="G9" t="s">
        <v>20</v>
      </c>
      <c r="H9" t="s">
        <v>15</v>
      </c>
      <c r="I9">
        <v>0</v>
      </c>
      <c r="J9" t="s">
        <v>13</v>
      </c>
      <c r="K9" t="s">
        <v>25</v>
      </c>
      <c r="L9" s="6" t="s">
        <v>12</v>
      </c>
      <c r="M9" t="s">
        <v>13</v>
      </c>
    </row>
    <row r="10" spans="1:13" x14ac:dyDescent="0.3">
      <c r="A10" s="1" t="s">
        <v>8</v>
      </c>
      <c r="B10" t="s">
        <v>21</v>
      </c>
      <c r="C10" t="s">
        <v>16</v>
      </c>
      <c r="D10" t="s">
        <v>24</v>
      </c>
      <c r="E10" t="s">
        <v>15</v>
      </c>
      <c r="F10" t="s">
        <v>62</v>
      </c>
      <c r="G10" t="s">
        <v>24</v>
      </c>
      <c r="H10" t="s">
        <v>13</v>
      </c>
      <c r="I10" t="s">
        <v>15</v>
      </c>
      <c r="J10">
        <v>0</v>
      </c>
      <c r="K10" t="s">
        <v>25</v>
      </c>
      <c r="L10" s="6" t="s">
        <v>13</v>
      </c>
      <c r="M10" t="s">
        <v>13</v>
      </c>
    </row>
    <row r="11" spans="1:13" x14ac:dyDescent="0.3">
      <c r="A11" s="1" t="s">
        <v>9</v>
      </c>
      <c r="B11" t="s">
        <v>23</v>
      </c>
      <c r="C11" t="s">
        <v>24</v>
      </c>
      <c r="D11" t="s">
        <v>24</v>
      </c>
      <c r="E11" t="s">
        <v>20</v>
      </c>
      <c r="F11" t="s">
        <v>24</v>
      </c>
      <c r="G11" t="s">
        <v>15</v>
      </c>
      <c r="H11" t="s">
        <v>23</v>
      </c>
      <c r="I11" t="s">
        <v>22</v>
      </c>
      <c r="J11" t="s">
        <v>16</v>
      </c>
      <c r="K11">
        <v>0</v>
      </c>
      <c r="L11" s="6" t="s">
        <v>15</v>
      </c>
      <c r="M11" t="s">
        <v>16</v>
      </c>
    </row>
    <row r="12" spans="1:13" x14ac:dyDescent="0.3">
      <c r="A12" s="1" t="s">
        <v>10</v>
      </c>
      <c r="B12" t="s">
        <v>17</v>
      </c>
      <c r="C12" t="s">
        <v>15</v>
      </c>
      <c r="D12" t="s">
        <v>20</v>
      </c>
      <c r="E12" t="s">
        <v>16</v>
      </c>
      <c r="F12" t="s">
        <v>16</v>
      </c>
      <c r="G12" t="s">
        <v>23</v>
      </c>
      <c r="H12" t="s">
        <v>15</v>
      </c>
      <c r="I12" t="s">
        <v>17</v>
      </c>
      <c r="J12" t="s">
        <v>22</v>
      </c>
      <c r="K12" t="s">
        <v>17</v>
      </c>
      <c r="L12">
        <v>0</v>
      </c>
      <c r="M12" t="s">
        <v>18</v>
      </c>
    </row>
    <row r="13" spans="1:13" x14ac:dyDescent="0.3">
      <c r="A13" s="1" t="s">
        <v>11</v>
      </c>
      <c r="B13" t="s">
        <v>16</v>
      </c>
      <c r="C13" t="s">
        <v>15</v>
      </c>
      <c r="D13" t="s">
        <v>16</v>
      </c>
      <c r="E13" t="s">
        <v>22</v>
      </c>
      <c r="F13" t="s">
        <v>22</v>
      </c>
      <c r="G13" t="s">
        <v>17</v>
      </c>
      <c r="H13" t="s">
        <v>16</v>
      </c>
      <c r="I13" t="s">
        <v>16</v>
      </c>
      <c r="J13" t="s">
        <v>21</v>
      </c>
      <c r="K13" t="s">
        <v>15</v>
      </c>
      <c r="L13" t="s">
        <v>23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(0,1673; 0,251; 0,3347)</v>
      </c>
      <c r="D16" t="str">
        <f>VLOOKUP(D2,'Thang đánh giá'!$C$2:$D$27,2,FALSE)</f>
        <v>(0,1673; 0,251; 0,3347)</v>
      </c>
      <c r="E16" t="str">
        <f>VLOOKUP(E2,'Thang đánh giá'!$C$2:$D$27,2,FALSE)</f>
        <v>(0; 0,0837; 0,1673)</v>
      </c>
      <c r="F16" t="str">
        <f>VLOOKUP(F2,'Thang đánh giá'!$C$2:$D$27,2,FALSE)</f>
        <v>(0; 0,0707; 0,1414)</v>
      </c>
      <c r="G16" t="str">
        <f>VLOOKUP(G2,'Thang đánh giá'!$C$2:$D$27,2,FALSE)</f>
        <v>(0; 0,0707; 0,1414)</v>
      </c>
      <c r="H16" t="str">
        <f>VLOOKUP(H2,'Thang đánh giá'!$C$2:$D$27,2,FALSE)</f>
        <v>(0,0707; 0,1414; 0,2121)</v>
      </c>
      <c r="I16" t="str">
        <f>VLOOKUP(I2,'Thang đánh giá'!$C$2:$D$27,2,FALSE)</f>
        <v>(0; 0; 0,0707)</v>
      </c>
      <c r="J16" t="str">
        <f>VLOOKUP(J2,'Thang đánh giá'!$C$2:$D$27,2,FALSE)</f>
        <v>(0,1897; 0,2846; 0,3795)</v>
      </c>
      <c r="K16" t="str">
        <f>VLOOKUP(K2,'Thang đánh giá'!$C$2:$D$27,2,FALSE)</f>
        <v>(0; 0; 0,0548)</v>
      </c>
      <c r="L16" t="str">
        <f>VLOOKUP(L2,'Thang đánh giá'!$C$2:$D$27,2,FALSE)</f>
        <v>(0; 0; 0,0707)</v>
      </c>
      <c r="M16" t="str">
        <f>VLOOKUP(M2,'Thang đánh giá'!$C$2:$D$27,2,FALSE)</f>
        <v>(0; 0,0707; 0,1414)</v>
      </c>
    </row>
    <row r="17" spans="1:13" x14ac:dyDescent="0.3">
      <c r="A17" t="s">
        <v>1</v>
      </c>
      <c r="B17" t="str">
        <f>VLOOKUP(B3,'Thang đánh giá'!$C$2:$D$27,2,FALSE)</f>
        <v>(0; 0,0548; 0,1095)</v>
      </c>
      <c r="C17" t="str">
        <f>VLOOKUP(C3,'Thang đánh giá'!$C$2:$D$27,2,FALSE)</f>
        <v>(0; 0; 0)</v>
      </c>
      <c r="D17" t="str">
        <f>VLOOKUP(D3,'Thang đánh giá'!$C$2:$D$27,2,FALSE)</f>
        <v>(0,251; 0,3347; 0,3347)</v>
      </c>
      <c r="E17" t="str">
        <f>VLOOKUP(E3,'Thang đánh giá'!$C$2:$D$27,2,FALSE)</f>
        <v>(0,251; 0,3347; 0,3347)</v>
      </c>
      <c r="F17" t="str">
        <f>VLOOKUP(F3,'Thang đánh giá'!$C$2:$D$27,2,FALSE)</f>
        <v>(0; 0,0707; 0,1414)</v>
      </c>
      <c r="G17" t="str">
        <f>VLOOKUP(G3,'Thang đánh giá'!$C$2:$D$27,2,FALSE)</f>
        <v>(0,2846; 0,3795; 0,3795)</v>
      </c>
      <c r="H17" t="str">
        <f>VLOOKUP(H3,'Thang đánh giá'!$C$2:$D$27,2,FALSE)</f>
        <v>(0,251; 0,3347; 0,3347)</v>
      </c>
      <c r="I17" t="str">
        <f>VLOOKUP(I3,'Thang đánh giá'!$C$2:$D$27,2,FALSE)</f>
        <v>(0; 0; 0,0707)</v>
      </c>
      <c r="J17" t="str">
        <f>VLOOKUP(J3,'Thang đánh giá'!$C$2:$D$27,2,FALSE)</f>
        <v>(0,1673; 0,251; 0,3347)</v>
      </c>
      <c r="K17" t="str">
        <f>VLOOKUP(K3,'Thang đánh giá'!$C$2:$D$27,2,FALSE)</f>
        <v>(0,251; 0,3347; 0,3347)</v>
      </c>
      <c r="L17" t="str">
        <f>VLOOKUP(L3,'Thang đánh giá'!$C$2:$D$27,2,FALSE)</f>
        <v>(0,2846; 0,3795; 0,3795)</v>
      </c>
      <c r="M17" t="str">
        <f>VLOOKUP(M3,'Thang đánh giá'!$C$2:$D$27,2,FALSE)</f>
        <v>(0,1897; 0,2846; 0,3795)</v>
      </c>
    </row>
    <row r="18" spans="1:13" x14ac:dyDescent="0.3">
      <c r="A18" t="s">
        <v>2</v>
      </c>
      <c r="B18" t="str">
        <f>VLOOKUP(B4,'Thang đánh giá'!$C$2:$D$27,2,FALSE)</f>
        <v>(0,1673; 0,251; 0,3347)</v>
      </c>
      <c r="C18" t="str">
        <f>VLOOKUP(C4,'Thang đánh giá'!$C$2:$D$27,2,FALSE)</f>
        <v>(0; 0,0837; 0,1673)</v>
      </c>
      <c r="D18" t="str">
        <f>VLOOKUP(D4,'Thang đánh giá'!$C$2:$D$27,2,FALSE)</f>
        <v>(0; 0; 0)</v>
      </c>
      <c r="E18" t="str">
        <f>VLOOKUP(E4,'Thang đánh giá'!$C$2:$D$27,2,FALSE)</f>
        <v>(0; 0; 0,0707)</v>
      </c>
      <c r="F18" t="str">
        <f>VLOOKUP(F4,'Thang đánh giá'!$C$2:$D$27,2,FALSE)</f>
        <v>(0; 0,0707; 0,1414)</v>
      </c>
      <c r="G18" t="str">
        <f>VLOOKUP(G4,'Thang đánh giá'!$C$2:$D$27,2,FALSE)</f>
        <v>(0; 0,0548; 0,1095)</v>
      </c>
      <c r="H18" t="str">
        <f>VLOOKUP(H4,'Thang đánh giá'!$C$2:$D$27,2,FALSE)</f>
        <v>(0,0707; 0,1414; 0,2121)</v>
      </c>
      <c r="I18" t="str">
        <f>VLOOKUP(I4,'Thang đánh giá'!$C$2:$D$27,2,FALSE)</f>
        <v>(0; 0,0707; 0,1414)</v>
      </c>
      <c r="J18" t="str">
        <f>VLOOKUP(J4,'Thang đánh giá'!$C$2:$D$27,2,FALSE)</f>
        <v>(0,2846; 0,3795; 0,3795)</v>
      </c>
      <c r="K18" t="str">
        <f>VLOOKUP(K4,'Thang đánh giá'!$C$2:$D$27,2,FALSE)</f>
        <v>(0,251; 0,3347; 0,3347)</v>
      </c>
      <c r="L18" t="str">
        <f>VLOOKUP(L4,'Thang đánh giá'!$C$2:$D$27,2,FALSE)</f>
        <v>(0,1897; 0,2846; 0,3795)</v>
      </c>
      <c r="M18" t="str">
        <f>VLOOKUP(M4,'Thang đánh giá'!$C$2:$D$27,2,FALSE)</f>
        <v>(0,1897; 0,2846; 0,3795)</v>
      </c>
    </row>
    <row r="19" spans="1:13" x14ac:dyDescent="0.3">
      <c r="A19" t="s">
        <v>3</v>
      </c>
      <c r="B19" t="str">
        <f>VLOOKUP(B5,'Thang đánh giá'!$C$2:$D$27,2,FALSE)</f>
        <v>(0; 0,0707; 0,1414)</v>
      </c>
      <c r="C19" t="str">
        <f>VLOOKUP(C5,'Thang đánh giá'!$C$2:$D$27,2,FALSE)</f>
        <v>(0; 0; 0,0316)</v>
      </c>
      <c r="D19" t="str">
        <f>VLOOKUP(D5,'Thang đánh giá'!$C$2:$D$27,2,FALSE)</f>
        <v>(0; 0,0707; 0,1414)</v>
      </c>
      <c r="E19" t="str">
        <f>VLOOKUP(E5,'Thang đánh giá'!$C$2:$D$27,2,FALSE)</f>
        <v>(0; 0; 0)</v>
      </c>
      <c r="F19" t="str">
        <f>VLOOKUP(F5,'Thang đánh giá'!$C$2:$D$27,2,FALSE)</f>
        <v>(0,0837; 0,1673; 0,251)</v>
      </c>
      <c r="G19" t="str">
        <f>VLOOKUP(G5,'Thang đánh giá'!$C$2:$D$27,2,FALSE)</f>
        <v>(0; 0; 0,0707)</v>
      </c>
      <c r="H19" t="str">
        <f>VLOOKUP(H5,'Thang đánh giá'!$C$2:$D$27,2,FALSE)</f>
        <v>(0,1673; 0,251; 0,3347)</v>
      </c>
      <c r="I19" t="str">
        <f>VLOOKUP(I5,'Thang đánh giá'!$C$2:$D$27,2,FALSE)</f>
        <v>(0; 0; 0,0707)</v>
      </c>
      <c r="J19" t="str">
        <f>VLOOKUP(J5,'Thang đánh giá'!$C$2:$D$27,2,FALSE)</f>
        <v>(0,2846; 0,3795; 0,3795)</v>
      </c>
      <c r="K19" t="str">
        <f>VLOOKUP(K5,'Thang đánh giá'!$C$2:$D$27,2,FALSE)</f>
        <v>(0; 0; 0,0316)</v>
      </c>
      <c r="L19" t="str">
        <f>VLOOKUP(L5,'Thang đánh giá'!$C$2:$D$27,2,FALSE)</f>
        <v>(0,1673; 0,251; 0,3347)</v>
      </c>
      <c r="M19" t="str">
        <f>VLOOKUP(M5,'Thang đánh giá'!$C$2:$D$27,2,FALSE)</f>
        <v>(0; 0; 0,0837)</v>
      </c>
    </row>
    <row r="20" spans="1:13" x14ac:dyDescent="0.3">
      <c r="A20" t="s">
        <v>4</v>
      </c>
      <c r="B20" t="str">
        <f>VLOOKUP(B6,'Thang đánh giá'!$C$2:$D$27,2,FALSE)</f>
        <v>(0; 0,0707; 0,1414)</v>
      </c>
      <c r="C20" t="str">
        <f>VLOOKUP(C6,'Thang đánh giá'!$C$2:$D$27,2,FALSE)</f>
        <v>(0; 0,0707; 0,1414)</v>
      </c>
      <c r="D20" t="str">
        <f>VLOOKUP(D6,'Thang đánh giá'!$C$2:$D$27,2,FALSE)</f>
        <v>(0; 0; 0,0548)</v>
      </c>
      <c r="E20" t="str">
        <f>VLOOKUP(E6,'Thang đánh giá'!$C$2:$D$27,2,FALSE)</f>
        <v>(0,0707; 0,1414; 0,2121)</v>
      </c>
      <c r="F20" t="str">
        <f>VLOOKUP(F6,'Thang đánh giá'!$C$2:$D$27,2,FALSE)</f>
        <v>(0; 0; 0)</v>
      </c>
      <c r="G20" t="str">
        <f>VLOOKUP(G6,'Thang đánh giá'!$C$2:$D$27,2,FALSE)</f>
        <v>(0,1673; 0,251; 0,3347)</v>
      </c>
      <c r="H20" t="str">
        <f>VLOOKUP(H6,'Thang đánh giá'!$C$2:$D$27,2,FALSE)</f>
        <v>(0; 0; 0,0707)</v>
      </c>
      <c r="I20" t="str">
        <f>VLOOKUP(I6,'Thang đánh giá'!$C$2:$D$27,2,FALSE)</f>
        <v>(0; 0; 0,0316)</v>
      </c>
      <c r="J20" t="str">
        <f>VLOOKUP(J6,'Thang đánh giá'!$C$2:$D$27,2,FALSE)</f>
        <v>(0,251; 0,3347; 0,3347)</v>
      </c>
      <c r="K20" t="str">
        <f>VLOOKUP(K6,'Thang đánh giá'!$C$2:$D$27,2,FALSE)</f>
        <v>(0,1897; 0,2846; 0,3795)</v>
      </c>
      <c r="L20" t="str">
        <f>VLOOKUP(L6,'Thang đánh giá'!$C$2:$D$27,2,FALSE)</f>
        <v>(0,0707; 0,1414; 0,2121)</v>
      </c>
      <c r="M20" t="str">
        <f>VLOOKUP(M6,'Thang đánh giá'!$C$2:$D$27,2,FALSE)</f>
        <v>(0; 0,0707; 0,1414)</v>
      </c>
    </row>
    <row r="21" spans="1:13" x14ac:dyDescent="0.3">
      <c r="A21" t="s">
        <v>5</v>
      </c>
      <c r="B21" t="str">
        <f>VLOOKUP(B7,'Thang đánh giá'!$C$2:$D$27,2,FALSE)</f>
        <v>(0; 0; 0,0707)</v>
      </c>
      <c r="C21" t="str">
        <f>VLOOKUP(C7,'Thang đánh giá'!$C$2:$D$27,2,FALSE)</f>
        <v>(0,0707; 0,1414; 0,2121)</v>
      </c>
      <c r="D21" t="str">
        <f>VLOOKUP(D7,'Thang đánh giá'!$C$2:$D$27,2,FALSE)</f>
        <v>(0; 0; 0,0837)</v>
      </c>
      <c r="E21" t="str">
        <f>VLOOKUP(E7,'Thang đánh giá'!$C$2:$D$27,2,FALSE)</f>
        <v>(0; 0; 0,0707)</v>
      </c>
      <c r="F21" t="str">
        <f>VLOOKUP(F7,'Thang đánh giá'!$C$2:$D$27,2,FALSE)</f>
        <v>(0; 0; 0,0316)</v>
      </c>
      <c r="G21" t="str">
        <f>VLOOKUP(G7,'Thang đánh giá'!$C$2:$D$27,2,FALSE)</f>
        <v>(0; 0; 0)</v>
      </c>
      <c r="H21" t="str">
        <f>VLOOKUP(H7,'Thang đánh giá'!$C$2:$D$27,2,FALSE)</f>
        <v>(0; 0; 0,0316)</v>
      </c>
      <c r="I21" t="str">
        <f>VLOOKUP(I7,'Thang đánh giá'!$C$2:$D$27,2,FALSE)</f>
        <v>(0; 0,0707; 0,1414)</v>
      </c>
      <c r="J21" t="str">
        <f>VLOOKUP(J7,'Thang đánh giá'!$C$2:$D$27,2,FALSE)</f>
        <v>(0,251; 0,3347; 0,3347)</v>
      </c>
      <c r="K21" t="str">
        <f>VLOOKUP(K7,'Thang đánh giá'!$C$2:$D$27,2,FALSE)</f>
        <v>(0; 0; 0,0707)</v>
      </c>
      <c r="L21" t="str">
        <f>VLOOKUP(L7,'Thang đánh giá'!$C$2:$D$27,2,FALSE)</f>
        <v>(0; 0; 0,0548)</v>
      </c>
      <c r="M21" t="str">
        <f>VLOOKUP(M7,'Thang đánh giá'!$C$2:$D$27,2,FALSE)</f>
        <v>(0; 0; 0,0548)</v>
      </c>
    </row>
    <row r="22" spans="1:13" x14ac:dyDescent="0.3">
      <c r="A22" t="s">
        <v>6</v>
      </c>
      <c r="B22" t="str">
        <f>VLOOKUP(B8,'Thang đánh giá'!$C$2:$D$27,2,FALSE)</f>
        <v>(0; 0,0707; 0,1414)</v>
      </c>
      <c r="C22" t="str">
        <f>VLOOKUP(C8,'Thang đánh giá'!$C$2:$D$27,2,FALSE)</f>
        <v>(0; 0; 0,0707)</v>
      </c>
      <c r="D22" t="str">
        <f>VLOOKUP(D8,'Thang đánh giá'!$C$2:$D$27,2,FALSE)</f>
        <v>(0,0707; 0,1414; 0,2121)</v>
      </c>
      <c r="E22" t="str">
        <f>VLOOKUP(E8,'Thang đánh giá'!$C$2:$D$27,2,FALSE)</f>
        <v>(0; 0; 0,0707)</v>
      </c>
      <c r="F22" t="str">
        <f>VLOOKUP(F8,'Thang đánh giá'!$C$2:$D$27,2,FALSE)</f>
        <v>(0; 0,0316; 0,0632)</v>
      </c>
      <c r="G22" t="str">
        <f>VLOOKUP(G8,'Thang đánh giá'!$C$2:$D$27,2,FALSE)</f>
        <v>(0; 0; 0,0837)</v>
      </c>
      <c r="H22" t="str">
        <f>VLOOKUP(H8,'Thang đánh giá'!$C$2:$D$27,2,FALSE)</f>
        <v>(0; 0; 0)</v>
      </c>
      <c r="I22" t="str">
        <f>VLOOKUP(I8,'Thang đánh giá'!$C$2:$D$27,2,FALSE)</f>
        <v>(0; 0; 0,0707)</v>
      </c>
      <c r="J22" t="str">
        <f>VLOOKUP(J8,'Thang đánh giá'!$C$2:$D$27,2,FALSE)</f>
        <v>(0; 0,0707; 0,1414)</v>
      </c>
      <c r="K22" t="str">
        <f>VLOOKUP(K8,'Thang đánh giá'!$C$2:$D$27,2,FALSE)</f>
        <v>(0; 0,0707; 0,1414)</v>
      </c>
      <c r="L22" t="str">
        <f>VLOOKUP(L8,'Thang đánh giá'!$C$2:$D$27,2,FALSE)</f>
        <v>(0; 0; 0,0548)</v>
      </c>
      <c r="M22" t="str">
        <f>VLOOKUP(M8,'Thang đánh giá'!$C$2:$D$27,2,FALSE)</f>
        <v>(0; 0,0707; 0,1414)</v>
      </c>
    </row>
    <row r="23" spans="1:13" x14ac:dyDescent="0.3">
      <c r="A23" t="s">
        <v>7</v>
      </c>
      <c r="B23" t="str">
        <f>VLOOKUP(B9,'Thang đánh giá'!$C$2:$D$27,2,FALSE)</f>
        <v>(0; 0; 0,0548)</v>
      </c>
      <c r="C23" t="str">
        <f>VLOOKUP(C9,'Thang đánh giá'!$C$2:$D$27,2,FALSE)</f>
        <v>(0; 0; 0,0316)</v>
      </c>
      <c r="D23" t="str">
        <f>VLOOKUP(D9,'Thang đánh giá'!$C$2:$D$27,2,FALSE)</f>
        <v>(0,0837; 0,1673; 0,251)</v>
      </c>
      <c r="E23" t="str">
        <f>VLOOKUP(E9,'Thang đánh giá'!$C$2:$D$27,2,FALSE)</f>
        <v>(0; 0; 0,0707)</v>
      </c>
      <c r="F23" t="str">
        <f>VLOOKUP(F9,'Thang đánh giá'!$C$2:$D$27,2,FALSE)</f>
        <v>(0; 0,0707; 0,1414)</v>
      </c>
      <c r="G23" t="str">
        <f>VLOOKUP(G9,'Thang đánh giá'!$C$2:$D$27,2,FALSE)</f>
        <v>(0; 0,0548; 0,1095)</v>
      </c>
      <c r="H23" t="str">
        <f>VLOOKUP(H9,'Thang đánh giá'!$C$2:$D$27,2,FALSE)</f>
        <v>(0; 0,0707; 0,1414)</v>
      </c>
      <c r="I23" t="str">
        <f>VLOOKUP(I9,'Thang đánh giá'!$C$2:$D$27,2,FALSE)</f>
        <v>(0; 0; 0)</v>
      </c>
      <c r="J23" t="str">
        <f>VLOOKUP(J9,'Thang đánh giá'!$C$2:$D$27,2,FALSE)</f>
        <v>(0,1897; 0,2846; 0,3795)</v>
      </c>
      <c r="K23" t="str">
        <f>VLOOKUP(K9,'Thang đánh giá'!$C$2:$D$27,2,FALSE)</f>
        <v>(0,251; 0,3347; 0,3347)</v>
      </c>
      <c r="L23" t="str">
        <f>VLOOKUP(L9,'Thang đánh giá'!$C$2:$D$27,2,FALSE)</f>
        <v>(0,1673; 0,251; 0,3347)</v>
      </c>
      <c r="M23" t="str">
        <f>VLOOKUP(M9,'Thang đánh giá'!$C$2:$D$27,2,FALSE)</f>
        <v>(0,1897; 0,2846; 0,3795)</v>
      </c>
    </row>
    <row r="24" spans="1:13" x14ac:dyDescent="0.3">
      <c r="A24" t="s">
        <v>8</v>
      </c>
      <c r="B24" t="str">
        <f>VLOOKUP(B10,'Thang đánh giá'!$C$2:$D$27,2,FALSE)</f>
        <v>(0,0837; 0,1673; 0,251)</v>
      </c>
      <c r="C24" t="str">
        <f>VLOOKUP(C10,'Thang đánh giá'!$C$2:$D$27,2,FALSE)</f>
        <v>(0; 0; 0,0707)</v>
      </c>
      <c r="D24" t="str">
        <f>VLOOKUP(D10,'Thang đánh giá'!$C$2:$D$27,2,FALSE)</f>
        <v>(0; 0; 0,0548)</v>
      </c>
      <c r="E24" t="str">
        <f>VLOOKUP(E10,'Thang đánh giá'!$C$2:$D$27,2,FALSE)</f>
        <v>(0; 0,0707; 0,1414)</v>
      </c>
      <c r="F24" t="str">
        <f>VLOOKUP(F10,'Thang đánh giá'!$C$2:$D$27,2,FALSE)</f>
        <v>(0; 0,0837; 0,1673)</v>
      </c>
      <c r="G24" t="str">
        <f>VLOOKUP(G10,'Thang đánh giá'!$C$2:$D$27,2,FALSE)</f>
        <v>(0; 0; 0,0548)</v>
      </c>
      <c r="H24" t="str">
        <f>VLOOKUP(H10,'Thang đánh giá'!$C$2:$D$27,2,FALSE)</f>
        <v>(0,1897; 0,2846; 0,3795)</v>
      </c>
      <c r="I24" t="str">
        <f>VLOOKUP(I10,'Thang đánh giá'!$C$2:$D$27,2,FALSE)</f>
        <v>(0; 0,0707; 0,1414)</v>
      </c>
      <c r="J24" t="str">
        <f>VLOOKUP(J10,'Thang đánh giá'!$C$2:$D$27,2,FALSE)</f>
        <v>(0; 0; 0)</v>
      </c>
      <c r="K24" t="str">
        <f>VLOOKUP(K10,'Thang đánh giá'!$C$2:$D$27,2,FALSE)</f>
        <v>(0,251; 0,3347; 0,3347)</v>
      </c>
      <c r="L24" t="str">
        <f>VLOOKUP(L10,'Thang đánh giá'!$C$2:$D$27,2,FALSE)</f>
        <v>(0,1897; 0,2846; 0,3795)</v>
      </c>
      <c r="M24" t="str">
        <f>VLOOKUP(M10,'Thang đánh giá'!$C$2:$D$27,2,FALSE)</f>
        <v>(0,1897; 0,2846; 0,3795)</v>
      </c>
    </row>
    <row r="25" spans="1:13" x14ac:dyDescent="0.3">
      <c r="A25" t="s">
        <v>9</v>
      </c>
      <c r="B25" t="str">
        <f>VLOOKUP(B11,'Thang đánh giá'!$C$2:$D$27,2,FALSE)</f>
        <v>(0; 0; 0,0316)</v>
      </c>
      <c r="C25" t="str">
        <f>VLOOKUP(C11,'Thang đánh giá'!$C$2:$D$27,2,FALSE)</f>
        <v>(0; 0; 0,0548)</v>
      </c>
      <c r="D25" t="str">
        <f>VLOOKUP(D11,'Thang đánh giá'!$C$2:$D$27,2,FALSE)</f>
        <v>(0; 0; 0,0548)</v>
      </c>
      <c r="E25" t="str">
        <f>VLOOKUP(E11,'Thang đánh giá'!$C$2:$D$27,2,FALSE)</f>
        <v>(0; 0,0548; 0,1095)</v>
      </c>
      <c r="F25" t="str">
        <f>VLOOKUP(F11,'Thang đánh giá'!$C$2:$D$27,2,FALSE)</f>
        <v>(0; 0; 0,0548)</v>
      </c>
      <c r="G25" t="str">
        <f>VLOOKUP(G11,'Thang đánh giá'!$C$2:$D$27,2,FALSE)</f>
        <v>(0; 0,0707; 0,1414)</v>
      </c>
      <c r="H25" t="str">
        <f>VLOOKUP(H11,'Thang đánh giá'!$C$2:$D$27,2,FALSE)</f>
        <v>(0; 0; 0,0316)</v>
      </c>
      <c r="I25" t="str">
        <f>VLOOKUP(I11,'Thang đánh giá'!$C$2:$D$27,2,FALSE)</f>
        <v>(0,0707; 0,1414; 0,2121)</v>
      </c>
      <c r="J25" t="str">
        <f>VLOOKUP(J11,'Thang đánh giá'!$C$2:$D$27,2,FALSE)</f>
        <v>(0; 0; 0,0707)</v>
      </c>
      <c r="K25" t="str">
        <f>VLOOKUP(K11,'Thang đánh giá'!$C$2:$D$27,2,FALSE)</f>
        <v>(0; 0; 0)</v>
      </c>
      <c r="L25" t="str">
        <f>VLOOKUP(L11,'Thang đánh giá'!$C$2:$D$27,2,FALSE)</f>
        <v>(0; 0,0707; 0,1414)</v>
      </c>
      <c r="M25" t="str">
        <f>VLOOKUP(M11,'Thang đánh giá'!$C$2:$D$27,2,FALSE)</f>
        <v>(0; 0; 0,0707)</v>
      </c>
    </row>
    <row r="26" spans="1:13" x14ac:dyDescent="0.3">
      <c r="A26" t="s">
        <v>10</v>
      </c>
      <c r="B26" t="str">
        <f>VLOOKUP(B12,'Thang đánh giá'!$C$2:$D$27,2,FALSE)</f>
        <v>(0; 0,0316; 0,0632)</v>
      </c>
      <c r="C26" t="str">
        <f>VLOOKUP(C12,'Thang đánh giá'!$C$2:$D$27,2,FALSE)</f>
        <v>(0; 0,0707; 0,1414)</v>
      </c>
      <c r="D26" t="str">
        <f>VLOOKUP(D12,'Thang đánh giá'!$C$2:$D$27,2,FALSE)</f>
        <v>(0; 0,0548; 0,1095)</v>
      </c>
      <c r="E26" t="str">
        <f>VLOOKUP(E12,'Thang đánh giá'!$C$2:$D$27,2,FALSE)</f>
        <v>(0; 0; 0,0707)</v>
      </c>
      <c r="F26" t="str">
        <f>VLOOKUP(F12,'Thang đánh giá'!$C$2:$D$27,2,FALSE)</f>
        <v>(0; 0; 0,0707)</v>
      </c>
      <c r="G26" t="str">
        <f>VLOOKUP(G12,'Thang đánh giá'!$C$2:$D$27,2,FALSE)</f>
        <v>(0; 0; 0,0316)</v>
      </c>
      <c r="H26" t="str">
        <f>VLOOKUP(H12,'Thang đánh giá'!$C$2:$D$27,2,FALSE)</f>
        <v>(0; 0,0707; 0,1414)</v>
      </c>
      <c r="I26" t="str">
        <f>VLOOKUP(I12,'Thang đánh giá'!$C$2:$D$27,2,FALSE)</f>
        <v>(0; 0,0316; 0,0632)</v>
      </c>
      <c r="J26" t="str">
        <f>VLOOKUP(J12,'Thang đánh giá'!$C$2:$D$27,2,FALSE)</f>
        <v>(0,0707; 0,1414; 0,2121)</v>
      </c>
      <c r="K26" t="str">
        <f>VLOOKUP(K12,'Thang đánh giá'!$C$2:$D$27,2,FALSE)</f>
        <v>(0; 0,0316; 0,0632)</v>
      </c>
      <c r="L26" t="str">
        <f>VLOOKUP(L12,'Thang đánh giá'!$C$2:$D$27,2,FALSE)</f>
        <v>(0; 0; 0)</v>
      </c>
      <c r="M26" t="str">
        <f>VLOOKUP(M12,'Thang đánh giá'!$C$2:$D$27,2,FALSE)</f>
        <v>(0,2846; 0,3795; 0,3795)</v>
      </c>
    </row>
    <row r="27" spans="1:13" x14ac:dyDescent="0.3">
      <c r="A27" t="s">
        <v>11</v>
      </c>
      <c r="B27" t="str">
        <f>VLOOKUP(B13,'Thang đánh giá'!$C$2:$D$27,2,FALSE)</f>
        <v>(0; 0; 0,0707)</v>
      </c>
      <c r="C27" t="str">
        <f>VLOOKUP(C13,'Thang đánh giá'!$C$2:$D$27,2,FALSE)</f>
        <v>(0; 0,0707; 0,1414)</v>
      </c>
      <c r="D27" t="str">
        <f>VLOOKUP(D13,'Thang đánh giá'!$C$2:$D$27,2,FALSE)</f>
        <v>(0; 0; 0,0707)</v>
      </c>
      <c r="E27" t="str">
        <f>VLOOKUP(E13,'Thang đánh giá'!$C$2:$D$27,2,FALSE)</f>
        <v>(0,0707; 0,1414; 0,2121)</v>
      </c>
      <c r="F27" t="str">
        <f>VLOOKUP(F13,'Thang đánh giá'!$C$2:$D$27,2,FALSE)</f>
        <v>(0,0707; 0,1414; 0,2121)</v>
      </c>
      <c r="G27" t="str">
        <f>VLOOKUP(G13,'Thang đánh giá'!$C$2:$D$27,2,FALSE)</f>
        <v>(0; 0,0316; 0,0632)</v>
      </c>
      <c r="H27" t="str">
        <f>VLOOKUP(H13,'Thang đánh giá'!$C$2:$D$27,2,FALSE)</f>
        <v>(0; 0; 0,0707)</v>
      </c>
      <c r="I27" t="str">
        <f>VLOOKUP(I13,'Thang đánh giá'!$C$2:$D$27,2,FALSE)</f>
        <v>(0; 0; 0,0707)</v>
      </c>
      <c r="J27" t="str">
        <f>VLOOKUP(J13,'Thang đánh giá'!$C$2:$D$27,2,FALSE)</f>
        <v>(0,0837; 0,1673; 0,251)</v>
      </c>
      <c r="K27" t="str">
        <f>VLOOKUP(K13,'Thang đánh giá'!$C$2:$D$27,2,FALSE)</f>
        <v>(0; 0,0707; 0,1414)</v>
      </c>
      <c r="L27" t="str">
        <f>VLOOKUP(L13,'Thang đánh giá'!$C$2:$D$27,2,FALSE)</f>
        <v>(0; 0; 0,0316)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0.1673</v>
      </c>
      <c r="D30">
        <f t="shared" si="0"/>
        <v>0.1673</v>
      </c>
      <c r="E30">
        <f t="shared" si="0"/>
        <v>0</v>
      </c>
      <c r="F30">
        <f t="shared" si="0"/>
        <v>0</v>
      </c>
      <c r="G30">
        <f t="shared" si="0"/>
        <v>0</v>
      </c>
      <c r="H30">
        <f t="shared" si="0"/>
        <v>7.0699999999999999E-2</v>
      </c>
      <c r="I30">
        <f t="shared" si="0"/>
        <v>0</v>
      </c>
      <c r="J30">
        <f t="shared" si="0"/>
        <v>0.18970000000000001</v>
      </c>
      <c r="K30">
        <f t="shared" si="0"/>
        <v>0</v>
      </c>
      <c r="L30">
        <f t="shared" si="0"/>
        <v>0</v>
      </c>
      <c r="M30">
        <f t="shared" si="0"/>
        <v>0</v>
      </c>
    </row>
    <row r="31" spans="1:13" x14ac:dyDescent="0.3">
      <c r="A31" t="s">
        <v>1</v>
      </c>
      <c r="B31">
        <f t="shared" ref="B31:M41" si="1">_xlfn.NUMBERVALUE(MID(B17,2,FIND(";",B17,1)-2))</f>
        <v>0</v>
      </c>
      <c r="C31">
        <f t="shared" si="1"/>
        <v>0</v>
      </c>
      <c r="D31">
        <f t="shared" si="1"/>
        <v>0.251</v>
      </c>
      <c r="E31">
        <f t="shared" si="1"/>
        <v>0.251</v>
      </c>
      <c r="F31">
        <f t="shared" si="1"/>
        <v>0</v>
      </c>
      <c r="G31">
        <f t="shared" si="1"/>
        <v>0.28460000000000002</v>
      </c>
      <c r="H31">
        <f t="shared" si="1"/>
        <v>0.251</v>
      </c>
      <c r="I31">
        <f t="shared" si="1"/>
        <v>0</v>
      </c>
      <c r="J31">
        <f t="shared" si="1"/>
        <v>0.1673</v>
      </c>
      <c r="K31">
        <f t="shared" si="1"/>
        <v>0.251</v>
      </c>
      <c r="L31">
        <f t="shared" si="1"/>
        <v>0.28460000000000002</v>
      </c>
      <c r="M31">
        <f t="shared" si="1"/>
        <v>0.18970000000000001</v>
      </c>
    </row>
    <row r="32" spans="1:13" x14ac:dyDescent="0.3">
      <c r="A32" t="s">
        <v>2</v>
      </c>
      <c r="B32">
        <f t="shared" si="1"/>
        <v>0.1673</v>
      </c>
      <c r="C32">
        <f t="shared" si="1"/>
        <v>0</v>
      </c>
      <c r="D32">
        <f t="shared" si="1"/>
        <v>0</v>
      </c>
      <c r="E32">
        <f t="shared" si="1"/>
        <v>0</v>
      </c>
      <c r="F32">
        <f t="shared" si="1"/>
        <v>0</v>
      </c>
      <c r="G32">
        <f t="shared" si="1"/>
        <v>0</v>
      </c>
      <c r="H32">
        <f t="shared" si="1"/>
        <v>7.0699999999999999E-2</v>
      </c>
      <c r="I32">
        <f t="shared" si="1"/>
        <v>0</v>
      </c>
      <c r="J32">
        <f t="shared" si="1"/>
        <v>0.28460000000000002</v>
      </c>
      <c r="K32">
        <f t="shared" si="1"/>
        <v>0.251</v>
      </c>
      <c r="L32">
        <f t="shared" si="1"/>
        <v>0.18970000000000001</v>
      </c>
      <c r="M32">
        <f t="shared" si="1"/>
        <v>0.18970000000000001</v>
      </c>
    </row>
    <row r="33" spans="1:13" x14ac:dyDescent="0.3">
      <c r="A33" t="s">
        <v>3</v>
      </c>
      <c r="B33">
        <f t="shared" si="1"/>
        <v>0</v>
      </c>
      <c r="C33">
        <f t="shared" si="1"/>
        <v>0</v>
      </c>
      <c r="D33">
        <f t="shared" si="1"/>
        <v>0</v>
      </c>
      <c r="E33">
        <f t="shared" si="1"/>
        <v>0</v>
      </c>
      <c r="F33">
        <f t="shared" si="1"/>
        <v>8.3699999999999997E-2</v>
      </c>
      <c r="G33">
        <f t="shared" si="1"/>
        <v>0</v>
      </c>
      <c r="H33">
        <f t="shared" si="1"/>
        <v>0.1673</v>
      </c>
      <c r="I33">
        <f t="shared" si="1"/>
        <v>0</v>
      </c>
      <c r="J33">
        <f t="shared" si="1"/>
        <v>0.28460000000000002</v>
      </c>
      <c r="K33">
        <f t="shared" si="1"/>
        <v>0</v>
      </c>
      <c r="L33">
        <f t="shared" si="1"/>
        <v>0.1673</v>
      </c>
      <c r="M33">
        <f t="shared" si="1"/>
        <v>0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0</v>
      </c>
      <c r="D34">
        <f t="shared" si="2"/>
        <v>0</v>
      </c>
      <c r="E34">
        <f t="shared" si="2"/>
        <v>7.0699999999999999E-2</v>
      </c>
      <c r="F34">
        <f t="shared" si="2"/>
        <v>0</v>
      </c>
      <c r="G34">
        <f t="shared" si="2"/>
        <v>0.1673</v>
      </c>
      <c r="H34">
        <f t="shared" si="2"/>
        <v>0</v>
      </c>
      <c r="I34">
        <f t="shared" si="2"/>
        <v>0</v>
      </c>
      <c r="J34">
        <f t="shared" si="2"/>
        <v>0.251</v>
      </c>
      <c r="K34">
        <f t="shared" si="2"/>
        <v>0.18970000000000001</v>
      </c>
      <c r="L34">
        <f t="shared" si="2"/>
        <v>7.0699999999999999E-2</v>
      </c>
      <c r="M34">
        <f t="shared" si="2"/>
        <v>0</v>
      </c>
    </row>
    <row r="35" spans="1:13" x14ac:dyDescent="0.3">
      <c r="A35" t="s">
        <v>5</v>
      </c>
      <c r="B35">
        <f t="shared" si="1"/>
        <v>0</v>
      </c>
      <c r="C35">
        <f t="shared" si="1"/>
        <v>7.0699999999999999E-2</v>
      </c>
      <c r="D35">
        <f t="shared" si="1"/>
        <v>0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0</v>
      </c>
      <c r="J35">
        <f t="shared" si="1"/>
        <v>0.251</v>
      </c>
      <c r="K35">
        <f t="shared" si="1"/>
        <v>0</v>
      </c>
      <c r="L35">
        <f t="shared" si="1"/>
        <v>0</v>
      </c>
      <c r="M35">
        <f t="shared" si="1"/>
        <v>0</v>
      </c>
    </row>
    <row r="36" spans="1:13" x14ac:dyDescent="0.3">
      <c r="A36" t="s">
        <v>6</v>
      </c>
      <c r="B36">
        <f t="shared" si="1"/>
        <v>0</v>
      </c>
      <c r="C36">
        <f t="shared" si="1"/>
        <v>0</v>
      </c>
      <c r="D36">
        <f t="shared" si="1"/>
        <v>7.0699999999999999E-2</v>
      </c>
      <c r="E36">
        <f t="shared" si="1"/>
        <v>0</v>
      </c>
      <c r="F36">
        <f t="shared" si="1"/>
        <v>0</v>
      </c>
      <c r="G36">
        <f t="shared" si="1"/>
        <v>0</v>
      </c>
      <c r="H36">
        <f t="shared" si="1"/>
        <v>0</v>
      </c>
      <c r="I36">
        <f t="shared" si="1"/>
        <v>0</v>
      </c>
      <c r="J36">
        <f t="shared" si="1"/>
        <v>0</v>
      </c>
      <c r="K36">
        <f t="shared" si="1"/>
        <v>0</v>
      </c>
      <c r="L36">
        <f t="shared" si="1"/>
        <v>0</v>
      </c>
      <c r="M36">
        <f t="shared" si="1"/>
        <v>0</v>
      </c>
    </row>
    <row r="37" spans="1:13" x14ac:dyDescent="0.3">
      <c r="A37" t="s">
        <v>7</v>
      </c>
      <c r="B37">
        <f t="shared" si="1"/>
        <v>0</v>
      </c>
      <c r="C37">
        <f t="shared" si="1"/>
        <v>0</v>
      </c>
      <c r="D37">
        <f t="shared" si="1"/>
        <v>8.3699999999999997E-2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0.18970000000000001</v>
      </c>
      <c r="K37">
        <f t="shared" si="1"/>
        <v>0.251</v>
      </c>
      <c r="L37">
        <f t="shared" si="1"/>
        <v>0.1673</v>
      </c>
      <c r="M37">
        <f t="shared" si="1"/>
        <v>0.18970000000000001</v>
      </c>
    </row>
    <row r="38" spans="1:13" x14ac:dyDescent="0.3">
      <c r="A38" t="s">
        <v>8</v>
      </c>
      <c r="B38">
        <f t="shared" si="1"/>
        <v>8.3699999999999997E-2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0.18970000000000001</v>
      </c>
      <c r="I38">
        <f t="shared" si="1"/>
        <v>0</v>
      </c>
      <c r="J38">
        <f t="shared" si="1"/>
        <v>0</v>
      </c>
      <c r="K38">
        <f t="shared" si="1"/>
        <v>0.251</v>
      </c>
      <c r="L38">
        <f t="shared" si="1"/>
        <v>0.18970000000000001</v>
      </c>
      <c r="M38">
        <f t="shared" si="1"/>
        <v>0.18970000000000001</v>
      </c>
    </row>
    <row r="39" spans="1:13" x14ac:dyDescent="0.3">
      <c r="A39" t="s">
        <v>9</v>
      </c>
      <c r="B39">
        <f t="shared" si="1"/>
        <v>0</v>
      </c>
      <c r="C39">
        <f t="shared" si="1"/>
        <v>0</v>
      </c>
      <c r="D39">
        <f t="shared" si="1"/>
        <v>0</v>
      </c>
      <c r="E39">
        <f t="shared" si="1"/>
        <v>0</v>
      </c>
      <c r="F39">
        <f t="shared" si="1"/>
        <v>0</v>
      </c>
      <c r="G39">
        <f t="shared" si="1"/>
        <v>0</v>
      </c>
      <c r="H39">
        <f t="shared" si="1"/>
        <v>0</v>
      </c>
      <c r="I39">
        <f t="shared" si="1"/>
        <v>7.0699999999999999E-2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0</v>
      </c>
    </row>
    <row r="40" spans="1:13" x14ac:dyDescent="0.3">
      <c r="A40" t="s">
        <v>10</v>
      </c>
      <c r="B40">
        <f t="shared" si="1"/>
        <v>0</v>
      </c>
      <c r="C40">
        <f t="shared" si="1"/>
        <v>0</v>
      </c>
      <c r="D40">
        <f t="shared" si="1"/>
        <v>0</v>
      </c>
      <c r="E40">
        <f t="shared" si="1"/>
        <v>0</v>
      </c>
      <c r="F40">
        <f t="shared" si="1"/>
        <v>0</v>
      </c>
      <c r="G40">
        <f t="shared" si="1"/>
        <v>0</v>
      </c>
      <c r="H40">
        <f t="shared" si="1"/>
        <v>0</v>
      </c>
      <c r="I40">
        <f t="shared" si="1"/>
        <v>0</v>
      </c>
      <c r="J40">
        <f t="shared" si="1"/>
        <v>7.0699999999999999E-2</v>
      </c>
      <c r="K40">
        <f t="shared" si="1"/>
        <v>0</v>
      </c>
      <c r="L40">
        <f t="shared" si="1"/>
        <v>0</v>
      </c>
      <c r="M40">
        <f t="shared" si="1"/>
        <v>0.28460000000000002</v>
      </c>
    </row>
    <row r="41" spans="1:13" x14ac:dyDescent="0.3">
      <c r="A41" t="s">
        <v>11</v>
      </c>
      <c r="B41">
        <f t="shared" si="1"/>
        <v>0</v>
      </c>
      <c r="C41">
        <f t="shared" si="1"/>
        <v>0</v>
      </c>
      <c r="D41">
        <f t="shared" si="1"/>
        <v>0</v>
      </c>
      <c r="E41">
        <f t="shared" si="1"/>
        <v>7.0699999999999999E-2</v>
      </c>
      <c r="F41">
        <f t="shared" si="1"/>
        <v>7.0699999999999999E-2</v>
      </c>
      <c r="G41">
        <f t="shared" si="1"/>
        <v>0</v>
      </c>
      <c r="H41">
        <f t="shared" si="1"/>
        <v>0</v>
      </c>
      <c r="I41">
        <f t="shared" si="1"/>
        <v>0</v>
      </c>
      <c r="J41">
        <f t="shared" si="1"/>
        <v>8.3699999999999997E-2</v>
      </c>
      <c r="K41">
        <f t="shared" si="1"/>
        <v>0</v>
      </c>
      <c r="L41">
        <f t="shared" si="1"/>
        <v>0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0.251</v>
      </c>
      <c r="D44">
        <f t="shared" si="3"/>
        <v>0.251</v>
      </c>
      <c r="E44">
        <f t="shared" si="3"/>
        <v>8.3699999999999997E-2</v>
      </c>
      <c r="F44">
        <f t="shared" si="3"/>
        <v>7.0699999999999999E-2</v>
      </c>
      <c r="G44">
        <f t="shared" si="3"/>
        <v>7.0699999999999999E-2</v>
      </c>
      <c r="H44">
        <f t="shared" si="3"/>
        <v>0.1414</v>
      </c>
      <c r="I44">
        <f t="shared" si="3"/>
        <v>0</v>
      </c>
      <c r="J44">
        <f t="shared" si="3"/>
        <v>0.28460000000000002</v>
      </c>
      <c r="K44">
        <f t="shared" si="3"/>
        <v>0</v>
      </c>
      <c r="L44">
        <f t="shared" si="3"/>
        <v>0</v>
      </c>
      <c r="M44">
        <f t="shared" si="3"/>
        <v>7.0699999999999999E-2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5.4800000000000001E-2</v>
      </c>
      <c r="C45">
        <f t="shared" si="4"/>
        <v>0</v>
      </c>
      <c r="D45">
        <f t="shared" si="4"/>
        <v>0.3347</v>
      </c>
      <c r="E45">
        <f t="shared" si="4"/>
        <v>0.3347</v>
      </c>
      <c r="F45">
        <f t="shared" si="4"/>
        <v>7.0699999999999999E-2</v>
      </c>
      <c r="G45">
        <f t="shared" si="4"/>
        <v>0.3795</v>
      </c>
      <c r="H45">
        <f t="shared" si="4"/>
        <v>0.3347</v>
      </c>
      <c r="I45">
        <f t="shared" si="4"/>
        <v>0</v>
      </c>
      <c r="J45">
        <f t="shared" si="4"/>
        <v>0.251</v>
      </c>
      <c r="K45">
        <f t="shared" si="4"/>
        <v>0.3347</v>
      </c>
      <c r="L45">
        <f t="shared" si="4"/>
        <v>0.3795</v>
      </c>
      <c r="M45">
        <f t="shared" si="4"/>
        <v>0.28460000000000002</v>
      </c>
    </row>
    <row r="46" spans="1:13" x14ac:dyDescent="0.3">
      <c r="A46" t="s">
        <v>2</v>
      </c>
      <c r="B46">
        <f t="shared" si="4"/>
        <v>0.251</v>
      </c>
      <c r="C46">
        <f t="shared" si="4"/>
        <v>8.3699999999999997E-2</v>
      </c>
      <c r="D46">
        <f t="shared" si="4"/>
        <v>0</v>
      </c>
      <c r="E46">
        <f t="shared" si="4"/>
        <v>0</v>
      </c>
      <c r="F46">
        <f t="shared" si="4"/>
        <v>7.0699999999999999E-2</v>
      </c>
      <c r="G46">
        <f t="shared" si="4"/>
        <v>5.4800000000000001E-2</v>
      </c>
      <c r="H46">
        <f t="shared" si="4"/>
        <v>0.1414</v>
      </c>
      <c r="I46">
        <f t="shared" si="4"/>
        <v>7.0699999999999999E-2</v>
      </c>
      <c r="J46">
        <f t="shared" si="4"/>
        <v>0.3795</v>
      </c>
      <c r="K46">
        <f t="shared" si="4"/>
        <v>0.3347</v>
      </c>
      <c r="L46">
        <f t="shared" si="4"/>
        <v>0.28460000000000002</v>
      </c>
      <c r="M46">
        <f t="shared" si="4"/>
        <v>0.28460000000000002</v>
      </c>
    </row>
    <row r="47" spans="1:13" x14ac:dyDescent="0.3">
      <c r="A47" t="s">
        <v>3</v>
      </c>
      <c r="B47">
        <f t="shared" si="4"/>
        <v>7.0699999999999999E-2</v>
      </c>
      <c r="C47">
        <f t="shared" si="4"/>
        <v>0</v>
      </c>
      <c r="D47">
        <f t="shared" si="4"/>
        <v>7.0699999999999999E-2</v>
      </c>
      <c r="E47">
        <f t="shared" si="4"/>
        <v>0</v>
      </c>
      <c r="F47">
        <f t="shared" si="4"/>
        <v>0.1673</v>
      </c>
      <c r="G47">
        <f t="shared" si="4"/>
        <v>0</v>
      </c>
      <c r="H47">
        <f t="shared" si="4"/>
        <v>0.251</v>
      </c>
      <c r="I47">
        <f t="shared" si="4"/>
        <v>0</v>
      </c>
      <c r="J47">
        <f t="shared" si="4"/>
        <v>0.3795</v>
      </c>
      <c r="K47">
        <f t="shared" si="4"/>
        <v>0</v>
      </c>
      <c r="L47">
        <f t="shared" si="4"/>
        <v>0.251</v>
      </c>
      <c r="M47">
        <f t="shared" si="4"/>
        <v>0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7.0699999999999999E-2</v>
      </c>
      <c r="C48">
        <f t="shared" si="5"/>
        <v>7.0699999999999999E-2</v>
      </c>
      <c r="D48">
        <f t="shared" si="5"/>
        <v>0</v>
      </c>
      <c r="E48">
        <f t="shared" si="5"/>
        <v>0.1414</v>
      </c>
      <c r="F48">
        <f t="shared" si="5"/>
        <v>0</v>
      </c>
      <c r="G48">
        <f t="shared" si="5"/>
        <v>0.251</v>
      </c>
      <c r="H48">
        <f t="shared" si="5"/>
        <v>0</v>
      </c>
      <c r="I48">
        <f t="shared" si="5"/>
        <v>0</v>
      </c>
      <c r="J48">
        <f t="shared" si="5"/>
        <v>0.3347</v>
      </c>
      <c r="K48">
        <f t="shared" si="5"/>
        <v>0.28460000000000002</v>
      </c>
      <c r="L48">
        <f t="shared" si="5"/>
        <v>0.1414</v>
      </c>
      <c r="M48">
        <f t="shared" si="5"/>
        <v>7.0699999999999999E-2</v>
      </c>
    </row>
    <row r="49" spans="1:13" x14ac:dyDescent="0.3">
      <c r="A49" t="s">
        <v>5</v>
      </c>
      <c r="B49">
        <f t="shared" si="4"/>
        <v>0</v>
      </c>
      <c r="C49">
        <f t="shared" si="4"/>
        <v>0.1414</v>
      </c>
      <c r="D49">
        <f t="shared" si="4"/>
        <v>0</v>
      </c>
      <c r="E49">
        <f t="shared" si="4"/>
        <v>0</v>
      </c>
      <c r="F49">
        <f t="shared" si="4"/>
        <v>0</v>
      </c>
      <c r="G49">
        <f t="shared" si="4"/>
        <v>0</v>
      </c>
      <c r="H49">
        <f t="shared" si="4"/>
        <v>0</v>
      </c>
      <c r="I49">
        <f t="shared" si="4"/>
        <v>7.0699999999999999E-2</v>
      </c>
      <c r="J49">
        <f t="shared" si="4"/>
        <v>0.3347</v>
      </c>
      <c r="K49">
        <f t="shared" si="4"/>
        <v>0</v>
      </c>
      <c r="L49">
        <f t="shared" si="4"/>
        <v>0</v>
      </c>
      <c r="M49">
        <f t="shared" si="4"/>
        <v>0</v>
      </c>
    </row>
    <row r="50" spans="1:13" x14ac:dyDescent="0.3">
      <c r="A50" t="s">
        <v>6</v>
      </c>
      <c r="B50">
        <f t="shared" si="4"/>
        <v>7.0699999999999999E-2</v>
      </c>
      <c r="C50">
        <f t="shared" si="4"/>
        <v>0</v>
      </c>
      <c r="D50">
        <f t="shared" si="4"/>
        <v>0.1414</v>
      </c>
      <c r="E50">
        <f t="shared" si="4"/>
        <v>0</v>
      </c>
      <c r="F50">
        <f t="shared" si="4"/>
        <v>3.1600000000000003E-2</v>
      </c>
      <c r="G50">
        <f t="shared" si="4"/>
        <v>0</v>
      </c>
      <c r="H50">
        <f t="shared" si="4"/>
        <v>0</v>
      </c>
      <c r="I50">
        <f t="shared" si="4"/>
        <v>0</v>
      </c>
      <c r="J50">
        <f t="shared" si="4"/>
        <v>7.0699999999999999E-2</v>
      </c>
      <c r="K50">
        <f t="shared" si="4"/>
        <v>7.0699999999999999E-2</v>
      </c>
      <c r="L50">
        <f t="shared" si="4"/>
        <v>0</v>
      </c>
      <c r="M50">
        <f t="shared" si="4"/>
        <v>7.0699999999999999E-2</v>
      </c>
    </row>
    <row r="51" spans="1:13" x14ac:dyDescent="0.3">
      <c r="A51" t="s">
        <v>7</v>
      </c>
      <c r="B51">
        <f t="shared" si="4"/>
        <v>0</v>
      </c>
      <c r="C51">
        <f t="shared" si="4"/>
        <v>0</v>
      </c>
      <c r="D51">
        <f t="shared" si="4"/>
        <v>0.1673</v>
      </c>
      <c r="E51">
        <f t="shared" si="4"/>
        <v>0</v>
      </c>
      <c r="F51">
        <f t="shared" si="4"/>
        <v>7.0699999999999999E-2</v>
      </c>
      <c r="G51">
        <f t="shared" si="4"/>
        <v>5.4800000000000001E-2</v>
      </c>
      <c r="H51">
        <f t="shared" si="4"/>
        <v>7.0699999999999999E-2</v>
      </c>
      <c r="I51">
        <f t="shared" si="4"/>
        <v>0</v>
      </c>
      <c r="J51">
        <f t="shared" si="4"/>
        <v>0.28460000000000002</v>
      </c>
      <c r="K51">
        <f t="shared" si="4"/>
        <v>0.3347</v>
      </c>
      <c r="L51">
        <f t="shared" si="4"/>
        <v>0.251</v>
      </c>
      <c r="M51">
        <f t="shared" si="4"/>
        <v>0.28460000000000002</v>
      </c>
    </row>
    <row r="52" spans="1:13" x14ac:dyDescent="0.3">
      <c r="A52" t="s">
        <v>8</v>
      </c>
      <c r="B52">
        <f t="shared" si="4"/>
        <v>0.1673</v>
      </c>
      <c r="C52">
        <f t="shared" si="4"/>
        <v>0</v>
      </c>
      <c r="D52">
        <f t="shared" si="4"/>
        <v>0</v>
      </c>
      <c r="E52">
        <f t="shared" si="4"/>
        <v>7.0699999999999999E-2</v>
      </c>
      <c r="F52">
        <f t="shared" si="4"/>
        <v>8.3699999999999997E-2</v>
      </c>
      <c r="G52">
        <f t="shared" si="4"/>
        <v>0</v>
      </c>
      <c r="H52">
        <f t="shared" si="4"/>
        <v>0.28460000000000002</v>
      </c>
      <c r="I52">
        <f t="shared" si="4"/>
        <v>7.0699999999999999E-2</v>
      </c>
      <c r="J52">
        <f t="shared" si="4"/>
        <v>0</v>
      </c>
      <c r="K52">
        <f t="shared" si="4"/>
        <v>0.3347</v>
      </c>
      <c r="L52">
        <f t="shared" si="4"/>
        <v>0.28460000000000002</v>
      </c>
      <c r="M52">
        <f t="shared" si="4"/>
        <v>0.28460000000000002</v>
      </c>
    </row>
    <row r="53" spans="1:13" x14ac:dyDescent="0.3">
      <c r="A53" t="s">
        <v>9</v>
      </c>
      <c r="B53">
        <f t="shared" si="4"/>
        <v>0</v>
      </c>
      <c r="C53">
        <f t="shared" si="4"/>
        <v>0</v>
      </c>
      <c r="D53">
        <f t="shared" si="4"/>
        <v>0</v>
      </c>
      <c r="E53">
        <f t="shared" si="4"/>
        <v>5.4800000000000001E-2</v>
      </c>
      <c r="F53">
        <f t="shared" si="4"/>
        <v>0</v>
      </c>
      <c r="G53">
        <f t="shared" si="4"/>
        <v>7.0699999999999999E-2</v>
      </c>
      <c r="H53">
        <f t="shared" si="4"/>
        <v>0</v>
      </c>
      <c r="I53">
        <f t="shared" si="4"/>
        <v>0.1414</v>
      </c>
      <c r="J53">
        <f t="shared" si="4"/>
        <v>0</v>
      </c>
      <c r="K53">
        <f t="shared" si="4"/>
        <v>0</v>
      </c>
      <c r="L53">
        <f t="shared" si="4"/>
        <v>7.0699999999999999E-2</v>
      </c>
      <c r="M53">
        <f t="shared" si="4"/>
        <v>0</v>
      </c>
    </row>
    <row r="54" spans="1:13" x14ac:dyDescent="0.3">
      <c r="A54" t="s">
        <v>10</v>
      </c>
      <c r="B54">
        <f t="shared" si="4"/>
        <v>3.1600000000000003E-2</v>
      </c>
      <c r="C54">
        <f t="shared" si="4"/>
        <v>7.0699999999999999E-2</v>
      </c>
      <c r="D54">
        <f t="shared" si="4"/>
        <v>5.4800000000000001E-2</v>
      </c>
      <c r="E54">
        <f t="shared" si="4"/>
        <v>0</v>
      </c>
      <c r="F54">
        <f t="shared" si="4"/>
        <v>0</v>
      </c>
      <c r="G54">
        <f t="shared" si="4"/>
        <v>0</v>
      </c>
      <c r="H54">
        <f t="shared" si="4"/>
        <v>7.0699999999999999E-2</v>
      </c>
      <c r="I54">
        <f t="shared" si="4"/>
        <v>3.1600000000000003E-2</v>
      </c>
      <c r="J54">
        <f t="shared" si="4"/>
        <v>0.1414</v>
      </c>
      <c r="K54">
        <f t="shared" si="4"/>
        <v>3.1600000000000003E-2</v>
      </c>
      <c r="L54">
        <f t="shared" si="4"/>
        <v>0</v>
      </c>
      <c r="M54">
        <f t="shared" si="4"/>
        <v>0.3795</v>
      </c>
    </row>
    <row r="55" spans="1:13" x14ac:dyDescent="0.3">
      <c r="A55" t="s">
        <v>11</v>
      </c>
      <c r="B55">
        <f t="shared" si="4"/>
        <v>0</v>
      </c>
      <c r="C55">
        <f t="shared" si="4"/>
        <v>7.0699999999999999E-2</v>
      </c>
      <c r="D55">
        <f t="shared" si="4"/>
        <v>0</v>
      </c>
      <c r="E55">
        <f t="shared" si="4"/>
        <v>0.1414</v>
      </c>
      <c r="F55">
        <f t="shared" si="4"/>
        <v>0.1414</v>
      </c>
      <c r="G55">
        <f t="shared" si="4"/>
        <v>3.1600000000000003E-2</v>
      </c>
      <c r="H55">
        <f t="shared" si="4"/>
        <v>0</v>
      </c>
      <c r="I55">
        <f t="shared" si="4"/>
        <v>0</v>
      </c>
      <c r="J55">
        <f t="shared" si="4"/>
        <v>0.1673</v>
      </c>
      <c r="K55">
        <f t="shared" si="4"/>
        <v>7.0699999999999999E-2</v>
      </c>
      <c r="L55">
        <f t="shared" si="4"/>
        <v>0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0.3347</v>
      </c>
      <c r="D58">
        <f t="shared" si="6"/>
        <v>0.3347</v>
      </c>
      <c r="E58">
        <f t="shared" si="6"/>
        <v>0.1673</v>
      </c>
      <c r="F58">
        <f t="shared" si="6"/>
        <v>0.1414</v>
      </c>
      <c r="G58">
        <f t="shared" si="6"/>
        <v>0.1414</v>
      </c>
      <c r="H58">
        <f t="shared" si="6"/>
        <v>0.21210000000000001</v>
      </c>
      <c r="I58">
        <f t="shared" si="6"/>
        <v>7.0699999999999999E-2</v>
      </c>
      <c r="J58">
        <f t="shared" si="6"/>
        <v>0.3795</v>
      </c>
      <c r="K58">
        <f t="shared" si="6"/>
        <v>5.4800000000000001E-2</v>
      </c>
      <c r="L58">
        <f t="shared" si="6"/>
        <v>7.0699999999999999E-2</v>
      </c>
      <c r="M58">
        <f t="shared" si="6"/>
        <v>0.1414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0.1095</v>
      </c>
      <c r="C59">
        <f t="shared" si="7"/>
        <v>0</v>
      </c>
      <c r="D59">
        <f t="shared" si="7"/>
        <v>0.3347</v>
      </c>
      <c r="E59">
        <f t="shared" si="7"/>
        <v>0.3347</v>
      </c>
      <c r="F59">
        <f t="shared" si="7"/>
        <v>0.1414</v>
      </c>
      <c r="G59">
        <f t="shared" si="7"/>
        <v>0.3795</v>
      </c>
      <c r="H59">
        <f t="shared" si="7"/>
        <v>0.3347</v>
      </c>
      <c r="I59">
        <f t="shared" si="7"/>
        <v>7.0699999999999999E-2</v>
      </c>
      <c r="J59">
        <f t="shared" si="7"/>
        <v>0.3347</v>
      </c>
      <c r="K59">
        <f t="shared" si="7"/>
        <v>0.3347</v>
      </c>
      <c r="L59">
        <f t="shared" si="7"/>
        <v>0.3795</v>
      </c>
      <c r="M59">
        <f t="shared" si="7"/>
        <v>0.3795</v>
      </c>
    </row>
    <row r="60" spans="1:13" x14ac:dyDescent="0.3">
      <c r="A60" t="s">
        <v>2</v>
      </c>
      <c r="B60">
        <f t="shared" si="7"/>
        <v>0.3347</v>
      </c>
      <c r="C60">
        <f t="shared" si="7"/>
        <v>0.1673</v>
      </c>
      <c r="D60">
        <f t="shared" si="7"/>
        <v>0</v>
      </c>
      <c r="E60">
        <f t="shared" si="7"/>
        <v>7.0699999999999999E-2</v>
      </c>
      <c r="F60">
        <f t="shared" si="7"/>
        <v>0.1414</v>
      </c>
      <c r="G60">
        <f t="shared" si="7"/>
        <v>0.1095</v>
      </c>
      <c r="H60">
        <f t="shared" si="7"/>
        <v>0.21210000000000001</v>
      </c>
      <c r="I60">
        <f t="shared" si="7"/>
        <v>0.1414</v>
      </c>
      <c r="J60">
        <f t="shared" si="7"/>
        <v>0.3795</v>
      </c>
      <c r="K60">
        <f t="shared" si="7"/>
        <v>0.3347</v>
      </c>
      <c r="L60">
        <f t="shared" si="7"/>
        <v>0.3795</v>
      </c>
      <c r="M60">
        <f t="shared" si="7"/>
        <v>0.3795</v>
      </c>
    </row>
    <row r="61" spans="1:13" x14ac:dyDescent="0.3">
      <c r="A61" t="s">
        <v>3</v>
      </c>
      <c r="B61">
        <f t="shared" si="7"/>
        <v>0.1414</v>
      </c>
      <c r="C61">
        <f t="shared" si="7"/>
        <v>3.1600000000000003E-2</v>
      </c>
      <c r="D61">
        <f t="shared" si="7"/>
        <v>0.1414</v>
      </c>
      <c r="E61">
        <f t="shared" si="7"/>
        <v>0</v>
      </c>
      <c r="F61">
        <f t="shared" si="7"/>
        <v>0.251</v>
      </c>
      <c r="G61">
        <f t="shared" si="7"/>
        <v>7.0699999999999999E-2</v>
      </c>
      <c r="H61">
        <f t="shared" si="7"/>
        <v>0.3347</v>
      </c>
      <c r="I61">
        <f t="shared" si="7"/>
        <v>7.0699999999999999E-2</v>
      </c>
      <c r="J61">
        <f t="shared" si="7"/>
        <v>0.3795</v>
      </c>
      <c r="K61">
        <f t="shared" si="7"/>
        <v>3.1600000000000003E-2</v>
      </c>
      <c r="L61">
        <f t="shared" si="7"/>
        <v>0.3347</v>
      </c>
      <c r="M61">
        <f t="shared" si="7"/>
        <v>8.3699999999999997E-2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0.1414</v>
      </c>
      <c r="C62">
        <f t="shared" si="8"/>
        <v>0.1414</v>
      </c>
      <c r="D62">
        <f t="shared" si="8"/>
        <v>5.4800000000000001E-2</v>
      </c>
      <c r="E62">
        <f t="shared" si="8"/>
        <v>0.21210000000000001</v>
      </c>
      <c r="F62">
        <f t="shared" si="8"/>
        <v>0</v>
      </c>
      <c r="G62">
        <f t="shared" si="8"/>
        <v>0.3347</v>
      </c>
      <c r="H62">
        <f t="shared" si="8"/>
        <v>7.0699999999999999E-2</v>
      </c>
      <c r="I62">
        <f t="shared" si="8"/>
        <v>3.1600000000000003E-2</v>
      </c>
      <c r="J62">
        <f t="shared" si="8"/>
        <v>0.3347</v>
      </c>
      <c r="K62">
        <f t="shared" si="8"/>
        <v>0.3795</v>
      </c>
      <c r="L62">
        <f t="shared" si="8"/>
        <v>0.21210000000000001</v>
      </c>
      <c r="M62">
        <f t="shared" si="8"/>
        <v>0.1414</v>
      </c>
    </row>
    <row r="63" spans="1:13" x14ac:dyDescent="0.3">
      <c r="A63" t="s">
        <v>5</v>
      </c>
      <c r="B63">
        <f t="shared" si="7"/>
        <v>7.0699999999999999E-2</v>
      </c>
      <c r="C63">
        <f t="shared" si="7"/>
        <v>0.21210000000000001</v>
      </c>
      <c r="D63">
        <f t="shared" si="7"/>
        <v>8.3699999999999997E-2</v>
      </c>
      <c r="E63">
        <f t="shared" si="7"/>
        <v>7.0699999999999999E-2</v>
      </c>
      <c r="F63">
        <f t="shared" si="7"/>
        <v>3.1600000000000003E-2</v>
      </c>
      <c r="G63">
        <f t="shared" si="7"/>
        <v>0</v>
      </c>
      <c r="H63">
        <f t="shared" si="7"/>
        <v>3.1600000000000003E-2</v>
      </c>
      <c r="I63">
        <f t="shared" si="7"/>
        <v>0.1414</v>
      </c>
      <c r="J63">
        <f t="shared" si="7"/>
        <v>0.3347</v>
      </c>
      <c r="K63">
        <f t="shared" si="7"/>
        <v>7.0699999999999999E-2</v>
      </c>
      <c r="L63">
        <f t="shared" si="7"/>
        <v>5.4800000000000001E-2</v>
      </c>
      <c r="M63">
        <f t="shared" si="7"/>
        <v>5.4800000000000001E-2</v>
      </c>
    </row>
    <row r="64" spans="1:13" x14ac:dyDescent="0.3">
      <c r="A64" t="s">
        <v>6</v>
      </c>
      <c r="B64">
        <f t="shared" si="7"/>
        <v>0.1414</v>
      </c>
      <c r="C64">
        <f t="shared" si="7"/>
        <v>7.0699999999999999E-2</v>
      </c>
      <c r="D64">
        <f t="shared" si="7"/>
        <v>0.21210000000000001</v>
      </c>
      <c r="E64">
        <f t="shared" si="7"/>
        <v>7.0699999999999999E-2</v>
      </c>
      <c r="F64">
        <f t="shared" si="7"/>
        <v>6.3200000000000006E-2</v>
      </c>
      <c r="G64">
        <f t="shared" si="7"/>
        <v>8.3699999999999997E-2</v>
      </c>
      <c r="H64">
        <f t="shared" si="7"/>
        <v>0</v>
      </c>
      <c r="I64">
        <f t="shared" si="7"/>
        <v>7.0699999999999999E-2</v>
      </c>
      <c r="J64">
        <f t="shared" si="7"/>
        <v>0.1414</v>
      </c>
      <c r="K64">
        <f t="shared" si="7"/>
        <v>0.1414</v>
      </c>
      <c r="L64">
        <f t="shared" si="7"/>
        <v>5.4800000000000001E-2</v>
      </c>
      <c r="M64">
        <f t="shared" si="7"/>
        <v>0.1414</v>
      </c>
    </row>
    <row r="65" spans="1:13" x14ac:dyDescent="0.3">
      <c r="A65" t="s">
        <v>7</v>
      </c>
      <c r="B65">
        <f t="shared" si="7"/>
        <v>5.4800000000000001E-2</v>
      </c>
      <c r="C65">
        <f t="shared" si="7"/>
        <v>3.1600000000000003E-2</v>
      </c>
      <c r="D65">
        <f t="shared" si="7"/>
        <v>0.251</v>
      </c>
      <c r="E65">
        <f t="shared" si="7"/>
        <v>7.0699999999999999E-2</v>
      </c>
      <c r="F65">
        <f t="shared" si="7"/>
        <v>0.1414</v>
      </c>
      <c r="G65">
        <f t="shared" si="7"/>
        <v>0.1095</v>
      </c>
      <c r="H65">
        <f t="shared" si="7"/>
        <v>0.1414</v>
      </c>
      <c r="I65">
        <f t="shared" si="7"/>
        <v>0</v>
      </c>
      <c r="J65">
        <f t="shared" si="7"/>
        <v>0.3795</v>
      </c>
      <c r="K65">
        <f t="shared" si="7"/>
        <v>0.3347</v>
      </c>
      <c r="L65">
        <f t="shared" si="7"/>
        <v>0.3347</v>
      </c>
      <c r="M65">
        <f t="shared" si="7"/>
        <v>0.3795</v>
      </c>
    </row>
    <row r="66" spans="1:13" x14ac:dyDescent="0.3">
      <c r="A66" t="s">
        <v>8</v>
      </c>
      <c r="B66">
        <f t="shared" si="7"/>
        <v>0.251</v>
      </c>
      <c r="C66">
        <f t="shared" si="7"/>
        <v>7.0699999999999999E-2</v>
      </c>
      <c r="D66">
        <f t="shared" si="7"/>
        <v>5.4800000000000001E-2</v>
      </c>
      <c r="E66">
        <f t="shared" si="7"/>
        <v>0.1414</v>
      </c>
      <c r="F66">
        <f t="shared" si="7"/>
        <v>0.1673</v>
      </c>
      <c r="G66">
        <f t="shared" si="7"/>
        <v>5.4800000000000001E-2</v>
      </c>
      <c r="H66">
        <f t="shared" si="7"/>
        <v>0.3795</v>
      </c>
      <c r="I66">
        <f t="shared" si="7"/>
        <v>0.1414</v>
      </c>
      <c r="J66">
        <f t="shared" si="7"/>
        <v>0</v>
      </c>
      <c r="K66">
        <f t="shared" si="7"/>
        <v>0.3347</v>
      </c>
      <c r="L66">
        <f t="shared" si="7"/>
        <v>0.3795</v>
      </c>
      <c r="M66">
        <f t="shared" si="7"/>
        <v>0.3795</v>
      </c>
    </row>
    <row r="67" spans="1:13" x14ac:dyDescent="0.3">
      <c r="A67" t="s">
        <v>9</v>
      </c>
      <c r="B67">
        <f t="shared" si="7"/>
        <v>3.1600000000000003E-2</v>
      </c>
      <c r="C67">
        <f t="shared" si="7"/>
        <v>5.4800000000000001E-2</v>
      </c>
      <c r="D67">
        <f t="shared" si="7"/>
        <v>5.4800000000000001E-2</v>
      </c>
      <c r="E67">
        <f t="shared" si="7"/>
        <v>0.1095</v>
      </c>
      <c r="F67">
        <f t="shared" si="7"/>
        <v>5.4800000000000001E-2</v>
      </c>
      <c r="G67">
        <f t="shared" si="7"/>
        <v>0.1414</v>
      </c>
      <c r="H67">
        <f t="shared" si="7"/>
        <v>3.1600000000000003E-2</v>
      </c>
      <c r="I67">
        <f t="shared" si="7"/>
        <v>0.21210000000000001</v>
      </c>
      <c r="J67">
        <f t="shared" si="7"/>
        <v>7.0699999999999999E-2</v>
      </c>
      <c r="K67">
        <f t="shared" si="7"/>
        <v>0</v>
      </c>
      <c r="L67">
        <f t="shared" si="7"/>
        <v>0.1414</v>
      </c>
      <c r="M67">
        <f t="shared" si="7"/>
        <v>7.0699999999999999E-2</v>
      </c>
    </row>
    <row r="68" spans="1:13" x14ac:dyDescent="0.3">
      <c r="A68" t="s">
        <v>10</v>
      </c>
      <c r="B68">
        <f t="shared" si="7"/>
        <v>6.3200000000000006E-2</v>
      </c>
      <c r="C68">
        <f t="shared" si="7"/>
        <v>0.1414</v>
      </c>
      <c r="D68">
        <f t="shared" si="7"/>
        <v>0.1095</v>
      </c>
      <c r="E68">
        <f t="shared" si="7"/>
        <v>7.0699999999999999E-2</v>
      </c>
      <c r="F68">
        <f t="shared" si="7"/>
        <v>7.0699999999999999E-2</v>
      </c>
      <c r="G68">
        <f t="shared" si="7"/>
        <v>3.1600000000000003E-2</v>
      </c>
      <c r="H68">
        <f t="shared" si="7"/>
        <v>0.1414</v>
      </c>
      <c r="I68">
        <f t="shared" si="7"/>
        <v>6.3200000000000006E-2</v>
      </c>
      <c r="J68">
        <f t="shared" si="7"/>
        <v>0.21210000000000001</v>
      </c>
      <c r="K68">
        <f t="shared" si="7"/>
        <v>6.3200000000000006E-2</v>
      </c>
      <c r="L68">
        <f t="shared" si="7"/>
        <v>0</v>
      </c>
      <c r="M68">
        <f t="shared" si="7"/>
        <v>0.3795</v>
      </c>
    </row>
    <row r="69" spans="1:13" x14ac:dyDescent="0.3">
      <c r="A69" t="s">
        <v>11</v>
      </c>
      <c r="B69">
        <f t="shared" si="7"/>
        <v>7.0699999999999999E-2</v>
      </c>
      <c r="C69">
        <f t="shared" si="7"/>
        <v>0.1414</v>
      </c>
      <c r="D69">
        <f t="shared" si="7"/>
        <v>7.0699999999999999E-2</v>
      </c>
      <c r="E69">
        <f t="shared" si="7"/>
        <v>0.21210000000000001</v>
      </c>
      <c r="F69">
        <f t="shared" si="7"/>
        <v>0.21210000000000001</v>
      </c>
      <c r="G69">
        <f t="shared" si="7"/>
        <v>6.3200000000000006E-2</v>
      </c>
      <c r="H69">
        <f t="shared" si="7"/>
        <v>7.0699999999999999E-2</v>
      </c>
      <c r="I69">
        <f t="shared" si="7"/>
        <v>7.0699999999999999E-2</v>
      </c>
      <c r="J69">
        <f t="shared" si="7"/>
        <v>0.251</v>
      </c>
      <c r="K69">
        <f t="shared" si="7"/>
        <v>0.1414</v>
      </c>
      <c r="L69">
        <f t="shared" si="7"/>
        <v>3.1600000000000003E-2</v>
      </c>
      <c r="M69">
        <f t="shared" si="7"/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9"/>
  <dimension ref="A1:M69"/>
  <sheetViews>
    <sheetView workbookViewId="0">
      <selection activeCell="A15" sqref="A15:M69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12</v>
      </c>
      <c r="D2" t="s">
        <v>13</v>
      </c>
      <c r="E2" t="s">
        <v>15</v>
      </c>
      <c r="F2" t="s">
        <v>12</v>
      </c>
      <c r="G2" t="s">
        <v>24</v>
      </c>
      <c r="H2" t="s">
        <v>15</v>
      </c>
      <c r="I2" t="s">
        <v>15</v>
      </c>
      <c r="J2" t="s">
        <v>13</v>
      </c>
      <c r="K2" t="s">
        <v>16</v>
      </c>
      <c r="L2" t="s">
        <v>15</v>
      </c>
      <c r="M2" t="s">
        <v>16</v>
      </c>
    </row>
    <row r="3" spans="1:13" x14ac:dyDescent="0.3">
      <c r="A3" s="1" t="s">
        <v>1</v>
      </c>
      <c r="B3" t="s">
        <v>15</v>
      </c>
      <c r="C3">
        <v>0</v>
      </c>
      <c r="D3" t="s">
        <v>13</v>
      </c>
      <c r="E3" t="s">
        <v>25</v>
      </c>
      <c r="F3" t="s">
        <v>21</v>
      </c>
      <c r="G3" t="s">
        <v>25</v>
      </c>
      <c r="H3" t="s">
        <v>18</v>
      </c>
      <c r="I3" t="s">
        <v>16</v>
      </c>
      <c r="J3" t="s">
        <v>25</v>
      </c>
      <c r="K3" t="s">
        <v>18</v>
      </c>
      <c r="L3" t="s">
        <v>13</v>
      </c>
      <c r="M3" t="s">
        <v>18</v>
      </c>
    </row>
    <row r="4" spans="1:13" x14ac:dyDescent="0.3">
      <c r="A4" s="1" t="s">
        <v>2</v>
      </c>
      <c r="B4" t="s">
        <v>15</v>
      </c>
      <c r="C4" t="s">
        <v>22</v>
      </c>
      <c r="D4">
        <v>0</v>
      </c>
      <c r="E4" t="s">
        <v>12</v>
      </c>
      <c r="F4" t="s">
        <v>20</v>
      </c>
      <c r="G4" t="s">
        <v>12</v>
      </c>
      <c r="H4" t="s">
        <v>12</v>
      </c>
      <c r="I4" t="s">
        <v>15</v>
      </c>
      <c r="J4" t="s">
        <v>18</v>
      </c>
      <c r="K4" t="s">
        <v>18</v>
      </c>
      <c r="L4" t="s">
        <v>13</v>
      </c>
      <c r="M4" t="s">
        <v>12</v>
      </c>
    </row>
    <row r="5" spans="1:13" x14ac:dyDescent="0.3">
      <c r="A5" s="1" t="s">
        <v>3</v>
      </c>
      <c r="B5" t="s">
        <v>15</v>
      </c>
      <c r="C5" t="s">
        <v>24</v>
      </c>
      <c r="D5" t="s">
        <v>15</v>
      </c>
      <c r="E5">
        <v>0</v>
      </c>
      <c r="F5" t="s">
        <v>20</v>
      </c>
      <c r="G5" t="s">
        <v>62</v>
      </c>
      <c r="H5" t="s">
        <v>13</v>
      </c>
      <c r="I5" t="s">
        <v>15</v>
      </c>
      <c r="J5" t="s">
        <v>13</v>
      </c>
      <c r="K5" t="s">
        <v>20</v>
      </c>
      <c r="L5" t="s">
        <v>13</v>
      </c>
      <c r="M5" t="s">
        <v>17</v>
      </c>
    </row>
    <row r="6" spans="1:13" x14ac:dyDescent="0.3">
      <c r="A6" s="1" t="s">
        <v>4</v>
      </c>
      <c r="B6" t="s">
        <v>23</v>
      </c>
      <c r="C6" t="s">
        <v>20</v>
      </c>
      <c r="D6" t="s">
        <v>22</v>
      </c>
      <c r="E6" t="s">
        <v>23</v>
      </c>
      <c r="F6">
        <v>0</v>
      </c>
      <c r="G6" t="s">
        <v>12</v>
      </c>
      <c r="H6" t="s">
        <v>16</v>
      </c>
      <c r="I6" t="s">
        <v>15</v>
      </c>
      <c r="J6" t="s">
        <v>13</v>
      </c>
      <c r="K6" t="s">
        <v>13</v>
      </c>
      <c r="L6" t="s">
        <v>15</v>
      </c>
      <c r="M6" t="s">
        <v>22</v>
      </c>
    </row>
    <row r="7" spans="1:13" x14ac:dyDescent="0.3">
      <c r="A7" s="1" t="s">
        <v>5</v>
      </c>
      <c r="B7" t="s">
        <v>16</v>
      </c>
      <c r="C7" t="s">
        <v>20</v>
      </c>
      <c r="D7" t="s">
        <v>15</v>
      </c>
      <c r="E7" t="s">
        <v>15</v>
      </c>
      <c r="F7" t="s">
        <v>20</v>
      </c>
      <c r="G7">
        <v>0</v>
      </c>
      <c r="H7" t="s">
        <v>22</v>
      </c>
      <c r="I7" t="s">
        <v>16</v>
      </c>
      <c r="J7" t="s">
        <v>12</v>
      </c>
      <c r="K7" t="s">
        <v>20</v>
      </c>
      <c r="L7" t="s">
        <v>15</v>
      </c>
      <c r="M7" t="s">
        <v>71</v>
      </c>
    </row>
    <row r="8" spans="1:13" x14ac:dyDescent="0.3">
      <c r="A8" s="1" t="s">
        <v>6</v>
      </c>
      <c r="B8" t="s">
        <v>15</v>
      </c>
      <c r="C8" t="s">
        <v>24</v>
      </c>
      <c r="D8" t="s">
        <v>15</v>
      </c>
      <c r="E8" t="s">
        <v>16</v>
      </c>
      <c r="F8" t="s">
        <v>16</v>
      </c>
      <c r="G8" t="s">
        <v>20</v>
      </c>
      <c r="H8">
        <v>0</v>
      </c>
      <c r="I8" t="s">
        <v>24</v>
      </c>
      <c r="J8" t="s">
        <v>24</v>
      </c>
      <c r="K8" t="s">
        <v>23</v>
      </c>
      <c r="L8" t="s">
        <v>20</v>
      </c>
      <c r="M8" t="s">
        <v>20</v>
      </c>
    </row>
    <row r="9" spans="1:13" x14ac:dyDescent="0.3">
      <c r="A9" s="1" t="s">
        <v>7</v>
      </c>
      <c r="B9" t="s">
        <v>16</v>
      </c>
      <c r="C9" t="s">
        <v>23</v>
      </c>
      <c r="D9" t="s">
        <v>22</v>
      </c>
      <c r="E9" t="s">
        <v>15</v>
      </c>
      <c r="F9" t="s">
        <v>62</v>
      </c>
      <c r="G9" t="s">
        <v>15</v>
      </c>
      <c r="H9" t="s">
        <v>24</v>
      </c>
      <c r="I9">
        <v>0</v>
      </c>
      <c r="J9" t="s">
        <v>18</v>
      </c>
      <c r="K9" t="s">
        <v>13</v>
      </c>
      <c r="L9" t="s">
        <v>18</v>
      </c>
      <c r="M9" t="s">
        <v>18</v>
      </c>
    </row>
    <row r="10" spans="1:13" x14ac:dyDescent="0.3">
      <c r="A10" s="1" t="s">
        <v>8</v>
      </c>
      <c r="B10" t="s">
        <v>12</v>
      </c>
      <c r="C10" t="s">
        <v>62</v>
      </c>
      <c r="D10" t="s">
        <v>16</v>
      </c>
      <c r="E10" t="s">
        <v>16</v>
      </c>
      <c r="F10" t="s">
        <v>20</v>
      </c>
      <c r="G10" t="s">
        <v>16</v>
      </c>
      <c r="H10" t="s">
        <v>25</v>
      </c>
      <c r="I10" t="s">
        <v>23</v>
      </c>
      <c r="J10">
        <v>0</v>
      </c>
      <c r="K10" t="s">
        <v>18</v>
      </c>
      <c r="L10" t="s">
        <v>25</v>
      </c>
      <c r="M10" t="s">
        <v>18</v>
      </c>
    </row>
    <row r="11" spans="1:13" x14ac:dyDescent="0.3">
      <c r="A11" s="1" t="s">
        <v>9</v>
      </c>
      <c r="B11" t="s">
        <v>15</v>
      </c>
      <c r="C11" t="s">
        <v>20</v>
      </c>
      <c r="D11" t="s">
        <v>16</v>
      </c>
      <c r="E11" t="s">
        <v>24</v>
      </c>
      <c r="F11" t="s">
        <v>16</v>
      </c>
      <c r="G11" t="s">
        <v>15</v>
      </c>
      <c r="H11" t="s">
        <v>24</v>
      </c>
      <c r="I11" t="s">
        <v>16</v>
      </c>
      <c r="J11" t="s">
        <v>15</v>
      </c>
      <c r="K11">
        <v>0</v>
      </c>
      <c r="L11" t="s">
        <v>15</v>
      </c>
      <c r="M11" t="s">
        <v>20</v>
      </c>
    </row>
    <row r="12" spans="1:13" x14ac:dyDescent="0.3">
      <c r="A12" s="1" t="s">
        <v>10</v>
      </c>
      <c r="B12" t="s">
        <v>15</v>
      </c>
      <c r="C12" t="s">
        <v>16</v>
      </c>
      <c r="D12" t="s">
        <v>16</v>
      </c>
      <c r="E12" t="s">
        <v>71</v>
      </c>
      <c r="F12" t="s">
        <v>15</v>
      </c>
      <c r="G12" t="s">
        <v>24</v>
      </c>
      <c r="H12" t="s">
        <v>24</v>
      </c>
      <c r="I12" t="s">
        <v>16</v>
      </c>
      <c r="J12" t="s">
        <v>16</v>
      </c>
      <c r="K12" t="s">
        <v>20</v>
      </c>
      <c r="L12">
        <v>0</v>
      </c>
      <c r="M12" t="s">
        <v>18</v>
      </c>
    </row>
    <row r="13" spans="1:13" x14ac:dyDescent="0.3">
      <c r="A13" s="1" t="s">
        <v>11</v>
      </c>
      <c r="B13" t="s">
        <v>17</v>
      </c>
      <c r="C13" t="s">
        <v>16</v>
      </c>
      <c r="D13" t="s">
        <v>21</v>
      </c>
      <c r="E13" t="s">
        <v>24</v>
      </c>
      <c r="F13" t="s">
        <v>15</v>
      </c>
      <c r="G13" t="s">
        <v>24</v>
      </c>
      <c r="H13" t="s">
        <v>16</v>
      </c>
      <c r="I13" t="s">
        <v>17</v>
      </c>
      <c r="J13" t="s">
        <v>24</v>
      </c>
      <c r="K13" t="s">
        <v>24</v>
      </c>
      <c r="L13" t="s">
        <v>16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(0,1673; 0,251; 0,3347)</v>
      </c>
      <c r="D16" t="str">
        <f>VLOOKUP(D2,'Thang đánh giá'!$C$2:$D$27,2,FALSE)</f>
        <v>(0,1897; 0,2846; 0,3795)</v>
      </c>
      <c r="E16" t="str">
        <f>VLOOKUP(E2,'Thang đánh giá'!$C$2:$D$27,2,FALSE)</f>
        <v>(0; 0,0707; 0,1414)</v>
      </c>
      <c r="F16" t="str">
        <f>VLOOKUP(F2,'Thang đánh giá'!$C$2:$D$27,2,FALSE)</f>
        <v>(0,1673; 0,251; 0,3347)</v>
      </c>
      <c r="G16" t="str">
        <f>VLOOKUP(G2,'Thang đánh giá'!$C$2:$D$27,2,FALSE)</f>
        <v>(0; 0; 0,0548)</v>
      </c>
      <c r="H16" t="str">
        <f>VLOOKUP(H2,'Thang đánh giá'!$C$2:$D$27,2,FALSE)</f>
        <v>(0; 0,0707; 0,1414)</v>
      </c>
      <c r="I16" t="str">
        <f>VLOOKUP(I2,'Thang đánh giá'!$C$2:$D$27,2,FALSE)</f>
        <v>(0; 0,0707; 0,1414)</v>
      </c>
      <c r="J16" t="str">
        <f>VLOOKUP(J2,'Thang đánh giá'!$C$2:$D$27,2,FALSE)</f>
        <v>(0,1897; 0,2846; 0,3795)</v>
      </c>
      <c r="K16" t="str">
        <f>VLOOKUP(K2,'Thang đánh giá'!$C$2:$D$27,2,FALSE)</f>
        <v>(0; 0; 0,0707)</v>
      </c>
      <c r="L16" t="str">
        <f>VLOOKUP(L2,'Thang đánh giá'!$C$2:$D$27,2,FALSE)</f>
        <v>(0; 0,0707; 0,1414)</v>
      </c>
      <c r="M16" t="str">
        <f>VLOOKUP(M2,'Thang đánh giá'!$C$2:$D$27,2,FALSE)</f>
        <v>(0; 0; 0,0707)</v>
      </c>
    </row>
    <row r="17" spans="1:13" x14ac:dyDescent="0.3">
      <c r="A17" t="s">
        <v>1</v>
      </c>
      <c r="B17" t="str">
        <f>VLOOKUP(B3,'Thang đánh giá'!$C$2:$D$27,2,FALSE)</f>
        <v>(0; 0,0707; 0,1414)</v>
      </c>
      <c r="C17" t="str">
        <f>VLOOKUP(C3,'Thang đánh giá'!$C$2:$D$27,2,FALSE)</f>
        <v>(0; 0; 0)</v>
      </c>
      <c r="D17" t="str">
        <f>VLOOKUP(D3,'Thang đánh giá'!$C$2:$D$27,2,FALSE)</f>
        <v>(0,1897; 0,2846; 0,3795)</v>
      </c>
      <c r="E17" t="str">
        <f>VLOOKUP(E3,'Thang đánh giá'!$C$2:$D$27,2,FALSE)</f>
        <v>(0,251; 0,3347; 0,3347)</v>
      </c>
      <c r="F17" t="str">
        <f>VLOOKUP(F3,'Thang đánh giá'!$C$2:$D$27,2,FALSE)</f>
        <v>(0,0837; 0,1673; 0,251)</v>
      </c>
      <c r="G17" t="str">
        <f>VLOOKUP(G3,'Thang đánh giá'!$C$2:$D$27,2,FALSE)</f>
        <v>(0,251; 0,3347; 0,3347)</v>
      </c>
      <c r="H17" t="str">
        <f>VLOOKUP(H3,'Thang đánh giá'!$C$2:$D$27,2,FALSE)</f>
        <v>(0,2846; 0,3795; 0,3795)</v>
      </c>
      <c r="I17" t="str">
        <f>VLOOKUP(I3,'Thang đánh giá'!$C$2:$D$27,2,FALSE)</f>
        <v>(0; 0; 0,0707)</v>
      </c>
      <c r="J17" t="str">
        <f>VLOOKUP(J3,'Thang đánh giá'!$C$2:$D$27,2,FALSE)</f>
        <v>(0,251; 0,3347; 0,3347)</v>
      </c>
      <c r="K17" t="str">
        <f>VLOOKUP(K3,'Thang đánh giá'!$C$2:$D$27,2,FALSE)</f>
        <v>(0,2846; 0,3795; 0,3795)</v>
      </c>
      <c r="L17" t="str">
        <f>VLOOKUP(L3,'Thang đánh giá'!$C$2:$D$27,2,FALSE)</f>
        <v>(0,1897; 0,2846; 0,3795)</v>
      </c>
      <c r="M17" t="str">
        <f>VLOOKUP(M3,'Thang đánh giá'!$C$2:$D$27,2,FALSE)</f>
        <v>(0,2846; 0,3795; 0,3795)</v>
      </c>
    </row>
    <row r="18" spans="1:13" x14ac:dyDescent="0.3">
      <c r="A18" t="s">
        <v>2</v>
      </c>
      <c r="B18" t="str">
        <f>VLOOKUP(B4,'Thang đánh giá'!$C$2:$D$27,2,FALSE)</f>
        <v>(0; 0,0707; 0,1414)</v>
      </c>
      <c r="C18" t="str">
        <f>VLOOKUP(C4,'Thang đánh giá'!$C$2:$D$27,2,FALSE)</f>
        <v>(0,0707; 0,1414; 0,2121)</v>
      </c>
      <c r="D18" t="str">
        <f>VLOOKUP(D4,'Thang đánh giá'!$C$2:$D$27,2,FALSE)</f>
        <v>(0; 0; 0)</v>
      </c>
      <c r="E18" t="str">
        <f>VLOOKUP(E4,'Thang đánh giá'!$C$2:$D$27,2,FALSE)</f>
        <v>(0,1673; 0,251; 0,3347)</v>
      </c>
      <c r="F18" t="str">
        <f>VLOOKUP(F4,'Thang đánh giá'!$C$2:$D$27,2,FALSE)</f>
        <v>(0; 0,0548; 0,1095)</v>
      </c>
      <c r="G18" t="str">
        <f>VLOOKUP(G4,'Thang đánh giá'!$C$2:$D$27,2,FALSE)</f>
        <v>(0,1673; 0,251; 0,3347)</v>
      </c>
      <c r="H18" t="str">
        <f>VLOOKUP(H4,'Thang đánh giá'!$C$2:$D$27,2,FALSE)</f>
        <v>(0,1673; 0,251; 0,3347)</v>
      </c>
      <c r="I18" t="str">
        <f>VLOOKUP(I4,'Thang đánh giá'!$C$2:$D$27,2,FALSE)</f>
        <v>(0; 0,0707; 0,1414)</v>
      </c>
      <c r="J18" t="str">
        <f>VLOOKUP(J4,'Thang đánh giá'!$C$2:$D$27,2,FALSE)</f>
        <v>(0,2846; 0,3795; 0,3795)</v>
      </c>
      <c r="K18" t="str">
        <f>VLOOKUP(K4,'Thang đánh giá'!$C$2:$D$27,2,FALSE)</f>
        <v>(0,2846; 0,3795; 0,3795)</v>
      </c>
      <c r="L18" t="str">
        <f>VLOOKUP(L4,'Thang đánh giá'!$C$2:$D$27,2,FALSE)</f>
        <v>(0,1897; 0,2846; 0,3795)</v>
      </c>
      <c r="M18" t="str">
        <f>VLOOKUP(M4,'Thang đánh giá'!$C$2:$D$27,2,FALSE)</f>
        <v>(0,1673; 0,251; 0,3347)</v>
      </c>
    </row>
    <row r="19" spans="1:13" x14ac:dyDescent="0.3">
      <c r="A19" t="s">
        <v>3</v>
      </c>
      <c r="B19" t="str">
        <f>VLOOKUP(B5,'Thang đánh giá'!$C$2:$D$27,2,FALSE)</f>
        <v>(0; 0,0707; 0,1414)</v>
      </c>
      <c r="C19" t="str">
        <f>VLOOKUP(C5,'Thang đánh giá'!$C$2:$D$27,2,FALSE)</f>
        <v>(0; 0; 0,0548)</v>
      </c>
      <c r="D19" t="str">
        <f>VLOOKUP(D5,'Thang đánh giá'!$C$2:$D$27,2,FALSE)</f>
        <v>(0; 0,0707; 0,1414)</v>
      </c>
      <c r="E19" t="str">
        <f>VLOOKUP(E5,'Thang đánh giá'!$C$2:$D$27,2,FALSE)</f>
        <v>(0; 0; 0)</v>
      </c>
      <c r="F19" t="str">
        <f>VLOOKUP(F5,'Thang đánh giá'!$C$2:$D$27,2,FALSE)</f>
        <v>(0; 0,0548; 0,1095)</v>
      </c>
      <c r="G19" t="str">
        <f>VLOOKUP(G5,'Thang đánh giá'!$C$2:$D$27,2,FALSE)</f>
        <v>(0; 0,0837; 0,1673)</v>
      </c>
      <c r="H19" t="str">
        <f>VLOOKUP(H5,'Thang đánh giá'!$C$2:$D$27,2,FALSE)</f>
        <v>(0,1897; 0,2846; 0,3795)</v>
      </c>
      <c r="I19" t="str">
        <f>VLOOKUP(I5,'Thang đánh giá'!$C$2:$D$27,2,FALSE)</f>
        <v>(0; 0,0707; 0,1414)</v>
      </c>
      <c r="J19" t="str">
        <f>VLOOKUP(J5,'Thang đánh giá'!$C$2:$D$27,2,FALSE)</f>
        <v>(0,1897; 0,2846; 0,3795)</v>
      </c>
      <c r="K19" t="str">
        <f>VLOOKUP(K5,'Thang đánh giá'!$C$2:$D$27,2,FALSE)</f>
        <v>(0; 0,0548; 0,1095)</v>
      </c>
      <c r="L19" t="str">
        <f>VLOOKUP(L5,'Thang đánh giá'!$C$2:$D$27,2,FALSE)</f>
        <v>(0,1897; 0,2846; 0,3795)</v>
      </c>
      <c r="M19" t="str">
        <f>VLOOKUP(M5,'Thang đánh giá'!$C$2:$D$27,2,FALSE)</f>
        <v>(0; 0,0316; 0,0632)</v>
      </c>
    </row>
    <row r="20" spans="1:13" x14ac:dyDescent="0.3">
      <c r="A20" t="s">
        <v>4</v>
      </c>
      <c r="B20" t="str">
        <f>VLOOKUP(B6,'Thang đánh giá'!$C$2:$D$27,2,FALSE)</f>
        <v>(0; 0; 0,0316)</v>
      </c>
      <c r="C20" t="str">
        <f>VLOOKUP(C6,'Thang đánh giá'!$C$2:$D$27,2,FALSE)</f>
        <v>(0; 0,0548; 0,1095)</v>
      </c>
      <c r="D20" t="str">
        <f>VLOOKUP(D6,'Thang đánh giá'!$C$2:$D$27,2,FALSE)</f>
        <v>(0,0707; 0,1414; 0,2121)</v>
      </c>
      <c r="E20" t="str">
        <f>VLOOKUP(E6,'Thang đánh giá'!$C$2:$D$27,2,FALSE)</f>
        <v>(0; 0; 0,0316)</v>
      </c>
      <c r="F20" t="str">
        <f>VLOOKUP(F6,'Thang đánh giá'!$C$2:$D$27,2,FALSE)</f>
        <v>(0; 0; 0)</v>
      </c>
      <c r="G20" t="str">
        <f>VLOOKUP(G6,'Thang đánh giá'!$C$2:$D$27,2,FALSE)</f>
        <v>(0,1673; 0,251; 0,3347)</v>
      </c>
      <c r="H20" t="str">
        <f>VLOOKUP(H6,'Thang đánh giá'!$C$2:$D$27,2,FALSE)</f>
        <v>(0; 0; 0,0707)</v>
      </c>
      <c r="I20" t="str">
        <f>VLOOKUP(I6,'Thang đánh giá'!$C$2:$D$27,2,FALSE)</f>
        <v>(0; 0,0707; 0,1414)</v>
      </c>
      <c r="J20" t="str">
        <f>VLOOKUP(J6,'Thang đánh giá'!$C$2:$D$27,2,FALSE)</f>
        <v>(0,1897; 0,2846; 0,3795)</v>
      </c>
      <c r="K20" t="str">
        <f>VLOOKUP(K6,'Thang đánh giá'!$C$2:$D$27,2,FALSE)</f>
        <v>(0,1897; 0,2846; 0,3795)</v>
      </c>
      <c r="L20" t="str">
        <f>VLOOKUP(L6,'Thang đánh giá'!$C$2:$D$27,2,FALSE)</f>
        <v>(0; 0,0707; 0,1414)</v>
      </c>
      <c r="M20" t="str">
        <f>VLOOKUP(M6,'Thang đánh giá'!$C$2:$D$27,2,FALSE)</f>
        <v>(0,0707; 0,1414; 0,2121)</v>
      </c>
    </row>
    <row r="21" spans="1:13" x14ac:dyDescent="0.3">
      <c r="A21" t="s">
        <v>5</v>
      </c>
      <c r="B21" t="str">
        <f>VLOOKUP(B7,'Thang đánh giá'!$C$2:$D$27,2,FALSE)</f>
        <v>(0; 0; 0,0707)</v>
      </c>
      <c r="C21" t="str">
        <f>VLOOKUP(C7,'Thang đánh giá'!$C$2:$D$27,2,FALSE)</f>
        <v>(0; 0,0548; 0,1095)</v>
      </c>
      <c r="D21" t="str">
        <f>VLOOKUP(D7,'Thang đánh giá'!$C$2:$D$27,2,FALSE)</f>
        <v>(0; 0,0707; 0,1414)</v>
      </c>
      <c r="E21" t="str">
        <f>VLOOKUP(E7,'Thang đánh giá'!$C$2:$D$27,2,FALSE)</f>
        <v>(0; 0,0707; 0,1414)</v>
      </c>
      <c r="F21" t="str">
        <f>VLOOKUP(F7,'Thang đánh giá'!$C$2:$D$27,2,FALSE)</f>
        <v>(0; 0,0548; 0,1095)</v>
      </c>
      <c r="G21" t="str">
        <f>VLOOKUP(G7,'Thang đánh giá'!$C$2:$D$27,2,FALSE)</f>
        <v>(0; 0; 0)</v>
      </c>
      <c r="H21" t="str">
        <f>VLOOKUP(H7,'Thang đánh giá'!$C$2:$D$27,2,FALSE)</f>
        <v>(0,0707; 0,1414; 0,2121)</v>
      </c>
      <c r="I21" t="str">
        <f>VLOOKUP(I7,'Thang đánh giá'!$C$2:$D$27,2,FALSE)</f>
        <v>(0; 0; 0,0707)</v>
      </c>
      <c r="J21" t="str">
        <f>VLOOKUP(J7,'Thang đánh giá'!$C$2:$D$27,2,FALSE)</f>
        <v>(0,1673; 0,251; 0,3347)</v>
      </c>
      <c r="K21" t="str">
        <f>VLOOKUP(K7,'Thang đánh giá'!$C$2:$D$27,2,FALSE)</f>
        <v>(0; 0,0548; 0,1095)</v>
      </c>
      <c r="L21" t="str">
        <f>VLOOKUP(L7,'Thang đánh giá'!$C$2:$D$27,2,FALSE)</f>
        <v>(0; 0,0707; 0,1414)</v>
      </c>
      <c r="M21" t="str">
        <f>VLOOKUP(M7,'Thang đánh giá'!$C$2:$D$27,2,FALSE)</f>
        <v>(0; 0; 0,0837)</v>
      </c>
    </row>
    <row r="22" spans="1:13" x14ac:dyDescent="0.3">
      <c r="A22" t="s">
        <v>6</v>
      </c>
      <c r="B22" t="str">
        <f>VLOOKUP(B8,'Thang đánh giá'!$C$2:$D$27,2,FALSE)</f>
        <v>(0; 0,0707; 0,1414)</v>
      </c>
      <c r="C22" t="str">
        <f>VLOOKUP(C8,'Thang đánh giá'!$C$2:$D$27,2,FALSE)</f>
        <v>(0; 0; 0,0548)</v>
      </c>
      <c r="D22" t="str">
        <f>VLOOKUP(D8,'Thang đánh giá'!$C$2:$D$27,2,FALSE)</f>
        <v>(0; 0,0707; 0,1414)</v>
      </c>
      <c r="E22" t="str">
        <f>VLOOKUP(E8,'Thang đánh giá'!$C$2:$D$27,2,FALSE)</f>
        <v>(0; 0; 0,0707)</v>
      </c>
      <c r="F22" t="str">
        <f>VLOOKUP(F8,'Thang đánh giá'!$C$2:$D$27,2,FALSE)</f>
        <v>(0; 0; 0,0707)</v>
      </c>
      <c r="G22" t="str">
        <f>VLOOKUP(G8,'Thang đánh giá'!$C$2:$D$27,2,FALSE)</f>
        <v>(0; 0,0548; 0,1095)</v>
      </c>
      <c r="H22" t="str">
        <f>VLOOKUP(H8,'Thang đánh giá'!$C$2:$D$27,2,FALSE)</f>
        <v>(0; 0; 0)</v>
      </c>
      <c r="I22" t="str">
        <f>VLOOKUP(I8,'Thang đánh giá'!$C$2:$D$27,2,FALSE)</f>
        <v>(0; 0; 0,0548)</v>
      </c>
      <c r="J22" t="str">
        <f>VLOOKUP(J8,'Thang đánh giá'!$C$2:$D$27,2,FALSE)</f>
        <v>(0; 0; 0,0548)</v>
      </c>
      <c r="K22" t="str">
        <f>VLOOKUP(K8,'Thang đánh giá'!$C$2:$D$27,2,FALSE)</f>
        <v>(0; 0; 0,0316)</v>
      </c>
      <c r="L22" t="str">
        <f>VLOOKUP(L8,'Thang đánh giá'!$C$2:$D$27,2,FALSE)</f>
        <v>(0; 0,0548; 0,1095)</v>
      </c>
      <c r="M22" t="str">
        <f>VLOOKUP(M8,'Thang đánh giá'!$C$2:$D$27,2,FALSE)</f>
        <v>(0; 0,0548; 0,1095)</v>
      </c>
    </row>
    <row r="23" spans="1:13" x14ac:dyDescent="0.3">
      <c r="A23" t="s">
        <v>7</v>
      </c>
      <c r="B23" t="str">
        <f>VLOOKUP(B9,'Thang đánh giá'!$C$2:$D$27,2,FALSE)</f>
        <v>(0; 0; 0,0707)</v>
      </c>
      <c r="C23" t="str">
        <f>VLOOKUP(C9,'Thang đánh giá'!$C$2:$D$27,2,FALSE)</f>
        <v>(0; 0; 0,0316)</v>
      </c>
      <c r="D23" t="str">
        <f>VLOOKUP(D9,'Thang đánh giá'!$C$2:$D$27,2,FALSE)</f>
        <v>(0,0707; 0,1414; 0,2121)</v>
      </c>
      <c r="E23" t="str">
        <f>VLOOKUP(E9,'Thang đánh giá'!$C$2:$D$27,2,FALSE)</f>
        <v>(0; 0,0707; 0,1414)</v>
      </c>
      <c r="F23" t="str">
        <f>VLOOKUP(F9,'Thang đánh giá'!$C$2:$D$27,2,FALSE)</f>
        <v>(0; 0,0837; 0,1673)</v>
      </c>
      <c r="G23" t="str">
        <f>VLOOKUP(G9,'Thang đánh giá'!$C$2:$D$27,2,FALSE)</f>
        <v>(0; 0,0707; 0,1414)</v>
      </c>
      <c r="H23" t="str">
        <f>VLOOKUP(H9,'Thang đánh giá'!$C$2:$D$27,2,FALSE)</f>
        <v>(0; 0; 0,0548)</v>
      </c>
      <c r="I23" t="str">
        <f>VLOOKUP(I9,'Thang đánh giá'!$C$2:$D$27,2,FALSE)</f>
        <v>(0; 0; 0)</v>
      </c>
      <c r="J23" t="str">
        <f>VLOOKUP(J9,'Thang đánh giá'!$C$2:$D$27,2,FALSE)</f>
        <v>(0,2846; 0,3795; 0,3795)</v>
      </c>
      <c r="K23" t="str">
        <f>VLOOKUP(K9,'Thang đánh giá'!$C$2:$D$27,2,FALSE)</f>
        <v>(0,1897; 0,2846; 0,3795)</v>
      </c>
      <c r="L23" t="str">
        <f>VLOOKUP(L9,'Thang đánh giá'!$C$2:$D$27,2,FALSE)</f>
        <v>(0,2846; 0,3795; 0,3795)</v>
      </c>
      <c r="M23" t="str">
        <f>VLOOKUP(M9,'Thang đánh giá'!$C$2:$D$27,2,FALSE)</f>
        <v>(0,2846; 0,3795; 0,3795)</v>
      </c>
    </row>
    <row r="24" spans="1:13" x14ac:dyDescent="0.3">
      <c r="A24" t="s">
        <v>8</v>
      </c>
      <c r="B24" t="str">
        <f>VLOOKUP(B10,'Thang đánh giá'!$C$2:$D$27,2,FALSE)</f>
        <v>(0,1673; 0,251; 0,3347)</v>
      </c>
      <c r="C24" t="str">
        <f>VLOOKUP(C10,'Thang đánh giá'!$C$2:$D$27,2,FALSE)</f>
        <v>(0; 0,0837; 0,1673)</v>
      </c>
      <c r="D24" t="str">
        <f>VLOOKUP(D10,'Thang đánh giá'!$C$2:$D$27,2,FALSE)</f>
        <v>(0; 0; 0,0707)</v>
      </c>
      <c r="E24" t="str">
        <f>VLOOKUP(E10,'Thang đánh giá'!$C$2:$D$27,2,FALSE)</f>
        <v>(0; 0; 0,0707)</v>
      </c>
      <c r="F24" t="str">
        <f>VLOOKUP(F10,'Thang đánh giá'!$C$2:$D$27,2,FALSE)</f>
        <v>(0; 0,0548; 0,1095)</v>
      </c>
      <c r="G24" t="str">
        <f>VLOOKUP(G10,'Thang đánh giá'!$C$2:$D$27,2,FALSE)</f>
        <v>(0; 0; 0,0707)</v>
      </c>
      <c r="H24" t="str">
        <f>VLOOKUP(H10,'Thang đánh giá'!$C$2:$D$27,2,FALSE)</f>
        <v>(0,251; 0,3347; 0,3347)</v>
      </c>
      <c r="I24" t="str">
        <f>VLOOKUP(I10,'Thang đánh giá'!$C$2:$D$27,2,FALSE)</f>
        <v>(0; 0; 0,0316)</v>
      </c>
      <c r="J24" t="str">
        <f>VLOOKUP(J10,'Thang đánh giá'!$C$2:$D$27,2,FALSE)</f>
        <v>(0; 0; 0)</v>
      </c>
      <c r="K24" t="str">
        <f>VLOOKUP(K10,'Thang đánh giá'!$C$2:$D$27,2,FALSE)</f>
        <v>(0,2846; 0,3795; 0,3795)</v>
      </c>
      <c r="L24" t="str">
        <f>VLOOKUP(L10,'Thang đánh giá'!$C$2:$D$27,2,FALSE)</f>
        <v>(0,251; 0,3347; 0,3347)</v>
      </c>
      <c r="M24" t="str">
        <f>VLOOKUP(M10,'Thang đánh giá'!$C$2:$D$27,2,FALSE)</f>
        <v>(0,2846; 0,3795; 0,3795)</v>
      </c>
    </row>
    <row r="25" spans="1:13" x14ac:dyDescent="0.3">
      <c r="A25" t="s">
        <v>9</v>
      </c>
      <c r="B25" t="str">
        <f>VLOOKUP(B11,'Thang đánh giá'!$C$2:$D$27,2,FALSE)</f>
        <v>(0; 0,0707; 0,1414)</v>
      </c>
      <c r="C25" t="str">
        <f>VLOOKUP(C11,'Thang đánh giá'!$C$2:$D$27,2,FALSE)</f>
        <v>(0; 0,0548; 0,1095)</v>
      </c>
      <c r="D25" t="str">
        <f>VLOOKUP(D11,'Thang đánh giá'!$C$2:$D$27,2,FALSE)</f>
        <v>(0; 0; 0,0707)</v>
      </c>
      <c r="E25" t="str">
        <f>VLOOKUP(E11,'Thang đánh giá'!$C$2:$D$27,2,FALSE)</f>
        <v>(0; 0; 0,0548)</v>
      </c>
      <c r="F25" t="str">
        <f>VLOOKUP(F11,'Thang đánh giá'!$C$2:$D$27,2,FALSE)</f>
        <v>(0; 0; 0,0707)</v>
      </c>
      <c r="G25" t="str">
        <f>VLOOKUP(G11,'Thang đánh giá'!$C$2:$D$27,2,FALSE)</f>
        <v>(0; 0,0707; 0,1414)</v>
      </c>
      <c r="H25" t="str">
        <f>VLOOKUP(H11,'Thang đánh giá'!$C$2:$D$27,2,FALSE)</f>
        <v>(0; 0; 0,0548)</v>
      </c>
      <c r="I25" t="str">
        <f>VLOOKUP(I11,'Thang đánh giá'!$C$2:$D$27,2,FALSE)</f>
        <v>(0; 0; 0,0707)</v>
      </c>
      <c r="J25" t="str">
        <f>VLOOKUP(J11,'Thang đánh giá'!$C$2:$D$27,2,FALSE)</f>
        <v>(0; 0,0707; 0,1414)</v>
      </c>
      <c r="K25" t="str">
        <f>VLOOKUP(K11,'Thang đánh giá'!$C$2:$D$27,2,FALSE)</f>
        <v>(0; 0; 0)</v>
      </c>
      <c r="L25" t="str">
        <f>VLOOKUP(L11,'Thang đánh giá'!$C$2:$D$27,2,FALSE)</f>
        <v>(0; 0,0707; 0,1414)</v>
      </c>
      <c r="M25" t="str">
        <f>VLOOKUP(M11,'Thang đánh giá'!$C$2:$D$27,2,FALSE)</f>
        <v>(0; 0,0548; 0,1095)</v>
      </c>
    </row>
    <row r="26" spans="1:13" x14ac:dyDescent="0.3">
      <c r="A26" t="s">
        <v>10</v>
      </c>
      <c r="B26" t="str">
        <f>VLOOKUP(B12,'Thang đánh giá'!$C$2:$D$27,2,FALSE)</f>
        <v>(0; 0,0707; 0,1414)</v>
      </c>
      <c r="C26" t="str">
        <f>VLOOKUP(C12,'Thang đánh giá'!$C$2:$D$27,2,FALSE)</f>
        <v>(0; 0; 0,0707)</v>
      </c>
      <c r="D26" t="str">
        <f>VLOOKUP(D12,'Thang đánh giá'!$C$2:$D$27,2,FALSE)</f>
        <v>(0; 0; 0,0707)</v>
      </c>
      <c r="E26" t="str">
        <f>VLOOKUP(E12,'Thang đánh giá'!$C$2:$D$27,2,FALSE)</f>
        <v>(0; 0; 0,0837)</v>
      </c>
      <c r="F26" t="str">
        <f>VLOOKUP(F12,'Thang đánh giá'!$C$2:$D$27,2,FALSE)</f>
        <v>(0; 0,0707; 0,1414)</v>
      </c>
      <c r="G26" t="str">
        <f>VLOOKUP(G12,'Thang đánh giá'!$C$2:$D$27,2,FALSE)</f>
        <v>(0; 0; 0,0548)</v>
      </c>
      <c r="H26" t="str">
        <f>VLOOKUP(H12,'Thang đánh giá'!$C$2:$D$27,2,FALSE)</f>
        <v>(0; 0; 0,0548)</v>
      </c>
      <c r="I26" t="str">
        <f>VLOOKUP(I12,'Thang đánh giá'!$C$2:$D$27,2,FALSE)</f>
        <v>(0; 0; 0,0707)</v>
      </c>
      <c r="J26" t="str">
        <f>VLOOKUP(J12,'Thang đánh giá'!$C$2:$D$27,2,FALSE)</f>
        <v>(0; 0; 0,0707)</v>
      </c>
      <c r="K26" t="str">
        <f>VLOOKUP(K12,'Thang đánh giá'!$C$2:$D$27,2,FALSE)</f>
        <v>(0; 0,0548; 0,1095)</v>
      </c>
      <c r="L26" t="str">
        <f>VLOOKUP(L12,'Thang đánh giá'!$C$2:$D$27,2,FALSE)</f>
        <v>(0; 0; 0)</v>
      </c>
      <c r="M26" t="str">
        <f>VLOOKUP(M12,'Thang đánh giá'!$C$2:$D$27,2,FALSE)</f>
        <v>(0,2846; 0,3795; 0,3795)</v>
      </c>
    </row>
    <row r="27" spans="1:13" x14ac:dyDescent="0.3">
      <c r="A27" t="s">
        <v>11</v>
      </c>
      <c r="B27" t="str">
        <f>VLOOKUP(B13,'Thang đánh giá'!$C$2:$D$27,2,FALSE)</f>
        <v>(0; 0,0316; 0,0632)</v>
      </c>
      <c r="C27" t="str">
        <f>VLOOKUP(C13,'Thang đánh giá'!$C$2:$D$27,2,FALSE)</f>
        <v>(0; 0; 0,0707)</v>
      </c>
      <c r="D27" t="str">
        <f>VLOOKUP(D13,'Thang đánh giá'!$C$2:$D$27,2,FALSE)</f>
        <v>(0,0837; 0,1673; 0,251)</v>
      </c>
      <c r="E27" t="str">
        <f>VLOOKUP(E13,'Thang đánh giá'!$C$2:$D$27,2,FALSE)</f>
        <v>(0; 0; 0,0548)</v>
      </c>
      <c r="F27" t="str">
        <f>VLOOKUP(F13,'Thang đánh giá'!$C$2:$D$27,2,FALSE)</f>
        <v>(0; 0,0707; 0,1414)</v>
      </c>
      <c r="G27" t="str">
        <f>VLOOKUP(G13,'Thang đánh giá'!$C$2:$D$27,2,FALSE)</f>
        <v>(0; 0; 0,0548)</v>
      </c>
      <c r="H27" t="str">
        <f>VLOOKUP(H13,'Thang đánh giá'!$C$2:$D$27,2,FALSE)</f>
        <v>(0; 0; 0,0707)</v>
      </c>
      <c r="I27" t="str">
        <f>VLOOKUP(I13,'Thang đánh giá'!$C$2:$D$27,2,FALSE)</f>
        <v>(0; 0,0316; 0,0632)</v>
      </c>
      <c r="J27" t="str">
        <f>VLOOKUP(J13,'Thang đánh giá'!$C$2:$D$27,2,FALSE)</f>
        <v>(0; 0; 0,0548)</v>
      </c>
      <c r="K27" t="str">
        <f>VLOOKUP(K13,'Thang đánh giá'!$C$2:$D$27,2,FALSE)</f>
        <v>(0; 0; 0,0548)</v>
      </c>
      <c r="L27" t="str">
        <f>VLOOKUP(L13,'Thang đánh giá'!$C$2:$D$27,2,FALSE)</f>
        <v>(0; 0; 0,0707)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0.1673</v>
      </c>
      <c r="D30">
        <f t="shared" si="0"/>
        <v>0.18970000000000001</v>
      </c>
      <c r="E30">
        <f t="shared" si="0"/>
        <v>0</v>
      </c>
      <c r="F30">
        <f t="shared" si="0"/>
        <v>0.1673</v>
      </c>
      <c r="G30">
        <f t="shared" si="0"/>
        <v>0</v>
      </c>
      <c r="H30">
        <f t="shared" si="0"/>
        <v>0</v>
      </c>
      <c r="I30">
        <f t="shared" si="0"/>
        <v>0</v>
      </c>
      <c r="J30">
        <f t="shared" si="0"/>
        <v>0.18970000000000001</v>
      </c>
      <c r="K30">
        <f t="shared" si="0"/>
        <v>0</v>
      </c>
      <c r="L30">
        <f t="shared" si="0"/>
        <v>0</v>
      </c>
      <c r="M30">
        <f t="shared" si="0"/>
        <v>0</v>
      </c>
    </row>
    <row r="31" spans="1:13" x14ac:dyDescent="0.3">
      <c r="A31" t="s">
        <v>1</v>
      </c>
      <c r="B31">
        <f t="shared" ref="B31:M41" si="1">_xlfn.NUMBERVALUE(MID(B17,2,FIND(";",B17,1)-2))</f>
        <v>0</v>
      </c>
      <c r="C31">
        <f t="shared" si="1"/>
        <v>0</v>
      </c>
      <c r="D31">
        <f t="shared" si="1"/>
        <v>0.18970000000000001</v>
      </c>
      <c r="E31">
        <f t="shared" si="1"/>
        <v>0.251</v>
      </c>
      <c r="F31">
        <f t="shared" si="1"/>
        <v>8.3699999999999997E-2</v>
      </c>
      <c r="G31">
        <f t="shared" si="1"/>
        <v>0.251</v>
      </c>
      <c r="H31">
        <f t="shared" si="1"/>
        <v>0.28460000000000002</v>
      </c>
      <c r="I31">
        <f t="shared" si="1"/>
        <v>0</v>
      </c>
      <c r="J31">
        <f t="shared" si="1"/>
        <v>0.251</v>
      </c>
      <c r="K31">
        <f t="shared" si="1"/>
        <v>0.28460000000000002</v>
      </c>
      <c r="L31">
        <f t="shared" si="1"/>
        <v>0.18970000000000001</v>
      </c>
      <c r="M31">
        <f t="shared" si="1"/>
        <v>0.28460000000000002</v>
      </c>
    </row>
    <row r="32" spans="1:13" x14ac:dyDescent="0.3">
      <c r="A32" t="s">
        <v>2</v>
      </c>
      <c r="B32">
        <f t="shared" si="1"/>
        <v>0</v>
      </c>
      <c r="C32">
        <f t="shared" si="1"/>
        <v>7.0699999999999999E-2</v>
      </c>
      <c r="D32">
        <f t="shared" si="1"/>
        <v>0</v>
      </c>
      <c r="E32">
        <f t="shared" si="1"/>
        <v>0.1673</v>
      </c>
      <c r="F32">
        <f t="shared" si="1"/>
        <v>0</v>
      </c>
      <c r="G32">
        <f t="shared" si="1"/>
        <v>0.1673</v>
      </c>
      <c r="H32">
        <f t="shared" si="1"/>
        <v>0.1673</v>
      </c>
      <c r="I32">
        <f t="shared" si="1"/>
        <v>0</v>
      </c>
      <c r="J32">
        <f t="shared" si="1"/>
        <v>0.28460000000000002</v>
      </c>
      <c r="K32">
        <f t="shared" si="1"/>
        <v>0.28460000000000002</v>
      </c>
      <c r="L32">
        <f t="shared" si="1"/>
        <v>0.18970000000000001</v>
      </c>
      <c r="M32">
        <f t="shared" si="1"/>
        <v>0.1673</v>
      </c>
    </row>
    <row r="33" spans="1:13" x14ac:dyDescent="0.3">
      <c r="A33" t="s">
        <v>3</v>
      </c>
      <c r="B33">
        <f t="shared" si="1"/>
        <v>0</v>
      </c>
      <c r="C33">
        <f t="shared" si="1"/>
        <v>0</v>
      </c>
      <c r="D33">
        <f t="shared" si="1"/>
        <v>0</v>
      </c>
      <c r="E33">
        <f t="shared" si="1"/>
        <v>0</v>
      </c>
      <c r="F33">
        <f t="shared" si="1"/>
        <v>0</v>
      </c>
      <c r="G33">
        <f t="shared" si="1"/>
        <v>0</v>
      </c>
      <c r="H33">
        <f t="shared" si="1"/>
        <v>0.18970000000000001</v>
      </c>
      <c r="I33">
        <f t="shared" si="1"/>
        <v>0</v>
      </c>
      <c r="J33">
        <f t="shared" si="1"/>
        <v>0.18970000000000001</v>
      </c>
      <c r="K33">
        <f t="shared" si="1"/>
        <v>0</v>
      </c>
      <c r="L33">
        <f t="shared" si="1"/>
        <v>0.18970000000000001</v>
      </c>
      <c r="M33">
        <f t="shared" si="1"/>
        <v>0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0</v>
      </c>
      <c r="D34">
        <f t="shared" si="2"/>
        <v>7.0699999999999999E-2</v>
      </c>
      <c r="E34">
        <f t="shared" si="2"/>
        <v>0</v>
      </c>
      <c r="F34">
        <f t="shared" si="2"/>
        <v>0</v>
      </c>
      <c r="G34">
        <f t="shared" si="2"/>
        <v>0.1673</v>
      </c>
      <c r="H34">
        <f t="shared" si="2"/>
        <v>0</v>
      </c>
      <c r="I34">
        <f t="shared" si="2"/>
        <v>0</v>
      </c>
      <c r="J34">
        <f t="shared" si="2"/>
        <v>0.18970000000000001</v>
      </c>
      <c r="K34">
        <f t="shared" si="2"/>
        <v>0.18970000000000001</v>
      </c>
      <c r="L34">
        <f t="shared" si="2"/>
        <v>0</v>
      </c>
      <c r="M34">
        <f t="shared" si="2"/>
        <v>7.0699999999999999E-2</v>
      </c>
    </row>
    <row r="35" spans="1:13" x14ac:dyDescent="0.3">
      <c r="A35" t="s">
        <v>5</v>
      </c>
      <c r="B35">
        <f t="shared" si="1"/>
        <v>0</v>
      </c>
      <c r="C35">
        <f t="shared" si="1"/>
        <v>0</v>
      </c>
      <c r="D35">
        <f t="shared" si="1"/>
        <v>0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7.0699999999999999E-2</v>
      </c>
      <c r="I35">
        <f t="shared" si="1"/>
        <v>0</v>
      </c>
      <c r="J35">
        <f t="shared" si="1"/>
        <v>0.1673</v>
      </c>
      <c r="K35">
        <f t="shared" si="1"/>
        <v>0</v>
      </c>
      <c r="L35">
        <f t="shared" si="1"/>
        <v>0</v>
      </c>
      <c r="M35">
        <f t="shared" si="1"/>
        <v>0</v>
      </c>
    </row>
    <row r="36" spans="1:13" x14ac:dyDescent="0.3">
      <c r="A36" t="s">
        <v>6</v>
      </c>
      <c r="B36">
        <f t="shared" si="1"/>
        <v>0</v>
      </c>
      <c r="C36">
        <f t="shared" si="1"/>
        <v>0</v>
      </c>
      <c r="D36">
        <f t="shared" si="1"/>
        <v>0</v>
      </c>
      <c r="E36">
        <f t="shared" si="1"/>
        <v>0</v>
      </c>
      <c r="F36">
        <f t="shared" si="1"/>
        <v>0</v>
      </c>
      <c r="G36">
        <f t="shared" si="1"/>
        <v>0</v>
      </c>
      <c r="H36">
        <f t="shared" si="1"/>
        <v>0</v>
      </c>
      <c r="I36">
        <f t="shared" si="1"/>
        <v>0</v>
      </c>
      <c r="J36">
        <f t="shared" si="1"/>
        <v>0</v>
      </c>
      <c r="K36">
        <f t="shared" si="1"/>
        <v>0</v>
      </c>
      <c r="L36">
        <f t="shared" si="1"/>
        <v>0</v>
      </c>
      <c r="M36">
        <f t="shared" si="1"/>
        <v>0</v>
      </c>
    </row>
    <row r="37" spans="1:13" x14ac:dyDescent="0.3">
      <c r="A37" t="s">
        <v>7</v>
      </c>
      <c r="B37">
        <f t="shared" si="1"/>
        <v>0</v>
      </c>
      <c r="C37">
        <f t="shared" si="1"/>
        <v>0</v>
      </c>
      <c r="D37">
        <f t="shared" si="1"/>
        <v>7.0699999999999999E-2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0.28460000000000002</v>
      </c>
      <c r="K37">
        <f t="shared" si="1"/>
        <v>0.18970000000000001</v>
      </c>
      <c r="L37">
        <f t="shared" si="1"/>
        <v>0.28460000000000002</v>
      </c>
      <c r="M37">
        <f t="shared" si="1"/>
        <v>0.28460000000000002</v>
      </c>
    </row>
    <row r="38" spans="1:13" x14ac:dyDescent="0.3">
      <c r="A38" t="s">
        <v>8</v>
      </c>
      <c r="B38">
        <f t="shared" si="1"/>
        <v>0.1673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0.251</v>
      </c>
      <c r="I38">
        <f t="shared" si="1"/>
        <v>0</v>
      </c>
      <c r="J38">
        <f t="shared" si="1"/>
        <v>0</v>
      </c>
      <c r="K38">
        <f t="shared" si="1"/>
        <v>0.28460000000000002</v>
      </c>
      <c r="L38">
        <f t="shared" si="1"/>
        <v>0.251</v>
      </c>
      <c r="M38">
        <f t="shared" si="1"/>
        <v>0.28460000000000002</v>
      </c>
    </row>
    <row r="39" spans="1:13" x14ac:dyDescent="0.3">
      <c r="A39" t="s">
        <v>9</v>
      </c>
      <c r="B39">
        <f t="shared" si="1"/>
        <v>0</v>
      </c>
      <c r="C39">
        <f t="shared" si="1"/>
        <v>0</v>
      </c>
      <c r="D39">
        <f t="shared" si="1"/>
        <v>0</v>
      </c>
      <c r="E39">
        <f t="shared" si="1"/>
        <v>0</v>
      </c>
      <c r="F39">
        <f t="shared" si="1"/>
        <v>0</v>
      </c>
      <c r="G39">
        <f t="shared" si="1"/>
        <v>0</v>
      </c>
      <c r="H39">
        <f t="shared" si="1"/>
        <v>0</v>
      </c>
      <c r="I39">
        <f t="shared" si="1"/>
        <v>0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0</v>
      </c>
    </row>
    <row r="40" spans="1:13" x14ac:dyDescent="0.3">
      <c r="A40" t="s">
        <v>10</v>
      </c>
      <c r="B40">
        <f t="shared" si="1"/>
        <v>0</v>
      </c>
      <c r="C40">
        <f t="shared" si="1"/>
        <v>0</v>
      </c>
      <c r="D40">
        <f t="shared" si="1"/>
        <v>0</v>
      </c>
      <c r="E40">
        <f t="shared" si="1"/>
        <v>0</v>
      </c>
      <c r="F40">
        <f t="shared" si="1"/>
        <v>0</v>
      </c>
      <c r="G40">
        <f t="shared" si="1"/>
        <v>0</v>
      </c>
      <c r="H40">
        <f t="shared" si="1"/>
        <v>0</v>
      </c>
      <c r="I40">
        <f t="shared" si="1"/>
        <v>0</v>
      </c>
      <c r="J40">
        <f t="shared" si="1"/>
        <v>0</v>
      </c>
      <c r="K40">
        <f t="shared" si="1"/>
        <v>0</v>
      </c>
      <c r="L40">
        <f t="shared" si="1"/>
        <v>0</v>
      </c>
      <c r="M40">
        <f t="shared" si="1"/>
        <v>0.28460000000000002</v>
      </c>
    </row>
    <row r="41" spans="1:13" x14ac:dyDescent="0.3">
      <c r="A41" t="s">
        <v>11</v>
      </c>
      <c r="B41">
        <f t="shared" si="1"/>
        <v>0</v>
      </c>
      <c r="C41">
        <f t="shared" si="1"/>
        <v>0</v>
      </c>
      <c r="D41">
        <f t="shared" si="1"/>
        <v>8.3699999999999997E-2</v>
      </c>
      <c r="E41">
        <f t="shared" si="1"/>
        <v>0</v>
      </c>
      <c r="F41">
        <f t="shared" si="1"/>
        <v>0</v>
      </c>
      <c r="G41">
        <f t="shared" si="1"/>
        <v>0</v>
      </c>
      <c r="H41">
        <f t="shared" si="1"/>
        <v>0</v>
      </c>
      <c r="I41">
        <f t="shared" si="1"/>
        <v>0</v>
      </c>
      <c r="J41">
        <f t="shared" si="1"/>
        <v>0</v>
      </c>
      <c r="K41">
        <f t="shared" si="1"/>
        <v>0</v>
      </c>
      <c r="L41">
        <f t="shared" si="1"/>
        <v>0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0.251</v>
      </c>
      <c r="D44">
        <f t="shared" si="3"/>
        <v>0.28460000000000002</v>
      </c>
      <c r="E44">
        <f t="shared" si="3"/>
        <v>7.0699999999999999E-2</v>
      </c>
      <c r="F44">
        <f t="shared" si="3"/>
        <v>0.251</v>
      </c>
      <c r="G44">
        <f t="shared" si="3"/>
        <v>0</v>
      </c>
      <c r="H44">
        <f t="shared" si="3"/>
        <v>7.0699999999999999E-2</v>
      </c>
      <c r="I44">
        <f t="shared" si="3"/>
        <v>7.0699999999999999E-2</v>
      </c>
      <c r="J44">
        <f t="shared" si="3"/>
        <v>0.28460000000000002</v>
      </c>
      <c r="K44">
        <f t="shared" si="3"/>
        <v>0</v>
      </c>
      <c r="L44">
        <f t="shared" si="3"/>
        <v>7.0699999999999999E-2</v>
      </c>
      <c r="M44">
        <f t="shared" si="3"/>
        <v>0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7.0699999999999999E-2</v>
      </c>
      <c r="C45">
        <f t="shared" si="4"/>
        <v>0</v>
      </c>
      <c r="D45">
        <f t="shared" si="4"/>
        <v>0.28460000000000002</v>
      </c>
      <c r="E45">
        <f t="shared" si="4"/>
        <v>0.3347</v>
      </c>
      <c r="F45">
        <f t="shared" si="4"/>
        <v>0.1673</v>
      </c>
      <c r="G45">
        <f t="shared" si="4"/>
        <v>0.3347</v>
      </c>
      <c r="H45">
        <f t="shared" si="4"/>
        <v>0.3795</v>
      </c>
      <c r="I45">
        <f t="shared" si="4"/>
        <v>0</v>
      </c>
      <c r="J45">
        <f t="shared" si="4"/>
        <v>0.3347</v>
      </c>
      <c r="K45">
        <f t="shared" si="4"/>
        <v>0.3795</v>
      </c>
      <c r="L45">
        <f t="shared" si="4"/>
        <v>0.28460000000000002</v>
      </c>
      <c r="M45">
        <f t="shared" si="4"/>
        <v>0.3795</v>
      </c>
    </row>
    <row r="46" spans="1:13" x14ac:dyDescent="0.3">
      <c r="A46" t="s">
        <v>2</v>
      </c>
      <c r="B46">
        <f t="shared" si="4"/>
        <v>7.0699999999999999E-2</v>
      </c>
      <c r="C46">
        <f t="shared" si="4"/>
        <v>0.1414</v>
      </c>
      <c r="D46">
        <f t="shared" si="4"/>
        <v>0</v>
      </c>
      <c r="E46">
        <f t="shared" si="4"/>
        <v>0.251</v>
      </c>
      <c r="F46">
        <f t="shared" si="4"/>
        <v>5.4800000000000001E-2</v>
      </c>
      <c r="G46">
        <f t="shared" si="4"/>
        <v>0.251</v>
      </c>
      <c r="H46">
        <f t="shared" si="4"/>
        <v>0.251</v>
      </c>
      <c r="I46">
        <f t="shared" si="4"/>
        <v>7.0699999999999999E-2</v>
      </c>
      <c r="J46">
        <f t="shared" si="4"/>
        <v>0.3795</v>
      </c>
      <c r="K46">
        <f t="shared" si="4"/>
        <v>0.3795</v>
      </c>
      <c r="L46">
        <f t="shared" si="4"/>
        <v>0.28460000000000002</v>
      </c>
      <c r="M46">
        <f t="shared" si="4"/>
        <v>0.251</v>
      </c>
    </row>
    <row r="47" spans="1:13" x14ac:dyDescent="0.3">
      <c r="A47" t="s">
        <v>3</v>
      </c>
      <c r="B47">
        <f t="shared" si="4"/>
        <v>7.0699999999999999E-2</v>
      </c>
      <c r="C47">
        <f t="shared" si="4"/>
        <v>0</v>
      </c>
      <c r="D47">
        <f t="shared" si="4"/>
        <v>7.0699999999999999E-2</v>
      </c>
      <c r="E47">
        <f t="shared" si="4"/>
        <v>0</v>
      </c>
      <c r="F47">
        <f t="shared" si="4"/>
        <v>5.4800000000000001E-2</v>
      </c>
      <c r="G47">
        <f t="shared" si="4"/>
        <v>8.3699999999999997E-2</v>
      </c>
      <c r="H47">
        <f t="shared" si="4"/>
        <v>0.28460000000000002</v>
      </c>
      <c r="I47">
        <f t="shared" si="4"/>
        <v>7.0699999999999999E-2</v>
      </c>
      <c r="J47">
        <f t="shared" si="4"/>
        <v>0.28460000000000002</v>
      </c>
      <c r="K47">
        <f t="shared" si="4"/>
        <v>5.4800000000000001E-2</v>
      </c>
      <c r="L47">
        <f t="shared" si="4"/>
        <v>0.28460000000000002</v>
      </c>
      <c r="M47">
        <f t="shared" si="4"/>
        <v>3.1600000000000003E-2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0</v>
      </c>
      <c r="C48">
        <f t="shared" si="5"/>
        <v>5.4800000000000001E-2</v>
      </c>
      <c r="D48">
        <f t="shared" si="5"/>
        <v>0.1414</v>
      </c>
      <c r="E48">
        <f t="shared" si="5"/>
        <v>0</v>
      </c>
      <c r="F48">
        <f t="shared" si="5"/>
        <v>0</v>
      </c>
      <c r="G48">
        <f t="shared" si="5"/>
        <v>0.251</v>
      </c>
      <c r="H48">
        <f t="shared" si="5"/>
        <v>0</v>
      </c>
      <c r="I48">
        <f t="shared" si="5"/>
        <v>7.0699999999999999E-2</v>
      </c>
      <c r="J48">
        <f t="shared" si="5"/>
        <v>0.28460000000000002</v>
      </c>
      <c r="K48">
        <f t="shared" si="5"/>
        <v>0.28460000000000002</v>
      </c>
      <c r="L48">
        <f t="shared" si="5"/>
        <v>7.0699999999999999E-2</v>
      </c>
      <c r="M48">
        <f t="shared" si="5"/>
        <v>0.1414</v>
      </c>
    </row>
    <row r="49" spans="1:13" x14ac:dyDescent="0.3">
      <c r="A49" t="s">
        <v>5</v>
      </c>
      <c r="B49">
        <f t="shared" si="4"/>
        <v>0</v>
      </c>
      <c r="C49">
        <f t="shared" si="4"/>
        <v>5.4800000000000001E-2</v>
      </c>
      <c r="D49">
        <f t="shared" si="4"/>
        <v>7.0699999999999999E-2</v>
      </c>
      <c r="E49">
        <f t="shared" si="4"/>
        <v>7.0699999999999999E-2</v>
      </c>
      <c r="F49">
        <f t="shared" si="4"/>
        <v>5.4800000000000001E-2</v>
      </c>
      <c r="G49">
        <f t="shared" si="4"/>
        <v>0</v>
      </c>
      <c r="H49">
        <f t="shared" si="4"/>
        <v>0.1414</v>
      </c>
      <c r="I49">
        <f t="shared" si="4"/>
        <v>0</v>
      </c>
      <c r="J49">
        <f t="shared" si="4"/>
        <v>0.251</v>
      </c>
      <c r="K49">
        <f t="shared" si="4"/>
        <v>5.4800000000000001E-2</v>
      </c>
      <c r="L49">
        <f t="shared" si="4"/>
        <v>7.0699999999999999E-2</v>
      </c>
      <c r="M49">
        <f t="shared" si="4"/>
        <v>0</v>
      </c>
    </row>
    <row r="50" spans="1:13" x14ac:dyDescent="0.3">
      <c r="A50" t="s">
        <v>6</v>
      </c>
      <c r="B50">
        <f t="shared" si="4"/>
        <v>7.0699999999999999E-2</v>
      </c>
      <c r="C50">
        <f t="shared" si="4"/>
        <v>0</v>
      </c>
      <c r="D50">
        <f t="shared" si="4"/>
        <v>7.0699999999999999E-2</v>
      </c>
      <c r="E50">
        <f t="shared" si="4"/>
        <v>0</v>
      </c>
      <c r="F50">
        <f t="shared" si="4"/>
        <v>0</v>
      </c>
      <c r="G50">
        <f t="shared" si="4"/>
        <v>5.4800000000000001E-2</v>
      </c>
      <c r="H50">
        <f t="shared" si="4"/>
        <v>0</v>
      </c>
      <c r="I50">
        <f t="shared" si="4"/>
        <v>0</v>
      </c>
      <c r="J50">
        <f t="shared" si="4"/>
        <v>0</v>
      </c>
      <c r="K50">
        <f t="shared" si="4"/>
        <v>0</v>
      </c>
      <c r="L50">
        <f t="shared" si="4"/>
        <v>5.4800000000000001E-2</v>
      </c>
      <c r="M50">
        <f t="shared" si="4"/>
        <v>5.4800000000000001E-2</v>
      </c>
    </row>
    <row r="51" spans="1:13" x14ac:dyDescent="0.3">
      <c r="A51" t="s">
        <v>7</v>
      </c>
      <c r="B51">
        <f t="shared" si="4"/>
        <v>0</v>
      </c>
      <c r="C51">
        <f t="shared" si="4"/>
        <v>0</v>
      </c>
      <c r="D51">
        <f t="shared" si="4"/>
        <v>0.1414</v>
      </c>
      <c r="E51">
        <f t="shared" si="4"/>
        <v>7.0699999999999999E-2</v>
      </c>
      <c r="F51">
        <f t="shared" si="4"/>
        <v>8.3699999999999997E-2</v>
      </c>
      <c r="G51">
        <f t="shared" si="4"/>
        <v>7.0699999999999999E-2</v>
      </c>
      <c r="H51">
        <f t="shared" si="4"/>
        <v>0</v>
      </c>
      <c r="I51">
        <f t="shared" si="4"/>
        <v>0</v>
      </c>
      <c r="J51">
        <f t="shared" si="4"/>
        <v>0.3795</v>
      </c>
      <c r="K51">
        <f t="shared" si="4"/>
        <v>0.28460000000000002</v>
      </c>
      <c r="L51">
        <f t="shared" si="4"/>
        <v>0.3795</v>
      </c>
      <c r="M51">
        <f t="shared" si="4"/>
        <v>0.3795</v>
      </c>
    </row>
    <row r="52" spans="1:13" x14ac:dyDescent="0.3">
      <c r="A52" t="s">
        <v>8</v>
      </c>
      <c r="B52">
        <f t="shared" si="4"/>
        <v>0.251</v>
      </c>
      <c r="C52">
        <f t="shared" si="4"/>
        <v>8.3699999999999997E-2</v>
      </c>
      <c r="D52">
        <f t="shared" si="4"/>
        <v>0</v>
      </c>
      <c r="E52">
        <f t="shared" si="4"/>
        <v>0</v>
      </c>
      <c r="F52">
        <f t="shared" si="4"/>
        <v>5.4800000000000001E-2</v>
      </c>
      <c r="G52">
        <f t="shared" si="4"/>
        <v>0</v>
      </c>
      <c r="H52">
        <f t="shared" si="4"/>
        <v>0.3347</v>
      </c>
      <c r="I52">
        <f t="shared" si="4"/>
        <v>0</v>
      </c>
      <c r="J52">
        <f t="shared" si="4"/>
        <v>0</v>
      </c>
      <c r="K52">
        <f t="shared" si="4"/>
        <v>0.3795</v>
      </c>
      <c r="L52">
        <f t="shared" si="4"/>
        <v>0.3347</v>
      </c>
      <c r="M52">
        <f t="shared" si="4"/>
        <v>0.3795</v>
      </c>
    </row>
    <row r="53" spans="1:13" x14ac:dyDescent="0.3">
      <c r="A53" t="s">
        <v>9</v>
      </c>
      <c r="B53">
        <f t="shared" si="4"/>
        <v>7.0699999999999999E-2</v>
      </c>
      <c r="C53">
        <f t="shared" si="4"/>
        <v>5.4800000000000001E-2</v>
      </c>
      <c r="D53">
        <f t="shared" si="4"/>
        <v>0</v>
      </c>
      <c r="E53">
        <f t="shared" si="4"/>
        <v>0</v>
      </c>
      <c r="F53">
        <f t="shared" si="4"/>
        <v>0</v>
      </c>
      <c r="G53">
        <f t="shared" si="4"/>
        <v>7.0699999999999999E-2</v>
      </c>
      <c r="H53">
        <f t="shared" si="4"/>
        <v>0</v>
      </c>
      <c r="I53">
        <f t="shared" si="4"/>
        <v>0</v>
      </c>
      <c r="J53">
        <f t="shared" si="4"/>
        <v>7.0699999999999999E-2</v>
      </c>
      <c r="K53">
        <f t="shared" si="4"/>
        <v>0</v>
      </c>
      <c r="L53">
        <f t="shared" si="4"/>
        <v>7.0699999999999999E-2</v>
      </c>
      <c r="M53">
        <f t="shared" si="4"/>
        <v>5.4800000000000001E-2</v>
      </c>
    </row>
    <row r="54" spans="1:13" x14ac:dyDescent="0.3">
      <c r="A54" t="s">
        <v>10</v>
      </c>
      <c r="B54">
        <f t="shared" si="4"/>
        <v>7.0699999999999999E-2</v>
      </c>
      <c r="C54">
        <f t="shared" si="4"/>
        <v>0</v>
      </c>
      <c r="D54">
        <f t="shared" si="4"/>
        <v>0</v>
      </c>
      <c r="E54">
        <f t="shared" si="4"/>
        <v>0</v>
      </c>
      <c r="F54">
        <f t="shared" si="4"/>
        <v>7.0699999999999999E-2</v>
      </c>
      <c r="G54">
        <f t="shared" si="4"/>
        <v>0</v>
      </c>
      <c r="H54">
        <f t="shared" si="4"/>
        <v>0</v>
      </c>
      <c r="I54">
        <f t="shared" si="4"/>
        <v>0</v>
      </c>
      <c r="J54">
        <f t="shared" si="4"/>
        <v>0</v>
      </c>
      <c r="K54">
        <f t="shared" si="4"/>
        <v>5.4800000000000001E-2</v>
      </c>
      <c r="L54">
        <f t="shared" si="4"/>
        <v>0</v>
      </c>
      <c r="M54">
        <f t="shared" si="4"/>
        <v>0.3795</v>
      </c>
    </row>
    <row r="55" spans="1:13" x14ac:dyDescent="0.3">
      <c r="A55" t="s">
        <v>11</v>
      </c>
      <c r="B55">
        <f t="shared" si="4"/>
        <v>3.1600000000000003E-2</v>
      </c>
      <c r="C55">
        <f t="shared" si="4"/>
        <v>0</v>
      </c>
      <c r="D55">
        <f t="shared" si="4"/>
        <v>0.1673</v>
      </c>
      <c r="E55">
        <f t="shared" si="4"/>
        <v>0</v>
      </c>
      <c r="F55">
        <f t="shared" si="4"/>
        <v>7.0699999999999999E-2</v>
      </c>
      <c r="G55">
        <f t="shared" si="4"/>
        <v>0</v>
      </c>
      <c r="H55">
        <f t="shared" si="4"/>
        <v>0</v>
      </c>
      <c r="I55">
        <f t="shared" si="4"/>
        <v>3.1600000000000003E-2</v>
      </c>
      <c r="J55">
        <f t="shared" si="4"/>
        <v>0</v>
      </c>
      <c r="K55">
        <f t="shared" si="4"/>
        <v>0</v>
      </c>
      <c r="L55">
        <f t="shared" si="4"/>
        <v>0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0.3347</v>
      </c>
      <c r="D58">
        <f t="shared" si="6"/>
        <v>0.3795</v>
      </c>
      <c r="E58">
        <f t="shared" si="6"/>
        <v>0.1414</v>
      </c>
      <c r="F58">
        <f t="shared" si="6"/>
        <v>0.3347</v>
      </c>
      <c r="G58">
        <f t="shared" si="6"/>
        <v>5.4800000000000001E-2</v>
      </c>
      <c r="H58">
        <f t="shared" si="6"/>
        <v>0.1414</v>
      </c>
      <c r="I58">
        <f t="shared" si="6"/>
        <v>0.1414</v>
      </c>
      <c r="J58">
        <f t="shared" si="6"/>
        <v>0.3795</v>
      </c>
      <c r="K58">
        <f t="shared" si="6"/>
        <v>7.0699999999999999E-2</v>
      </c>
      <c r="L58">
        <f t="shared" si="6"/>
        <v>0.1414</v>
      </c>
      <c r="M58">
        <f t="shared" si="6"/>
        <v>7.0699999999999999E-2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0.1414</v>
      </c>
      <c r="C59">
        <f t="shared" si="7"/>
        <v>0</v>
      </c>
      <c r="D59">
        <f t="shared" si="7"/>
        <v>0.3795</v>
      </c>
      <c r="E59">
        <f t="shared" si="7"/>
        <v>0.3347</v>
      </c>
      <c r="F59">
        <f t="shared" si="7"/>
        <v>0.251</v>
      </c>
      <c r="G59">
        <f t="shared" si="7"/>
        <v>0.3347</v>
      </c>
      <c r="H59">
        <f t="shared" si="7"/>
        <v>0.3795</v>
      </c>
      <c r="I59">
        <f t="shared" si="7"/>
        <v>7.0699999999999999E-2</v>
      </c>
      <c r="J59">
        <f t="shared" si="7"/>
        <v>0.3347</v>
      </c>
      <c r="K59">
        <f t="shared" si="7"/>
        <v>0.3795</v>
      </c>
      <c r="L59">
        <f t="shared" si="7"/>
        <v>0.3795</v>
      </c>
      <c r="M59">
        <f t="shared" si="7"/>
        <v>0.3795</v>
      </c>
    </row>
    <row r="60" spans="1:13" x14ac:dyDescent="0.3">
      <c r="A60" t="s">
        <v>2</v>
      </c>
      <c r="B60">
        <f t="shared" si="7"/>
        <v>0.1414</v>
      </c>
      <c r="C60">
        <f t="shared" si="7"/>
        <v>0.21210000000000001</v>
      </c>
      <c r="D60">
        <f t="shared" si="7"/>
        <v>0</v>
      </c>
      <c r="E60">
        <f t="shared" si="7"/>
        <v>0.3347</v>
      </c>
      <c r="F60">
        <f t="shared" si="7"/>
        <v>0.1095</v>
      </c>
      <c r="G60">
        <f t="shared" si="7"/>
        <v>0.3347</v>
      </c>
      <c r="H60">
        <f t="shared" si="7"/>
        <v>0.3347</v>
      </c>
      <c r="I60">
        <f t="shared" si="7"/>
        <v>0.1414</v>
      </c>
      <c r="J60">
        <f t="shared" si="7"/>
        <v>0.3795</v>
      </c>
      <c r="K60">
        <f t="shared" si="7"/>
        <v>0.3795</v>
      </c>
      <c r="L60">
        <f t="shared" si="7"/>
        <v>0.3795</v>
      </c>
      <c r="M60">
        <f t="shared" si="7"/>
        <v>0.3347</v>
      </c>
    </row>
    <row r="61" spans="1:13" x14ac:dyDescent="0.3">
      <c r="A61" t="s">
        <v>3</v>
      </c>
      <c r="B61">
        <f t="shared" si="7"/>
        <v>0.1414</v>
      </c>
      <c r="C61">
        <f t="shared" si="7"/>
        <v>5.4800000000000001E-2</v>
      </c>
      <c r="D61">
        <f t="shared" si="7"/>
        <v>0.1414</v>
      </c>
      <c r="E61">
        <f t="shared" si="7"/>
        <v>0</v>
      </c>
      <c r="F61">
        <f t="shared" si="7"/>
        <v>0.1095</v>
      </c>
      <c r="G61">
        <f t="shared" si="7"/>
        <v>0.1673</v>
      </c>
      <c r="H61">
        <f t="shared" si="7"/>
        <v>0.3795</v>
      </c>
      <c r="I61">
        <f t="shared" si="7"/>
        <v>0.1414</v>
      </c>
      <c r="J61">
        <f t="shared" si="7"/>
        <v>0.3795</v>
      </c>
      <c r="K61">
        <f t="shared" si="7"/>
        <v>0.1095</v>
      </c>
      <c r="L61">
        <f t="shared" si="7"/>
        <v>0.3795</v>
      </c>
      <c r="M61">
        <f t="shared" si="7"/>
        <v>6.3200000000000006E-2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3.1600000000000003E-2</v>
      </c>
      <c r="C62">
        <f t="shared" si="8"/>
        <v>0.1095</v>
      </c>
      <c r="D62">
        <f t="shared" si="8"/>
        <v>0.21210000000000001</v>
      </c>
      <c r="E62">
        <f t="shared" si="8"/>
        <v>3.1600000000000003E-2</v>
      </c>
      <c r="F62">
        <f t="shared" si="8"/>
        <v>0</v>
      </c>
      <c r="G62">
        <f t="shared" si="8"/>
        <v>0.3347</v>
      </c>
      <c r="H62">
        <f t="shared" si="8"/>
        <v>7.0699999999999999E-2</v>
      </c>
      <c r="I62">
        <f t="shared" si="8"/>
        <v>0.1414</v>
      </c>
      <c r="J62">
        <f t="shared" si="8"/>
        <v>0.3795</v>
      </c>
      <c r="K62">
        <f t="shared" si="8"/>
        <v>0.3795</v>
      </c>
      <c r="L62">
        <f t="shared" si="8"/>
        <v>0.1414</v>
      </c>
      <c r="M62">
        <f t="shared" si="8"/>
        <v>0.21210000000000001</v>
      </c>
    </row>
    <row r="63" spans="1:13" x14ac:dyDescent="0.3">
      <c r="A63" t="s">
        <v>5</v>
      </c>
      <c r="B63">
        <f t="shared" si="7"/>
        <v>7.0699999999999999E-2</v>
      </c>
      <c r="C63">
        <f t="shared" si="7"/>
        <v>0.1095</v>
      </c>
      <c r="D63">
        <f t="shared" si="7"/>
        <v>0.1414</v>
      </c>
      <c r="E63">
        <f t="shared" si="7"/>
        <v>0.1414</v>
      </c>
      <c r="F63">
        <f t="shared" si="7"/>
        <v>0.1095</v>
      </c>
      <c r="G63">
        <f t="shared" si="7"/>
        <v>0</v>
      </c>
      <c r="H63">
        <f t="shared" si="7"/>
        <v>0.21210000000000001</v>
      </c>
      <c r="I63">
        <f t="shared" si="7"/>
        <v>7.0699999999999999E-2</v>
      </c>
      <c r="J63">
        <f t="shared" si="7"/>
        <v>0.3347</v>
      </c>
      <c r="K63">
        <f t="shared" si="7"/>
        <v>0.1095</v>
      </c>
      <c r="L63">
        <f t="shared" si="7"/>
        <v>0.1414</v>
      </c>
      <c r="M63">
        <f t="shared" si="7"/>
        <v>8.3699999999999997E-2</v>
      </c>
    </row>
    <row r="64" spans="1:13" x14ac:dyDescent="0.3">
      <c r="A64" t="s">
        <v>6</v>
      </c>
      <c r="B64">
        <f t="shared" si="7"/>
        <v>0.1414</v>
      </c>
      <c r="C64">
        <f t="shared" si="7"/>
        <v>5.4800000000000001E-2</v>
      </c>
      <c r="D64">
        <f t="shared" si="7"/>
        <v>0.1414</v>
      </c>
      <c r="E64">
        <f t="shared" si="7"/>
        <v>7.0699999999999999E-2</v>
      </c>
      <c r="F64">
        <f t="shared" si="7"/>
        <v>7.0699999999999999E-2</v>
      </c>
      <c r="G64">
        <f t="shared" si="7"/>
        <v>0.1095</v>
      </c>
      <c r="H64">
        <f t="shared" si="7"/>
        <v>0</v>
      </c>
      <c r="I64">
        <f t="shared" si="7"/>
        <v>5.4800000000000001E-2</v>
      </c>
      <c r="J64">
        <f t="shared" si="7"/>
        <v>5.4800000000000001E-2</v>
      </c>
      <c r="K64">
        <f t="shared" si="7"/>
        <v>3.1600000000000003E-2</v>
      </c>
      <c r="L64">
        <f t="shared" si="7"/>
        <v>0.1095</v>
      </c>
      <c r="M64">
        <f t="shared" si="7"/>
        <v>0.1095</v>
      </c>
    </row>
    <row r="65" spans="1:13" x14ac:dyDescent="0.3">
      <c r="A65" t="s">
        <v>7</v>
      </c>
      <c r="B65">
        <f t="shared" si="7"/>
        <v>7.0699999999999999E-2</v>
      </c>
      <c r="C65">
        <f t="shared" si="7"/>
        <v>3.1600000000000003E-2</v>
      </c>
      <c r="D65">
        <f t="shared" si="7"/>
        <v>0.21210000000000001</v>
      </c>
      <c r="E65">
        <f t="shared" si="7"/>
        <v>0.1414</v>
      </c>
      <c r="F65">
        <f t="shared" si="7"/>
        <v>0.1673</v>
      </c>
      <c r="G65">
        <f t="shared" si="7"/>
        <v>0.1414</v>
      </c>
      <c r="H65">
        <f t="shared" si="7"/>
        <v>5.4800000000000001E-2</v>
      </c>
      <c r="I65">
        <f t="shared" si="7"/>
        <v>0</v>
      </c>
      <c r="J65">
        <f t="shared" si="7"/>
        <v>0.3795</v>
      </c>
      <c r="K65">
        <f t="shared" si="7"/>
        <v>0.3795</v>
      </c>
      <c r="L65">
        <f t="shared" si="7"/>
        <v>0.3795</v>
      </c>
      <c r="M65">
        <f t="shared" si="7"/>
        <v>0.3795</v>
      </c>
    </row>
    <row r="66" spans="1:13" x14ac:dyDescent="0.3">
      <c r="A66" t="s">
        <v>8</v>
      </c>
      <c r="B66">
        <f t="shared" si="7"/>
        <v>0.3347</v>
      </c>
      <c r="C66">
        <f t="shared" si="7"/>
        <v>0.1673</v>
      </c>
      <c r="D66">
        <f t="shared" si="7"/>
        <v>7.0699999999999999E-2</v>
      </c>
      <c r="E66">
        <f t="shared" si="7"/>
        <v>7.0699999999999999E-2</v>
      </c>
      <c r="F66">
        <f t="shared" si="7"/>
        <v>0.1095</v>
      </c>
      <c r="G66">
        <f t="shared" si="7"/>
        <v>7.0699999999999999E-2</v>
      </c>
      <c r="H66">
        <f t="shared" si="7"/>
        <v>0.3347</v>
      </c>
      <c r="I66">
        <f t="shared" si="7"/>
        <v>3.1600000000000003E-2</v>
      </c>
      <c r="J66">
        <f t="shared" si="7"/>
        <v>0</v>
      </c>
      <c r="K66">
        <f t="shared" si="7"/>
        <v>0.3795</v>
      </c>
      <c r="L66">
        <f t="shared" si="7"/>
        <v>0.3347</v>
      </c>
      <c r="M66">
        <f t="shared" si="7"/>
        <v>0.3795</v>
      </c>
    </row>
    <row r="67" spans="1:13" x14ac:dyDescent="0.3">
      <c r="A67" t="s">
        <v>9</v>
      </c>
      <c r="B67">
        <f t="shared" si="7"/>
        <v>0.1414</v>
      </c>
      <c r="C67">
        <f t="shared" si="7"/>
        <v>0.1095</v>
      </c>
      <c r="D67">
        <f t="shared" si="7"/>
        <v>7.0699999999999999E-2</v>
      </c>
      <c r="E67">
        <f t="shared" si="7"/>
        <v>5.4800000000000001E-2</v>
      </c>
      <c r="F67">
        <f t="shared" si="7"/>
        <v>7.0699999999999999E-2</v>
      </c>
      <c r="G67">
        <f t="shared" si="7"/>
        <v>0.1414</v>
      </c>
      <c r="H67">
        <f t="shared" si="7"/>
        <v>5.4800000000000001E-2</v>
      </c>
      <c r="I67">
        <f t="shared" si="7"/>
        <v>7.0699999999999999E-2</v>
      </c>
      <c r="J67">
        <f t="shared" si="7"/>
        <v>0.1414</v>
      </c>
      <c r="K67">
        <f t="shared" si="7"/>
        <v>0</v>
      </c>
      <c r="L67">
        <f t="shared" si="7"/>
        <v>0.1414</v>
      </c>
      <c r="M67">
        <f t="shared" si="7"/>
        <v>0.1095</v>
      </c>
    </row>
    <row r="68" spans="1:13" x14ac:dyDescent="0.3">
      <c r="A68" t="s">
        <v>10</v>
      </c>
      <c r="B68">
        <f t="shared" si="7"/>
        <v>0.1414</v>
      </c>
      <c r="C68">
        <f t="shared" si="7"/>
        <v>7.0699999999999999E-2</v>
      </c>
      <c r="D68">
        <f t="shared" si="7"/>
        <v>7.0699999999999999E-2</v>
      </c>
      <c r="E68">
        <f t="shared" si="7"/>
        <v>8.3699999999999997E-2</v>
      </c>
      <c r="F68">
        <f t="shared" si="7"/>
        <v>0.1414</v>
      </c>
      <c r="G68">
        <f t="shared" si="7"/>
        <v>5.4800000000000001E-2</v>
      </c>
      <c r="H68">
        <f t="shared" si="7"/>
        <v>5.4800000000000001E-2</v>
      </c>
      <c r="I68">
        <f t="shared" si="7"/>
        <v>7.0699999999999999E-2</v>
      </c>
      <c r="J68">
        <f t="shared" si="7"/>
        <v>7.0699999999999999E-2</v>
      </c>
      <c r="K68">
        <f t="shared" si="7"/>
        <v>0.1095</v>
      </c>
      <c r="L68">
        <f t="shared" si="7"/>
        <v>0</v>
      </c>
      <c r="M68">
        <f t="shared" si="7"/>
        <v>0.3795</v>
      </c>
    </row>
    <row r="69" spans="1:13" x14ac:dyDescent="0.3">
      <c r="A69" t="s">
        <v>11</v>
      </c>
      <c r="B69">
        <f t="shared" si="7"/>
        <v>6.3200000000000006E-2</v>
      </c>
      <c r="C69">
        <f t="shared" si="7"/>
        <v>7.0699999999999999E-2</v>
      </c>
      <c r="D69">
        <f t="shared" si="7"/>
        <v>0.251</v>
      </c>
      <c r="E69">
        <f t="shared" si="7"/>
        <v>5.4800000000000001E-2</v>
      </c>
      <c r="F69">
        <f t="shared" si="7"/>
        <v>0.1414</v>
      </c>
      <c r="G69">
        <f t="shared" si="7"/>
        <v>5.4800000000000001E-2</v>
      </c>
      <c r="H69">
        <f t="shared" si="7"/>
        <v>7.0699999999999999E-2</v>
      </c>
      <c r="I69">
        <f t="shared" si="7"/>
        <v>6.3200000000000006E-2</v>
      </c>
      <c r="J69">
        <f t="shared" si="7"/>
        <v>5.4800000000000001E-2</v>
      </c>
      <c r="K69">
        <f t="shared" si="7"/>
        <v>5.4800000000000001E-2</v>
      </c>
      <c r="L69">
        <f t="shared" si="7"/>
        <v>7.0699999999999999E-2</v>
      </c>
      <c r="M69">
        <f t="shared" si="7"/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30"/>
  <dimension ref="A1:M69"/>
  <sheetViews>
    <sheetView workbookViewId="0">
      <selection activeCell="A15" sqref="A15:M69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13</v>
      </c>
      <c r="D2" t="s">
        <v>13</v>
      </c>
      <c r="E2" t="s">
        <v>15</v>
      </c>
      <c r="F2" t="s">
        <v>21</v>
      </c>
      <c r="G2" t="s">
        <v>24</v>
      </c>
      <c r="H2" t="s">
        <v>22</v>
      </c>
      <c r="I2" t="s">
        <v>24</v>
      </c>
      <c r="J2" t="s">
        <v>12</v>
      </c>
      <c r="K2" t="s">
        <v>62</v>
      </c>
      <c r="L2" t="s">
        <v>71</v>
      </c>
      <c r="M2" t="s">
        <v>23</v>
      </c>
    </row>
    <row r="3" spans="1:13" x14ac:dyDescent="0.3">
      <c r="A3" s="1" t="s">
        <v>1</v>
      </c>
      <c r="B3" t="s">
        <v>22</v>
      </c>
      <c r="C3">
        <v>0</v>
      </c>
      <c r="D3" t="s">
        <v>18</v>
      </c>
      <c r="E3" t="s">
        <v>25</v>
      </c>
      <c r="F3" t="s">
        <v>15</v>
      </c>
      <c r="G3" t="s">
        <v>24</v>
      </c>
      <c r="H3" t="s">
        <v>16</v>
      </c>
      <c r="I3" t="s">
        <v>22</v>
      </c>
      <c r="J3" t="s">
        <v>13</v>
      </c>
      <c r="K3" t="s">
        <v>18</v>
      </c>
      <c r="L3" t="s">
        <v>23</v>
      </c>
      <c r="M3" t="s">
        <v>13</v>
      </c>
    </row>
    <row r="4" spans="1:13" x14ac:dyDescent="0.3">
      <c r="A4" s="1" t="s">
        <v>2</v>
      </c>
      <c r="B4" t="s">
        <v>22</v>
      </c>
      <c r="C4" t="s">
        <v>16</v>
      </c>
      <c r="D4">
        <v>0</v>
      </c>
      <c r="E4" t="s">
        <v>12</v>
      </c>
      <c r="F4" t="s">
        <v>24</v>
      </c>
      <c r="G4" t="s">
        <v>20</v>
      </c>
      <c r="H4" t="s">
        <v>24</v>
      </c>
      <c r="I4" t="s">
        <v>20</v>
      </c>
      <c r="J4" t="s">
        <v>13</v>
      </c>
      <c r="K4" t="s">
        <v>18</v>
      </c>
      <c r="L4" t="s">
        <v>12</v>
      </c>
      <c r="M4" t="s">
        <v>13</v>
      </c>
    </row>
    <row r="5" spans="1:13" x14ac:dyDescent="0.3">
      <c r="A5" s="1" t="s">
        <v>3</v>
      </c>
      <c r="B5" t="s">
        <v>18</v>
      </c>
      <c r="C5" t="s">
        <v>18</v>
      </c>
      <c r="D5" t="s">
        <v>18</v>
      </c>
      <c r="E5">
        <v>0</v>
      </c>
      <c r="F5" t="s">
        <v>12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</row>
    <row r="6" spans="1:13" x14ac:dyDescent="0.3">
      <c r="A6" s="1" t="s">
        <v>4</v>
      </c>
      <c r="B6" t="s">
        <v>24</v>
      </c>
      <c r="C6" t="s">
        <v>20</v>
      </c>
      <c r="D6" t="s">
        <v>17</v>
      </c>
      <c r="E6" t="s">
        <v>15</v>
      </c>
      <c r="F6">
        <v>0</v>
      </c>
      <c r="G6" t="s">
        <v>18</v>
      </c>
      <c r="H6" t="s">
        <v>15</v>
      </c>
      <c r="I6" t="s">
        <v>16</v>
      </c>
      <c r="J6" t="s">
        <v>25</v>
      </c>
      <c r="K6" t="s">
        <v>25</v>
      </c>
      <c r="L6" t="s">
        <v>15</v>
      </c>
      <c r="M6" t="s">
        <v>22</v>
      </c>
    </row>
    <row r="7" spans="1:13" x14ac:dyDescent="0.3">
      <c r="A7" s="1" t="s">
        <v>5</v>
      </c>
      <c r="B7" t="s">
        <v>21</v>
      </c>
      <c r="C7" t="s">
        <v>24</v>
      </c>
      <c r="D7" t="s">
        <v>71</v>
      </c>
      <c r="E7" t="s">
        <v>24</v>
      </c>
      <c r="F7" t="s">
        <v>22</v>
      </c>
      <c r="G7">
        <v>0</v>
      </c>
      <c r="H7" t="s">
        <v>15</v>
      </c>
      <c r="I7" t="s">
        <v>71</v>
      </c>
      <c r="J7" t="s">
        <v>25</v>
      </c>
      <c r="K7" t="s">
        <v>24</v>
      </c>
      <c r="L7" t="s">
        <v>62</v>
      </c>
      <c r="M7" t="s">
        <v>16</v>
      </c>
    </row>
    <row r="8" spans="1:13" x14ac:dyDescent="0.3">
      <c r="A8" s="1" t="s">
        <v>6</v>
      </c>
      <c r="B8" t="s">
        <v>15</v>
      </c>
      <c r="C8" t="s">
        <v>16</v>
      </c>
      <c r="D8" t="s">
        <v>24</v>
      </c>
      <c r="E8" t="s">
        <v>24</v>
      </c>
      <c r="F8" t="s">
        <v>15</v>
      </c>
      <c r="G8" t="s">
        <v>16</v>
      </c>
      <c r="H8">
        <v>0</v>
      </c>
      <c r="I8" t="s">
        <v>20</v>
      </c>
      <c r="J8" t="s">
        <v>23</v>
      </c>
      <c r="K8" t="s">
        <v>16</v>
      </c>
      <c r="L8" t="s">
        <v>16</v>
      </c>
      <c r="M8" t="s">
        <v>15</v>
      </c>
    </row>
    <row r="9" spans="1:13" x14ac:dyDescent="0.3">
      <c r="A9" s="1" t="s">
        <v>7</v>
      </c>
      <c r="B9" t="s">
        <v>15</v>
      </c>
      <c r="C9" t="s">
        <v>71</v>
      </c>
      <c r="D9" t="s">
        <v>20</v>
      </c>
      <c r="E9" t="s">
        <v>16</v>
      </c>
      <c r="F9" t="s">
        <v>16</v>
      </c>
      <c r="G9" t="s">
        <v>15</v>
      </c>
      <c r="H9" t="s">
        <v>24</v>
      </c>
      <c r="I9">
        <v>0</v>
      </c>
      <c r="J9" t="s">
        <v>13</v>
      </c>
      <c r="K9" t="s">
        <v>18</v>
      </c>
      <c r="L9" t="s">
        <v>18</v>
      </c>
      <c r="M9" t="s">
        <v>18</v>
      </c>
    </row>
    <row r="10" spans="1:13" x14ac:dyDescent="0.3">
      <c r="A10" s="1" t="s">
        <v>8</v>
      </c>
      <c r="B10" t="s">
        <v>22</v>
      </c>
      <c r="C10" t="s">
        <v>15</v>
      </c>
      <c r="D10" t="s">
        <v>15</v>
      </c>
      <c r="E10" t="s">
        <v>24</v>
      </c>
      <c r="F10" t="s">
        <v>16</v>
      </c>
      <c r="G10" t="s">
        <v>16</v>
      </c>
      <c r="H10" t="s">
        <v>25</v>
      </c>
      <c r="I10" t="s">
        <v>15</v>
      </c>
      <c r="J10">
        <v>0</v>
      </c>
      <c r="K10" t="s">
        <v>18</v>
      </c>
      <c r="L10" t="s">
        <v>25</v>
      </c>
      <c r="M10" t="s">
        <v>18</v>
      </c>
    </row>
    <row r="11" spans="1:13" x14ac:dyDescent="0.3">
      <c r="A11" s="1" t="s">
        <v>9</v>
      </c>
      <c r="B11" t="s">
        <v>16</v>
      </c>
      <c r="C11" t="s">
        <v>71</v>
      </c>
      <c r="D11" t="s">
        <v>16</v>
      </c>
      <c r="E11" t="s">
        <v>16</v>
      </c>
      <c r="F11" t="s">
        <v>15</v>
      </c>
      <c r="G11" t="s">
        <v>24</v>
      </c>
      <c r="H11" t="s">
        <v>20</v>
      </c>
      <c r="I11" t="s">
        <v>16</v>
      </c>
      <c r="J11" t="s">
        <v>15</v>
      </c>
      <c r="K11">
        <v>0</v>
      </c>
      <c r="L11" t="s">
        <v>20</v>
      </c>
      <c r="M11" t="s">
        <v>23</v>
      </c>
    </row>
    <row r="12" spans="1:13" x14ac:dyDescent="0.3">
      <c r="A12" s="1" t="s">
        <v>10</v>
      </c>
      <c r="B12" t="s">
        <v>24</v>
      </c>
      <c r="C12" t="s">
        <v>24</v>
      </c>
      <c r="D12" t="s">
        <v>16</v>
      </c>
      <c r="E12" t="s">
        <v>15</v>
      </c>
      <c r="F12" t="s">
        <v>16</v>
      </c>
      <c r="G12" t="s">
        <v>15</v>
      </c>
      <c r="H12" t="s">
        <v>17</v>
      </c>
      <c r="I12" t="s">
        <v>22</v>
      </c>
      <c r="J12" t="s">
        <v>24</v>
      </c>
      <c r="K12" t="s">
        <v>20</v>
      </c>
      <c r="L12">
        <v>0</v>
      </c>
      <c r="M12" t="s">
        <v>18</v>
      </c>
    </row>
    <row r="13" spans="1:13" x14ac:dyDescent="0.3">
      <c r="A13" s="1" t="s">
        <v>11</v>
      </c>
      <c r="B13" t="s">
        <v>20</v>
      </c>
      <c r="C13" t="s">
        <v>16</v>
      </c>
      <c r="D13" t="s">
        <v>71</v>
      </c>
      <c r="E13" t="s">
        <v>16</v>
      </c>
      <c r="F13" t="s">
        <v>17</v>
      </c>
      <c r="G13" t="s">
        <v>20</v>
      </c>
      <c r="H13" t="s">
        <v>24</v>
      </c>
      <c r="I13" t="s">
        <v>22</v>
      </c>
      <c r="J13" t="s">
        <v>22</v>
      </c>
      <c r="K13" t="s">
        <v>15</v>
      </c>
      <c r="L13" t="s">
        <v>16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(0,1897; 0,2846; 0,3795)</v>
      </c>
      <c r="D16" t="str">
        <f>VLOOKUP(D2,'Thang đánh giá'!$C$2:$D$27,2,FALSE)</f>
        <v>(0,1897; 0,2846; 0,3795)</v>
      </c>
      <c r="E16" t="str">
        <f>VLOOKUP(E2,'Thang đánh giá'!$C$2:$D$27,2,FALSE)</f>
        <v>(0; 0,0707; 0,1414)</v>
      </c>
      <c r="F16" t="str">
        <f>VLOOKUP(F2,'Thang đánh giá'!$C$2:$D$27,2,FALSE)</f>
        <v>(0,0837; 0,1673; 0,251)</v>
      </c>
      <c r="G16" t="str">
        <f>VLOOKUP(G2,'Thang đánh giá'!$C$2:$D$27,2,FALSE)</f>
        <v>(0; 0; 0,0548)</v>
      </c>
      <c r="H16" t="str">
        <f>VLOOKUP(H2,'Thang đánh giá'!$C$2:$D$27,2,FALSE)</f>
        <v>(0,0707; 0,1414; 0,2121)</v>
      </c>
      <c r="I16" t="str">
        <f>VLOOKUP(I2,'Thang đánh giá'!$C$2:$D$27,2,FALSE)</f>
        <v>(0; 0; 0,0548)</v>
      </c>
      <c r="J16" t="str">
        <f>VLOOKUP(J2,'Thang đánh giá'!$C$2:$D$27,2,FALSE)</f>
        <v>(0,1673; 0,251; 0,3347)</v>
      </c>
      <c r="K16" t="str">
        <f>VLOOKUP(K2,'Thang đánh giá'!$C$2:$D$27,2,FALSE)</f>
        <v>(0; 0,0837; 0,1673)</v>
      </c>
      <c r="L16" t="str">
        <f>VLOOKUP(L2,'Thang đánh giá'!$C$2:$D$27,2,FALSE)</f>
        <v>(0; 0; 0,0837)</v>
      </c>
      <c r="M16" t="str">
        <f>VLOOKUP(M2,'Thang đánh giá'!$C$2:$D$27,2,FALSE)</f>
        <v>(0; 0; 0,0316)</v>
      </c>
    </row>
    <row r="17" spans="1:13" x14ac:dyDescent="0.3">
      <c r="A17" t="s">
        <v>1</v>
      </c>
      <c r="B17" t="str">
        <f>VLOOKUP(B3,'Thang đánh giá'!$C$2:$D$27,2,FALSE)</f>
        <v>(0,0707; 0,1414; 0,2121)</v>
      </c>
      <c r="C17" t="str">
        <f>VLOOKUP(C3,'Thang đánh giá'!$C$2:$D$27,2,FALSE)</f>
        <v>(0; 0; 0)</v>
      </c>
      <c r="D17" t="str">
        <f>VLOOKUP(D3,'Thang đánh giá'!$C$2:$D$27,2,FALSE)</f>
        <v>(0,2846; 0,3795; 0,3795)</v>
      </c>
      <c r="E17" t="str">
        <f>VLOOKUP(E3,'Thang đánh giá'!$C$2:$D$27,2,FALSE)</f>
        <v>(0,251; 0,3347; 0,3347)</v>
      </c>
      <c r="F17" t="str">
        <f>VLOOKUP(F3,'Thang đánh giá'!$C$2:$D$27,2,FALSE)</f>
        <v>(0; 0,0707; 0,1414)</v>
      </c>
      <c r="G17" t="str">
        <f>VLOOKUP(G3,'Thang đánh giá'!$C$2:$D$27,2,FALSE)</f>
        <v>(0; 0; 0,0548)</v>
      </c>
      <c r="H17" t="str">
        <f>VLOOKUP(H3,'Thang đánh giá'!$C$2:$D$27,2,FALSE)</f>
        <v>(0; 0; 0,0707)</v>
      </c>
      <c r="I17" t="str">
        <f>VLOOKUP(I3,'Thang đánh giá'!$C$2:$D$27,2,FALSE)</f>
        <v>(0,0707; 0,1414; 0,2121)</v>
      </c>
      <c r="J17" t="str">
        <f>VLOOKUP(J3,'Thang đánh giá'!$C$2:$D$27,2,FALSE)</f>
        <v>(0,1897; 0,2846; 0,3795)</v>
      </c>
      <c r="K17" t="str">
        <f>VLOOKUP(K3,'Thang đánh giá'!$C$2:$D$27,2,FALSE)</f>
        <v>(0,2846; 0,3795; 0,3795)</v>
      </c>
      <c r="L17" t="str">
        <f>VLOOKUP(L3,'Thang đánh giá'!$C$2:$D$27,2,FALSE)</f>
        <v>(0; 0; 0,0316)</v>
      </c>
      <c r="M17" t="str">
        <f>VLOOKUP(M3,'Thang đánh giá'!$C$2:$D$27,2,FALSE)</f>
        <v>(0,1897; 0,2846; 0,3795)</v>
      </c>
    </row>
    <row r="18" spans="1:13" x14ac:dyDescent="0.3">
      <c r="A18" t="s">
        <v>2</v>
      </c>
      <c r="B18" t="str">
        <f>VLOOKUP(B4,'Thang đánh giá'!$C$2:$D$27,2,FALSE)</f>
        <v>(0,0707; 0,1414; 0,2121)</v>
      </c>
      <c r="C18" t="str">
        <f>VLOOKUP(C4,'Thang đánh giá'!$C$2:$D$27,2,FALSE)</f>
        <v>(0; 0; 0,0707)</v>
      </c>
      <c r="D18" t="str">
        <f>VLOOKUP(D4,'Thang đánh giá'!$C$2:$D$27,2,FALSE)</f>
        <v>(0; 0; 0)</v>
      </c>
      <c r="E18" t="str">
        <f>VLOOKUP(E4,'Thang đánh giá'!$C$2:$D$27,2,FALSE)</f>
        <v>(0,1673; 0,251; 0,3347)</v>
      </c>
      <c r="F18" t="str">
        <f>VLOOKUP(F4,'Thang đánh giá'!$C$2:$D$27,2,FALSE)</f>
        <v>(0; 0; 0,0548)</v>
      </c>
      <c r="G18" t="str">
        <f>VLOOKUP(G4,'Thang đánh giá'!$C$2:$D$27,2,FALSE)</f>
        <v>(0; 0,0548; 0,1095)</v>
      </c>
      <c r="H18" t="str">
        <f>VLOOKUP(H4,'Thang đánh giá'!$C$2:$D$27,2,FALSE)</f>
        <v>(0; 0; 0,0548)</v>
      </c>
      <c r="I18" t="str">
        <f>VLOOKUP(I4,'Thang đánh giá'!$C$2:$D$27,2,FALSE)</f>
        <v>(0; 0,0548; 0,1095)</v>
      </c>
      <c r="J18" t="str">
        <f>VLOOKUP(J4,'Thang đánh giá'!$C$2:$D$27,2,FALSE)</f>
        <v>(0,1897; 0,2846; 0,3795)</v>
      </c>
      <c r="K18" t="str">
        <f>VLOOKUP(K4,'Thang đánh giá'!$C$2:$D$27,2,FALSE)</f>
        <v>(0,2846; 0,3795; 0,3795)</v>
      </c>
      <c r="L18" t="str">
        <f>VLOOKUP(L4,'Thang đánh giá'!$C$2:$D$27,2,FALSE)</f>
        <v>(0,1673; 0,251; 0,3347)</v>
      </c>
      <c r="M18" t="str">
        <f>VLOOKUP(M4,'Thang đánh giá'!$C$2:$D$27,2,FALSE)</f>
        <v>(0,1897; 0,2846; 0,3795)</v>
      </c>
    </row>
    <row r="19" spans="1:13" x14ac:dyDescent="0.3">
      <c r="A19" t="s">
        <v>3</v>
      </c>
      <c r="B19" t="str">
        <f>VLOOKUP(B5,'Thang đánh giá'!$C$2:$D$27,2,FALSE)</f>
        <v>(0,2846; 0,3795; 0,3795)</v>
      </c>
      <c r="C19" t="str">
        <f>VLOOKUP(C5,'Thang đánh giá'!$C$2:$D$27,2,FALSE)</f>
        <v>(0,2846; 0,3795; 0,3795)</v>
      </c>
      <c r="D19" t="str">
        <f>VLOOKUP(D5,'Thang đánh giá'!$C$2:$D$27,2,FALSE)</f>
        <v>(0,2846; 0,3795; 0,3795)</v>
      </c>
      <c r="E19" t="str">
        <f>VLOOKUP(E5,'Thang đánh giá'!$C$2:$D$27,2,FALSE)</f>
        <v>(0; 0; 0)</v>
      </c>
      <c r="F19" t="str">
        <f>VLOOKUP(F5,'Thang đánh giá'!$C$2:$D$27,2,FALSE)</f>
        <v>(0,1673; 0,251; 0,3347)</v>
      </c>
      <c r="G19" t="str">
        <f>VLOOKUP(G5,'Thang đánh giá'!$C$2:$D$27,2,FALSE)</f>
        <v>(0,2846; 0,3795; 0,3795)</v>
      </c>
      <c r="H19" t="str">
        <f>VLOOKUP(H5,'Thang đánh giá'!$C$2:$D$27,2,FALSE)</f>
        <v>(0,2846; 0,3795; 0,3795)</v>
      </c>
      <c r="I19" t="str">
        <f>VLOOKUP(I5,'Thang đánh giá'!$C$2:$D$27,2,FALSE)</f>
        <v>(0,2846; 0,3795; 0,3795)</v>
      </c>
      <c r="J19" t="str">
        <f>VLOOKUP(J5,'Thang đánh giá'!$C$2:$D$27,2,FALSE)</f>
        <v>(0,2846; 0,3795; 0,3795)</v>
      </c>
      <c r="K19" t="str">
        <f>VLOOKUP(K5,'Thang đánh giá'!$C$2:$D$27,2,FALSE)</f>
        <v>(0,2846; 0,3795; 0,3795)</v>
      </c>
      <c r="L19" t="str">
        <f>VLOOKUP(L5,'Thang đánh giá'!$C$2:$D$27,2,FALSE)</f>
        <v>(0,2846; 0,3795; 0,3795)</v>
      </c>
      <c r="M19" t="str">
        <f>VLOOKUP(M5,'Thang đánh giá'!$C$2:$D$27,2,FALSE)</f>
        <v>(0,2846; 0,3795; 0,3795)</v>
      </c>
    </row>
    <row r="20" spans="1:13" x14ac:dyDescent="0.3">
      <c r="A20" t="s">
        <v>4</v>
      </c>
      <c r="B20" t="str">
        <f>VLOOKUP(B6,'Thang đánh giá'!$C$2:$D$27,2,FALSE)</f>
        <v>(0; 0; 0,0548)</v>
      </c>
      <c r="C20" t="str">
        <f>VLOOKUP(C6,'Thang đánh giá'!$C$2:$D$27,2,FALSE)</f>
        <v>(0; 0,0548; 0,1095)</v>
      </c>
      <c r="D20" t="str">
        <f>VLOOKUP(D6,'Thang đánh giá'!$C$2:$D$27,2,FALSE)</f>
        <v>(0; 0,0316; 0,0632)</v>
      </c>
      <c r="E20" t="str">
        <f>VLOOKUP(E6,'Thang đánh giá'!$C$2:$D$27,2,FALSE)</f>
        <v>(0; 0,0707; 0,1414)</v>
      </c>
      <c r="F20" t="str">
        <f>VLOOKUP(F6,'Thang đánh giá'!$C$2:$D$27,2,FALSE)</f>
        <v>(0; 0; 0)</v>
      </c>
      <c r="G20" t="str">
        <f>VLOOKUP(G6,'Thang đánh giá'!$C$2:$D$27,2,FALSE)</f>
        <v>(0,2846; 0,3795; 0,3795)</v>
      </c>
      <c r="H20" t="str">
        <f>VLOOKUP(H6,'Thang đánh giá'!$C$2:$D$27,2,FALSE)</f>
        <v>(0; 0,0707; 0,1414)</v>
      </c>
      <c r="I20" t="str">
        <f>VLOOKUP(I6,'Thang đánh giá'!$C$2:$D$27,2,FALSE)</f>
        <v>(0; 0; 0,0707)</v>
      </c>
      <c r="J20" t="str">
        <f>VLOOKUP(J6,'Thang đánh giá'!$C$2:$D$27,2,FALSE)</f>
        <v>(0,251; 0,3347; 0,3347)</v>
      </c>
      <c r="K20" t="str">
        <f>VLOOKUP(K6,'Thang đánh giá'!$C$2:$D$27,2,FALSE)</f>
        <v>(0,251; 0,3347; 0,3347)</v>
      </c>
      <c r="L20" t="str">
        <f>VLOOKUP(L6,'Thang đánh giá'!$C$2:$D$27,2,FALSE)</f>
        <v>(0; 0,0707; 0,1414)</v>
      </c>
      <c r="M20" t="str">
        <f>VLOOKUP(M6,'Thang đánh giá'!$C$2:$D$27,2,FALSE)</f>
        <v>(0,0707; 0,1414; 0,2121)</v>
      </c>
    </row>
    <row r="21" spans="1:13" x14ac:dyDescent="0.3">
      <c r="A21" t="s">
        <v>5</v>
      </c>
      <c r="B21" t="str">
        <f>VLOOKUP(B7,'Thang đánh giá'!$C$2:$D$27,2,FALSE)</f>
        <v>(0,0837; 0,1673; 0,251)</v>
      </c>
      <c r="C21" t="str">
        <f>VLOOKUP(C7,'Thang đánh giá'!$C$2:$D$27,2,FALSE)</f>
        <v>(0; 0; 0,0548)</v>
      </c>
      <c r="D21" t="str">
        <f>VLOOKUP(D7,'Thang đánh giá'!$C$2:$D$27,2,FALSE)</f>
        <v>(0; 0; 0,0837)</v>
      </c>
      <c r="E21" t="str">
        <f>VLOOKUP(E7,'Thang đánh giá'!$C$2:$D$27,2,FALSE)</f>
        <v>(0; 0; 0,0548)</v>
      </c>
      <c r="F21" t="str">
        <f>VLOOKUP(F7,'Thang đánh giá'!$C$2:$D$27,2,FALSE)</f>
        <v>(0,0707; 0,1414; 0,2121)</v>
      </c>
      <c r="G21" t="str">
        <f>VLOOKUP(G7,'Thang đánh giá'!$C$2:$D$27,2,FALSE)</f>
        <v>(0; 0; 0)</v>
      </c>
      <c r="H21" t="str">
        <f>VLOOKUP(H7,'Thang đánh giá'!$C$2:$D$27,2,FALSE)</f>
        <v>(0; 0,0707; 0,1414)</v>
      </c>
      <c r="I21" t="str">
        <f>VLOOKUP(I7,'Thang đánh giá'!$C$2:$D$27,2,FALSE)</f>
        <v>(0; 0; 0,0837)</v>
      </c>
      <c r="J21" t="str">
        <f>VLOOKUP(J7,'Thang đánh giá'!$C$2:$D$27,2,FALSE)</f>
        <v>(0,251; 0,3347; 0,3347)</v>
      </c>
      <c r="K21" t="str">
        <f>VLOOKUP(K7,'Thang đánh giá'!$C$2:$D$27,2,FALSE)</f>
        <v>(0; 0; 0,0548)</v>
      </c>
      <c r="L21" t="str">
        <f>VLOOKUP(L7,'Thang đánh giá'!$C$2:$D$27,2,FALSE)</f>
        <v>(0; 0,0837; 0,1673)</v>
      </c>
      <c r="M21" t="str">
        <f>VLOOKUP(M7,'Thang đánh giá'!$C$2:$D$27,2,FALSE)</f>
        <v>(0; 0; 0,0707)</v>
      </c>
    </row>
    <row r="22" spans="1:13" x14ac:dyDescent="0.3">
      <c r="A22" t="s">
        <v>6</v>
      </c>
      <c r="B22" t="str">
        <f>VLOOKUP(B8,'Thang đánh giá'!$C$2:$D$27,2,FALSE)</f>
        <v>(0; 0,0707; 0,1414)</v>
      </c>
      <c r="C22" t="str">
        <f>VLOOKUP(C8,'Thang đánh giá'!$C$2:$D$27,2,FALSE)</f>
        <v>(0; 0; 0,0707)</v>
      </c>
      <c r="D22" t="str">
        <f>VLOOKUP(D8,'Thang đánh giá'!$C$2:$D$27,2,FALSE)</f>
        <v>(0; 0; 0,0548)</v>
      </c>
      <c r="E22" t="str">
        <f>VLOOKUP(E8,'Thang đánh giá'!$C$2:$D$27,2,FALSE)</f>
        <v>(0; 0; 0,0548)</v>
      </c>
      <c r="F22" t="str">
        <f>VLOOKUP(F8,'Thang đánh giá'!$C$2:$D$27,2,FALSE)</f>
        <v>(0; 0,0707; 0,1414)</v>
      </c>
      <c r="G22" t="str">
        <f>VLOOKUP(G8,'Thang đánh giá'!$C$2:$D$27,2,FALSE)</f>
        <v>(0; 0; 0,0707)</v>
      </c>
      <c r="H22" t="str">
        <f>VLOOKUP(H8,'Thang đánh giá'!$C$2:$D$27,2,FALSE)</f>
        <v>(0; 0; 0)</v>
      </c>
      <c r="I22" t="str">
        <f>VLOOKUP(I8,'Thang đánh giá'!$C$2:$D$27,2,FALSE)</f>
        <v>(0; 0,0548; 0,1095)</v>
      </c>
      <c r="J22" t="str">
        <f>VLOOKUP(J8,'Thang đánh giá'!$C$2:$D$27,2,FALSE)</f>
        <v>(0; 0; 0,0316)</v>
      </c>
      <c r="K22" t="str">
        <f>VLOOKUP(K8,'Thang đánh giá'!$C$2:$D$27,2,FALSE)</f>
        <v>(0; 0; 0,0707)</v>
      </c>
      <c r="L22" t="str">
        <f>VLOOKUP(L8,'Thang đánh giá'!$C$2:$D$27,2,FALSE)</f>
        <v>(0; 0; 0,0707)</v>
      </c>
      <c r="M22" t="str">
        <f>VLOOKUP(M8,'Thang đánh giá'!$C$2:$D$27,2,FALSE)</f>
        <v>(0; 0,0707; 0,1414)</v>
      </c>
    </row>
    <row r="23" spans="1:13" x14ac:dyDescent="0.3">
      <c r="A23" t="s">
        <v>7</v>
      </c>
      <c r="B23" t="str">
        <f>VLOOKUP(B9,'Thang đánh giá'!$C$2:$D$27,2,FALSE)</f>
        <v>(0; 0,0707; 0,1414)</v>
      </c>
      <c r="C23" t="str">
        <f>VLOOKUP(C9,'Thang đánh giá'!$C$2:$D$27,2,FALSE)</f>
        <v>(0; 0; 0,0837)</v>
      </c>
      <c r="D23" t="str">
        <f>VLOOKUP(D9,'Thang đánh giá'!$C$2:$D$27,2,FALSE)</f>
        <v>(0; 0,0548; 0,1095)</v>
      </c>
      <c r="E23" t="str">
        <f>VLOOKUP(E9,'Thang đánh giá'!$C$2:$D$27,2,FALSE)</f>
        <v>(0; 0; 0,0707)</v>
      </c>
      <c r="F23" t="str">
        <f>VLOOKUP(F9,'Thang đánh giá'!$C$2:$D$27,2,FALSE)</f>
        <v>(0; 0; 0,0707)</v>
      </c>
      <c r="G23" t="str">
        <f>VLOOKUP(G9,'Thang đánh giá'!$C$2:$D$27,2,FALSE)</f>
        <v>(0; 0,0707; 0,1414)</v>
      </c>
      <c r="H23" t="str">
        <f>VLOOKUP(H9,'Thang đánh giá'!$C$2:$D$27,2,FALSE)</f>
        <v>(0; 0; 0,0548)</v>
      </c>
      <c r="I23" t="str">
        <f>VLOOKUP(I9,'Thang đánh giá'!$C$2:$D$27,2,FALSE)</f>
        <v>(0; 0; 0)</v>
      </c>
      <c r="J23" t="str">
        <f>VLOOKUP(J9,'Thang đánh giá'!$C$2:$D$27,2,FALSE)</f>
        <v>(0,1897; 0,2846; 0,3795)</v>
      </c>
      <c r="K23" t="str">
        <f>VLOOKUP(K9,'Thang đánh giá'!$C$2:$D$27,2,FALSE)</f>
        <v>(0,2846; 0,3795; 0,3795)</v>
      </c>
      <c r="L23" t="str">
        <f>VLOOKUP(L9,'Thang đánh giá'!$C$2:$D$27,2,FALSE)</f>
        <v>(0,2846; 0,3795; 0,3795)</v>
      </c>
      <c r="M23" t="str">
        <f>VLOOKUP(M9,'Thang đánh giá'!$C$2:$D$27,2,FALSE)</f>
        <v>(0,2846; 0,3795; 0,3795)</v>
      </c>
    </row>
    <row r="24" spans="1:13" x14ac:dyDescent="0.3">
      <c r="A24" t="s">
        <v>8</v>
      </c>
      <c r="B24" t="str">
        <f>VLOOKUP(B10,'Thang đánh giá'!$C$2:$D$27,2,FALSE)</f>
        <v>(0,0707; 0,1414; 0,2121)</v>
      </c>
      <c r="C24" t="str">
        <f>VLOOKUP(C10,'Thang đánh giá'!$C$2:$D$27,2,FALSE)</f>
        <v>(0; 0,0707; 0,1414)</v>
      </c>
      <c r="D24" t="str">
        <f>VLOOKUP(D10,'Thang đánh giá'!$C$2:$D$27,2,FALSE)</f>
        <v>(0; 0,0707; 0,1414)</v>
      </c>
      <c r="E24" t="str">
        <f>VLOOKUP(E10,'Thang đánh giá'!$C$2:$D$27,2,FALSE)</f>
        <v>(0; 0; 0,0548)</v>
      </c>
      <c r="F24" t="str">
        <f>VLOOKUP(F10,'Thang đánh giá'!$C$2:$D$27,2,FALSE)</f>
        <v>(0; 0; 0,0707)</v>
      </c>
      <c r="G24" t="str">
        <f>VLOOKUP(G10,'Thang đánh giá'!$C$2:$D$27,2,FALSE)</f>
        <v>(0; 0; 0,0707)</v>
      </c>
      <c r="H24" t="str">
        <f>VLOOKUP(H10,'Thang đánh giá'!$C$2:$D$27,2,FALSE)</f>
        <v>(0,251; 0,3347; 0,3347)</v>
      </c>
      <c r="I24" t="str">
        <f>VLOOKUP(I10,'Thang đánh giá'!$C$2:$D$27,2,FALSE)</f>
        <v>(0; 0,0707; 0,1414)</v>
      </c>
      <c r="J24" t="str">
        <f>VLOOKUP(J10,'Thang đánh giá'!$C$2:$D$27,2,FALSE)</f>
        <v>(0; 0; 0)</v>
      </c>
      <c r="K24" t="str">
        <f>VLOOKUP(K10,'Thang đánh giá'!$C$2:$D$27,2,FALSE)</f>
        <v>(0,2846; 0,3795; 0,3795)</v>
      </c>
      <c r="L24" t="str">
        <f>VLOOKUP(L10,'Thang đánh giá'!$C$2:$D$27,2,FALSE)</f>
        <v>(0,251; 0,3347; 0,3347)</v>
      </c>
      <c r="M24" t="str">
        <f>VLOOKUP(M10,'Thang đánh giá'!$C$2:$D$27,2,FALSE)</f>
        <v>(0,2846; 0,3795; 0,3795)</v>
      </c>
    </row>
    <row r="25" spans="1:13" x14ac:dyDescent="0.3">
      <c r="A25" t="s">
        <v>9</v>
      </c>
      <c r="B25" t="str">
        <f>VLOOKUP(B11,'Thang đánh giá'!$C$2:$D$27,2,FALSE)</f>
        <v>(0; 0; 0,0707)</v>
      </c>
      <c r="C25" t="str">
        <f>VLOOKUP(C11,'Thang đánh giá'!$C$2:$D$27,2,FALSE)</f>
        <v>(0; 0; 0,0837)</v>
      </c>
      <c r="D25" t="str">
        <f>VLOOKUP(D11,'Thang đánh giá'!$C$2:$D$27,2,FALSE)</f>
        <v>(0; 0; 0,0707)</v>
      </c>
      <c r="E25" t="str">
        <f>VLOOKUP(E11,'Thang đánh giá'!$C$2:$D$27,2,FALSE)</f>
        <v>(0; 0; 0,0707)</v>
      </c>
      <c r="F25" t="str">
        <f>VLOOKUP(F11,'Thang đánh giá'!$C$2:$D$27,2,FALSE)</f>
        <v>(0; 0,0707; 0,1414)</v>
      </c>
      <c r="G25" t="str">
        <f>VLOOKUP(G11,'Thang đánh giá'!$C$2:$D$27,2,FALSE)</f>
        <v>(0; 0; 0,0548)</v>
      </c>
      <c r="H25" t="str">
        <f>VLOOKUP(H11,'Thang đánh giá'!$C$2:$D$27,2,FALSE)</f>
        <v>(0; 0,0548; 0,1095)</v>
      </c>
      <c r="I25" t="str">
        <f>VLOOKUP(I11,'Thang đánh giá'!$C$2:$D$27,2,FALSE)</f>
        <v>(0; 0; 0,0707)</v>
      </c>
      <c r="J25" t="str">
        <f>VLOOKUP(J11,'Thang đánh giá'!$C$2:$D$27,2,FALSE)</f>
        <v>(0; 0,0707; 0,1414)</v>
      </c>
      <c r="K25" t="str">
        <f>VLOOKUP(K11,'Thang đánh giá'!$C$2:$D$27,2,FALSE)</f>
        <v>(0; 0; 0)</v>
      </c>
      <c r="L25" t="str">
        <f>VLOOKUP(L11,'Thang đánh giá'!$C$2:$D$27,2,FALSE)</f>
        <v>(0; 0,0548; 0,1095)</v>
      </c>
      <c r="M25" t="str">
        <f>VLOOKUP(M11,'Thang đánh giá'!$C$2:$D$27,2,FALSE)</f>
        <v>(0; 0; 0,0316)</v>
      </c>
    </row>
    <row r="26" spans="1:13" x14ac:dyDescent="0.3">
      <c r="A26" t="s">
        <v>10</v>
      </c>
      <c r="B26" t="str">
        <f>VLOOKUP(B12,'Thang đánh giá'!$C$2:$D$27,2,FALSE)</f>
        <v>(0; 0; 0,0548)</v>
      </c>
      <c r="C26" t="str">
        <f>VLOOKUP(C12,'Thang đánh giá'!$C$2:$D$27,2,FALSE)</f>
        <v>(0; 0; 0,0548)</v>
      </c>
      <c r="D26" t="str">
        <f>VLOOKUP(D12,'Thang đánh giá'!$C$2:$D$27,2,FALSE)</f>
        <v>(0; 0; 0,0707)</v>
      </c>
      <c r="E26" t="str">
        <f>VLOOKUP(E12,'Thang đánh giá'!$C$2:$D$27,2,FALSE)</f>
        <v>(0; 0,0707; 0,1414)</v>
      </c>
      <c r="F26" t="str">
        <f>VLOOKUP(F12,'Thang đánh giá'!$C$2:$D$27,2,FALSE)</f>
        <v>(0; 0; 0,0707)</v>
      </c>
      <c r="G26" t="str">
        <f>VLOOKUP(G12,'Thang đánh giá'!$C$2:$D$27,2,FALSE)</f>
        <v>(0; 0,0707; 0,1414)</v>
      </c>
      <c r="H26" t="str">
        <f>VLOOKUP(H12,'Thang đánh giá'!$C$2:$D$27,2,FALSE)</f>
        <v>(0; 0,0316; 0,0632)</v>
      </c>
      <c r="I26" t="str">
        <f>VLOOKUP(I12,'Thang đánh giá'!$C$2:$D$27,2,FALSE)</f>
        <v>(0,0707; 0,1414; 0,2121)</v>
      </c>
      <c r="J26" t="str">
        <f>VLOOKUP(J12,'Thang đánh giá'!$C$2:$D$27,2,FALSE)</f>
        <v>(0; 0; 0,0548)</v>
      </c>
      <c r="K26" t="str">
        <f>VLOOKUP(K12,'Thang đánh giá'!$C$2:$D$27,2,FALSE)</f>
        <v>(0; 0,0548; 0,1095)</v>
      </c>
      <c r="L26" t="str">
        <f>VLOOKUP(L12,'Thang đánh giá'!$C$2:$D$27,2,FALSE)</f>
        <v>(0; 0; 0)</v>
      </c>
      <c r="M26" t="str">
        <f>VLOOKUP(M12,'Thang đánh giá'!$C$2:$D$27,2,FALSE)</f>
        <v>(0,2846; 0,3795; 0,3795)</v>
      </c>
    </row>
    <row r="27" spans="1:13" x14ac:dyDescent="0.3">
      <c r="A27" t="s">
        <v>11</v>
      </c>
      <c r="B27" t="str">
        <f>VLOOKUP(B13,'Thang đánh giá'!$C$2:$D$27,2,FALSE)</f>
        <v>(0; 0,0548; 0,1095)</v>
      </c>
      <c r="C27" t="str">
        <f>VLOOKUP(C13,'Thang đánh giá'!$C$2:$D$27,2,FALSE)</f>
        <v>(0; 0; 0,0707)</v>
      </c>
      <c r="D27" t="str">
        <f>VLOOKUP(D13,'Thang đánh giá'!$C$2:$D$27,2,FALSE)</f>
        <v>(0; 0; 0,0837)</v>
      </c>
      <c r="E27" t="str">
        <f>VLOOKUP(E13,'Thang đánh giá'!$C$2:$D$27,2,FALSE)</f>
        <v>(0; 0; 0,0707)</v>
      </c>
      <c r="F27" t="str">
        <f>VLOOKUP(F13,'Thang đánh giá'!$C$2:$D$27,2,FALSE)</f>
        <v>(0; 0,0316; 0,0632)</v>
      </c>
      <c r="G27" t="str">
        <f>VLOOKUP(G13,'Thang đánh giá'!$C$2:$D$27,2,FALSE)</f>
        <v>(0; 0,0548; 0,1095)</v>
      </c>
      <c r="H27" t="str">
        <f>VLOOKUP(H13,'Thang đánh giá'!$C$2:$D$27,2,FALSE)</f>
        <v>(0; 0; 0,0548)</v>
      </c>
      <c r="I27" t="str">
        <f>VLOOKUP(I13,'Thang đánh giá'!$C$2:$D$27,2,FALSE)</f>
        <v>(0,0707; 0,1414; 0,2121)</v>
      </c>
      <c r="J27" t="str">
        <f>VLOOKUP(J13,'Thang đánh giá'!$C$2:$D$27,2,FALSE)</f>
        <v>(0,0707; 0,1414; 0,2121)</v>
      </c>
      <c r="K27" t="str">
        <f>VLOOKUP(K13,'Thang đánh giá'!$C$2:$D$27,2,FALSE)</f>
        <v>(0; 0,0707; 0,1414)</v>
      </c>
      <c r="L27" t="str">
        <f>VLOOKUP(L13,'Thang đánh giá'!$C$2:$D$27,2,FALSE)</f>
        <v>(0; 0; 0,0707)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0.18970000000000001</v>
      </c>
      <c r="D30">
        <f t="shared" si="0"/>
        <v>0.18970000000000001</v>
      </c>
      <c r="E30">
        <f t="shared" si="0"/>
        <v>0</v>
      </c>
      <c r="F30">
        <f t="shared" si="0"/>
        <v>8.3699999999999997E-2</v>
      </c>
      <c r="G30">
        <f t="shared" si="0"/>
        <v>0</v>
      </c>
      <c r="H30">
        <f t="shared" si="0"/>
        <v>7.0699999999999999E-2</v>
      </c>
      <c r="I30">
        <f t="shared" si="0"/>
        <v>0</v>
      </c>
      <c r="J30">
        <f t="shared" si="0"/>
        <v>0.1673</v>
      </c>
      <c r="K30">
        <f t="shared" si="0"/>
        <v>0</v>
      </c>
      <c r="L30">
        <f t="shared" si="0"/>
        <v>0</v>
      </c>
      <c r="M30">
        <f t="shared" si="0"/>
        <v>0</v>
      </c>
    </row>
    <row r="31" spans="1:13" x14ac:dyDescent="0.3">
      <c r="A31" t="s">
        <v>1</v>
      </c>
      <c r="B31">
        <f t="shared" ref="B31:M41" si="1">_xlfn.NUMBERVALUE(MID(B17,2,FIND(";",B17,1)-2))</f>
        <v>7.0699999999999999E-2</v>
      </c>
      <c r="C31">
        <f t="shared" si="1"/>
        <v>0</v>
      </c>
      <c r="D31">
        <f t="shared" si="1"/>
        <v>0.28460000000000002</v>
      </c>
      <c r="E31">
        <f t="shared" si="1"/>
        <v>0.251</v>
      </c>
      <c r="F31">
        <f t="shared" si="1"/>
        <v>0</v>
      </c>
      <c r="G31">
        <f t="shared" si="1"/>
        <v>0</v>
      </c>
      <c r="H31">
        <f t="shared" si="1"/>
        <v>0</v>
      </c>
      <c r="I31">
        <f t="shared" si="1"/>
        <v>7.0699999999999999E-2</v>
      </c>
      <c r="J31">
        <f t="shared" si="1"/>
        <v>0.18970000000000001</v>
      </c>
      <c r="K31">
        <f t="shared" si="1"/>
        <v>0.28460000000000002</v>
      </c>
      <c r="L31">
        <f t="shared" si="1"/>
        <v>0</v>
      </c>
      <c r="M31">
        <f t="shared" si="1"/>
        <v>0.18970000000000001</v>
      </c>
    </row>
    <row r="32" spans="1:13" x14ac:dyDescent="0.3">
      <c r="A32" t="s">
        <v>2</v>
      </c>
      <c r="B32">
        <f t="shared" si="1"/>
        <v>7.0699999999999999E-2</v>
      </c>
      <c r="C32">
        <f t="shared" si="1"/>
        <v>0</v>
      </c>
      <c r="D32">
        <f t="shared" si="1"/>
        <v>0</v>
      </c>
      <c r="E32">
        <f t="shared" si="1"/>
        <v>0.1673</v>
      </c>
      <c r="F32">
        <f t="shared" si="1"/>
        <v>0</v>
      </c>
      <c r="G32">
        <f t="shared" si="1"/>
        <v>0</v>
      </c>
      <c r="H32">
        <f t="shared" si="1"/>
        <v>0</v>
      </c>
      <c r="I32">
        <f t="shared" si="1"/>
        <v>0</v>
      </c>
      <c r="J32">
        <f t="shared" si="1"/>
        <v>0.18970000000000001</v>
      </c>
      <c r="K32">
        <f t="shared" si="1"/>
        <v>0.28460000000000002</v>
      </c>
      <c r="L32">
        <f t="shared" si="1"/>
        <v>0.1673</v>
      </c>
      <c r="M32">
        <f t="shared" si="1"/>
        <v>0.18970000000000001</v>
      </c>
    </row>
    <row r="33" spans="1:13" x14ac:dyDescent="0.3">
      <c r="A33" t="s">
        <v>3</v>
      </c>
      <c r="B33">
        <f t="shared" si="1"/>
        <v>0.28460000000000002</v>
      </c>
      <c r="C33">
        <f t="shared" si="1"/>
        <v>0.28460000000000002</v>
      </c>
      <c r="D33">
        <f t="shared" si="1"/>
        <v>0.28460000000000002</v>
      </c>
      <c r="E33">
        <f t="shared" si="1"/>
        <v>0</v>
      </c>
      <c r="F33">
        <f t="shared" si="1"/>
        <v>0.1673</v>
      </c>
      <c r="G33">
        <f t="shared" si="1"/>
        <v>0.28460000000000002</v>
      </c>
      <c r="H33">
        <f t="shared" si="1"/>
        <v>0.28460000000000002</v>
      </c>
      <c r="I33">
        <f t="shared" si="1"/>
        <v>0.28460000000000002</v>
      </c>
      <c r="J33">
        <f t="shared" si="1"/>
        <v>0.28460000000000002</v>
      </c>
      <c r="K33">
        <f t="shared" si="1"/>
        <v>0.28460000000000002</v>
      </c>
      <c r="L33">
        <f t="shared" si="1"/>
        <v>0.28460000000000002</v>
      </c>
      <c r="M33">
        <f t="shared" si="1"/>
        <v>0.28460000000000002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0</v>
      </c>
      <c r="D34">
        <f t="shared" si="2"/>
        <v>0</v>
      </c>
      <c r="E34">
        <f t="shared" si="2"/>
        <v>0</v>
      </c>
      <c r="F34">
        <f t="shared" si="2"/>
        <v>0</v>
      </c>
      <c r="G34">
        <f t="shared" si="2"/>
        <v>0.28460000000000002</v>
      </c>
      <c r="H34">
        <f t="shared" si="2"/>
        <v>0</v>
      </c>
      <c r="I34">
        <f t="shared" si="2"/>
        <v>0</v>
      </c>
      <c r="J34">
        <f t="shared" si="2"/>
        <v>0.251</v>
      </c>
      <c r="K34">
        <f t="shared" si="2"/>
        <v>0.251</v>
      </c>
      <c r="L34">
        <f t="shared" si="2"/>
        <v>0</v>
      </c>
      <c r="M34">
        <f t="shared" si="2"/>
        <v>7.0699999999999999E-2</v>
      </c>
    </row>
    <row r="35" spans="1:13" x14ac:dyDescent="0.3">
      <c r="A35" t="s">
        <v>5</v>
      </c>
      <c r="B35">
        <f t="shared" si="1"/>
        <v>8.3699999999999997E-2</v>
      </c>
      <c r="C35">
        <f t="shared" si="1"/>
        <v>0</v>
      </c>
      <c r="D35">
        <f t="shared" si="1"/>
        <v>0</v>
      </c>
      <c r="E35">
        <f t="shared" si="1"/>
        <v>0</v>
      </c>
      <c r="F35">
        <f t="shared" si="1"/>
        <v>7.0699999999999999E-2</v>
      </c>
      <c r="G35">
        <f t="shared" si="1"/>
        <v>0</v>
      </c>
      <c r="H35">
        <f t="shared" si="1"/>
        <v>0</v>
      </c>
      <c r="I35">
        <f t="shared" si="1"/>
        <v>0</v>
      </c>
      <c r="J35">
        <f t="shared" si="1"/>
        <v>0.251</v>
      </c>
      <c r="K35">
        <f t="shared" si="1"/>
        <v>0</v>
      </c>
      <c r="L35">
        <f t="shared" si="1"/>
        <v>0</v>
      </c>
      <c r="M35">
        <f t="shared" si="1"/>
        <v>0</v>
      </c>
    </row>
    <row r="36" spans="1:13" x14ac:dyDescent="0.3">
      <c r="A36" t="s">
        <v>6</v>
      </c>
      <c r="B36">
        <f t="shared" si="1"/>
        <v>0</v>
      </c>
      <c r="C36">
        <f t="shared" si="1"/>
        <v>0</v>
      </c>
      <c r="D36">
        <f t="shared" si="1"/>
        <v>0</v>
      </c>
      <c r="E36">
        <f t="shared" si="1"/>
        <v>0</v>
      </c>
      <c r="F36">
        <f t="shared" si="1"/>
        <v>0</v>
      </c>
      <c r="G36">
        <f t="shared" si="1"/>
        <v>0</v>
      </c>
      <c r="H36">
        <f t="shared" si="1"/>
        <v>0</v>
      </c>
      <c r="I36">
        <f t="shared" si="1"/>
        <v>0</v>
      </c>
      <c r="J36">
        <f t="shared" si="1"/>
        <v>0</v>
      </c>
      <c r="K36">
        <f t="shared" si="1"/>
        <v>0</v>
      </c>
      <c r="L36">
        <f t="shared" si="1"/>
        <v>0</v>
      </c>
      <c r="M36">
        <f t="shared" si="1"/>
        <v>0</v>
      </c>
    </row>
    <row r="37" spans="1:13" x14ac:dyDescent="0.3">
      <c r="A37" t="s">
        <v>7</v>
      </c>
      <c r="B37">
        <f t="shared" si="1"/>
        <v>0</v>
      </c>
      <c r="C37">
        <f t="shared" si="1"/>
        <v>0</v>
      </c>
      <c r="D37">
        <f t="shared" si="1"/>
        <v>0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0.18970000000000001</v>
      </c>
      <c r="K37">
        <f t="shared" si="1"/>
        <v>0.28460000000000002</v>
      </c>
      <c r="L37">
        <f t="shared" si="1"/>
        <v>0.28460000000000002</v>
      </c>
      <c r="M37">
        <f t="shared" si="1"/>
        <v>0.28460000000000002</v>
      </c>
    </row>
    <row r="38" spans="1:13" x14ac:dyDescent="0.3">
      <c r="A38" t="s">
        <v>8</v>
      </c>
      <c r="B38">
        <f t="shared" si="1"/>
        <v>7.0699999999999999E-2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0.251</v>
      </c>
      <c r="I38">
        <f t="shared" si="1"/>
        <v>0</v>
      </c>
      <c r="J38">
        <f t="shared" si="1"/>
        <v>0</v>
      </c>
      <c r="K38">
        <f t="shared" si="1"/>
        <v>0.28460000000000002</v>
      </c>
      <c r="L38">
        <f t="shared" si="1"/>
        <v>0.251</v>
      </c>
      <c r="M38">
        <f t="shared" si="1"/>
        <v>0.28460000000000002</v>
      </c>
    </row>
    <row r="39" spans="1:13" x14ac:dyDescent="0.3">
      <c r="A39" t="s">
        <v>9</v>
      </c>
      <c r="B39">
        <f t="shared" si="1"/>
        <v>0</v>
      </c>
      <c r="C39">
        <f t="shared" si="1"/>
        <v>0</v>
      </c>
      <c r="D39">
        <f t="shared" si="1"/>
        <v>0</v>
      </c>
      <c r="E39">
        <f t="shared" si="1"/>
        <v>0</v>
      </c>
      <c r="F39">
        <f t="shared" si="1"/>
        <v>0</v>
      </c>
      <c r="G39">
        <f t="shared" si="1"/>
        <v>0</v>
      </c>
      <c r="H39">
        <f t="shared" si="1"/>
        <v>0</v>
      </c>
      <c r="I39">
        <f t="shared" si="1"/>
        <v>0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0</v>
      </c>
    </row>
    <row r="40" spans="1:13" x14ac:dyDescent="0.3">
      <c r="A40" t="s">
        <v>10</v>
      </c>
      <c r="B40">
        <f t="shared" si="1"/>
        <v>0</v>
      </c>
      <c r="C40">
        <f t="shared" si="1"/>
        <v>0</v>
      </c>
      <c r="D40">
        <f t="shared" si="1"/>
        <v>0</v>
      </c>
      <c r="E40">
        <f t="shared" si="1"/>
        <v>0</v>
      </c>
      <c r="F40">
        <f t="shared" si="1"/>
        <v>0</v>
      </c>
      <c r="G40">
        <f t="shared" si="1"/>
        <v>0</v>
      </c>
      <c r="H40">
        <f t="shared" si="1"/>
        <v>0</v>
      </c>
      <c r="I40">
        <f t="shared" si="1"/>
        <v>7.0699999999999999E-2</v>
      </c>
      <c r="J40">
        <f t="shared" si="1"/>
        <v>0</v>
      </c>
      <c r="K40">
        <f t="shared" si="1"/>
        <v>0</v>
      </c>
      <c r="L40">
        <f t="shared" si="1"/>
        <v>0</v>
      </c>
      <c r="M40">
        <f t="shared" si="1"/>
        <v>0.28460000000000002</v>
      </c>
    </row>
    <row r="41" spans="1:13" x14ac:dyDescent="0.3">
      <c r="A41" t="s">
        <v>11</v>
      </c>
      <c r="B41">
        <f t="shared" si="1"/>
        <v>0</v>
      </c>
      <c r="C41">
        <f t="shared" si="1"/>
        <v>0</v>
      </c>
      <c r="D41">
        <f t="shared" si="1"/>
        <v>0</v>
      </c>
      <c r="E41">
        <f t="shared" si="1"/>
        <v>0</v>
      </c>
      <c r="F41">
        <f t="shared" si="1"/>
        <v>0</v>
      </c>
      <c r="G41">
        <f t="shared" si="1"/>
        <v>0</v>
      </c>
      <c r="H41">
        <f t="shared" si="1"/>
        <v>0</v>
      </c>
      <c r="I41">
        <f t="shared" si="1"/>
        <v>7.0699999999999999E-2</v>
      </c>
      <c r="J41">
        <f t="shared" si="1"/>
        <v>7.0699999999999999E-2</v>
      </c>
      <c r="K41">
        <f t="shared" si="1"/>
        <v>0</v>
      </c>
      <c r="L41">
        <f t="shared" si="1"/>
        <v>0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0.28460000000000002</v>
      </c>
      <c r="D44">
        <f t="shared" si="3"/>
        <v>0.28460000000000002</v>
      </c>
      <c r="E44">
        <f t="shared" si="3"/>
        <v>7.0699999999999999E-2</v>
      </c>
      <c r="F44">
        <f t="shared" si="3"/>
        <v>0.1673</v>
      </c>
      <c r="G44">
        <f t="shared" si="3"/>
        <v>0</v>
      </c>
      <c r="H44">
        <f t="shared" si="3"/>
        <v>0.1414</v>
      </c>
      <c r="I44">
        <f t="shared" si="3"/>
        <v>0</v>
      </c>
      <c r="J44">
        <f t="shared" si="3"/>
        <v>0.251</v>
      </c>
      <c r="K44">
        <f t="shared" si="3"/>
        <v>8.3699999999999997E-2</v>
      </c>
      <c r="L44">
        <f t="shared" si="3"/>
        <v>0</v>
      </c>
      <c r="M44">
        <f t="shared" si="3"/>
        <v>0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0.1414</v>
      </c>
      <c r="C45">
        <f t="shared" si="4"/>
        <v>0</v>
      </c>
      <c r="D45">
        <f t="shared" si="4"/>
        <v>0.3795</v>
      </c>
      <c r="E45">
        <f t="shared" si="4"/>
        <v>0.3347</v>
      </c>
      <c r="F45">
        <f t="shared" si="4"/>
        <v>7.0699999999999999E-2</v>
      </c>
      <c r="G45">
        <f t="shared" si="4"/>
        <v>0</v>
      </c>
      <c r="H45">
        <f t="shared" si="4"/>
        <v>0</v>
      </c>
      <c r="I45">
        <f t="shared" si="4"/>
        <v>0.1414</v>
      </c>
      <c r="J45">
        <f t="shared" si="4"/>
        <v>0.28460000000000002</v>
      </c>
      <c r="K45">
        <f t="shared" si="4"/>
        <v>0.3795</v>
      </c>
      <c r="L45">
        <f t="shared" si="4"/>
        <v>0</v>
      </c>
      <c r="M45">
        <f t="shared" si="4"/>
        <v>0.28460000000000002</v>
      </c>
    </row>
    <row r="46" spans="1:13" x14ac:dyDescent="0.3">
      <c r="A46" t="s">
        <v>2</v>
      </c>
      <c r="B46">
        <f t="shared" si="4"/>
        <v>0.1414</v>
      </c>
      <c r="C46">
        <f t="shared" si="4"/>
        <v>0</v>
      </c>
      <c r="D46">
        <f t="shared" si="4"/>
        <v>0</v>
      </c>
      <c r="E46">
        <f t="shared" si="4"/>
        <v>0.251</v>
      </c>
      <c r="F46">
        <f t="shared" si="4"/>
        <v>0</v>
      </c>
      <c r="G46">
        <f t="shared" si="4"/>
        <v>5.4800000000000001E-2</v>
      </c>
      <c r="H46">
        <f t="shared" si="4"/>
        <v>0</v>
      </c>
      <c r="I46">
        <f t="shared" si="4"/>
        <v>5.4800000000000001E-2</v>
      </c>
      <c r="J46">
        <f t="shared" si="4"/>
        <v>0.28460000000000002</v>
      </c>
      <c r="K46">
        <f t="shared" si="4"/>
        <v>0.3795</v>
      </c>
      <c r="L46">
        <f t="shared" si="4"/>
        <v>0.251</v>
      </c>
      <c r="M46">
        <f t="shared" si="4"/>
        <v>0.28460000000000002</v>
      </c>
    </row>
    <row r="47" spans="1:13" x14ac:dyDescent="0.3">
      <c r="A47" t="s">
        <v>3</v>
      </c>
      <c r="B47">
        <f t="shared" si="4"/>
        <v>0.3795</v>
      </c>
      <c r="C47">
        <f t="shared" si="4"/>
        <v>0.3795</v>
      </c>
      <c r="D47">
        <f t="shared" si="4"/>
        <v>0.3795</v>
      </c>
      <c r="E47">
        <f t="shared" si="4"/>
        <v>0</v>
      </c>
      <c r="F47">
        <f t="shared" si="4"/>
        <v>0.251</v>
      </c>
      <c r="G47">
        <f t="shared" si="4"/>
        <v>0.3795</v>
      </c>
      <c r="H47">
        <f t="shared" si="4"/>
        <v>0.3795</v>
      </c>
      <c r="I47">
        <f t="shared" si="4"/>
        <v>0.3795</v>
      </c>
      <c r="J47">
        <f t="shared" si="4"/>
        <v>0.3795</v>
      </c>
      <c r="K47">
        <f t="shared" si="4"/>
        <v>0.3795</v>
      </c>
      <c r="L47">
        <f t="shared" si="4"/>
        <v>0.3795</v>
      </c>
      <c r="M47">
        <f t="shared" si="4"/>
        <v>0.3795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0</v>
      </c>
      <c r="C48">
        <f t="shared" si="5"/>
        <v>5.4800000000000001E-2</v>
      </c>
      <c r="D48">
        <f t="shared" si="5"/>
        <v>3.1600000000000003E-2</v>
      </c>
      <c r="E48">
        <f t="shared" si="5"/>
        <v>7.0699999999999999E-2</v>
      </c>
      <c r="F48">
        <f t="shared" si="5"/>
        <v>0</v>
      </c>
      <c r="G48">
        <f t="shared" si="5"/>
        <v>0.3795</v>
      </c>
      <c r="H48">
        <f t="shared" si="5"/>
        <v>7.0699999999999999E-2</v>
      </c>
      <c r="I48">
        <f t="shared" si="5"/>
        <v>0</v>
      </c>
      <c r="J48">
        <f t="shared" si="5"/>
        <v>0.3347</v>
      </c>
      <c r="K48">
        <f t="shared" si="5"/>
        <v>0.3347</v>
      </c>
      <c r="L48">
        <f t="shared" si="5"/>
        <v>7.0699999999999999E-2</v>
      </c>
      <c r="M48">
        <f t="shared" si="5"/>
        <v>0.1414</v>
      </c>
    </row>
    <row r="49" spans="1:13" x14ac:dyDescent="0.3">
      <c r="A49" t="s">
        <v>5</v>
      </c>
      <c r="B49">
        <f t="shared" si="4"/>
        <v>0.1673</v>
      </c>
      <c r="C49">
        <f t="shared" si="4"/>
        <v>0</v>
      </c>
      <c r="D49">
        <f t="shared" si="4"/>
        <v>0</v>
      </c>
      <c r="E49">
        <f t="shared" si="4"/>
        <v>0</v>
      </c>
      <c r="F49">
        <f t="shared" si="4"/>
        <v>0.1414</v>
      </c>
      <c r="G49">
        <f t="shared" si="4"/>
        <v>0</v>
      </c>
      <c r="H49">
        <f t="shared" si="4"/>
        <v>7.0699999999999999E-2</v>
      </c>
      <c r="I49">
        <f t="shared" si="4"/>
        <v>0</v>
      </c>
      <c r="J49">
        <f t="shared" si="4"/>
        <v>0.3347</v>
      </c>
      <c r="K49">
        <f t="shared" si="4"/>
        <v>0</v>
      </c>
      <c r="L49">
        <f t="shared" si="4"/>
        <v>8.3699999999999997E-2</v>
      </c>
      <c r="M49">
        <f t="shared" si="4"/>
        <v>0</v>
      </c>
    </row>
    <row r="50" spans="1:13" x14ac:dyDescent="0.3">
      <c r="A50" t="s">
        <v>6</v>
      </c>
      <c r="B50">
        <f t="shared" si="4"/>
        <v>7.0699999999999999E-2</v>
      </c>
      <c r="C50">
        <f t="shared" si="4"/>
        <v>0</v>
      </c>
      <c r="D50">
        <f t="shared" si="4"/>
        <v>0</v>
      </c>
      <c r="E50">
        <f t="shared" si="4"/>
        <v>0</v>
      </c>
      <c r="F50">
        <f t="shared" si="4"/>
        <v>7.0699999999999999E-2</v>
      </c>
      <c r="G50">
        <f t="shared" si="4"/>
        <v>0</v>
      </c>
      <c r="H50">
        <f t="shared" si="4"/>
        <v>0</v>
      </c>
      <c r="I50">
        <f t="shared" si="4"/>
        <v>5.4800000000000001E-2</v>
      </c>
      <c r="J50">
        <f t="shared" si="4"/>
        <v>0</v>
      </c>
      <c r="K50">
        <f t="shared" si="4"/>
        <v>0</v>
      </c>
      <c r="L50">
        <f t="shared" si="4"/>
        <v>0</v>
      </c>
      <c r="M50">
        <f t="shared" si="4"/>
        <v>7.0699999999999999E-2</v>
      </c>
    </row>
    <row r="51" spans="1:13" x14ac:dyDescent="0.3">
      <c r="A51" t="s">
        <v>7</v>
      </c>
      <c r="B51">
        <f t="shared" si="4"/>
        <v>7.0699999999999999E-2</v>
      </c>
      <c r="C51">
        <f t="shared" si="4"/>
        <v>0</v>
      </c>
      <c r="D51">
        <f t="shared" si="4"/>
        <v>5.4800000000000001E-2</v>
      </c>
      <c r="E51">
        <f t="shared" si="4"/>
        <v>0</v>
      </c>
      <c r="F51">
        <f t="shared" si="4"/>
        <v>0</v>
      </c>
      <c r="G51">
        <f t="shared" si="4"/>
        <v>7.0699999999999999E-2</v>
      </c>
      <c r="H51">
        <f t="shared" si="4"/>
        <v>0</v>
      </c>
      <c r="I51">
        <f t="shared" si="4"/>
        <v>0</v>
      </c>
      <c r="J51">
        <f t="shared" si="4"/>
        <v>0.28460000000000002</v>
      </c>
      <c r="K51">
        <f t="shared" si="4"/>
        <v>0.3795</v>
      </c>
      <c r="L51">
        <f t="shared" si="4"/>
        <v>0.3795</v>
      </c>
      <c r="M51">
        <f t="shared" si="4"/>
        <v>0.3795</v>
      </c>
    </row>
    <row r="52" spans="1:13" x14ac:dyDescent="0.3">
      <c r="A52" t="s">
        <v>8</v>
      </c>
      <c r="B52">
        <f t="shared" si="4"/>
        <v>0.1414</v>
      </c>
      <c r="C52">
        <f t="shared" si="4"/>
        <v>7.0699999999999999E-2</v>
      </c>
      <c r="D52">
        <f t="shared" si="4"/>
        <v>7.0699999999999999E-2</v>
      </c>
      <c r="E52">
        <f t="shared" si="4"/>
        <v>0</v>
      </c>
      <c r="F52">
        <f t="shared" si="4"/>
        <v>0</v>
      </c>
      <c r="G52">
        <f t="shared" si="4"/>
        <v>0</v>
      </c>
      <c r="H52">
        <f t="shared" si="4"/>
        <v>0.3347</v>
      </c>
      <c r="I52">
        <f t="shared" si="4"/>
        <v>7.0699999999999999E-2</v>
      </c>
      <c r="J52">
        <f t="shared" si="4"/>
        <v>0</v>
      </c>
      <c r="K52">
        <f t="shared" si="4"/>
        <v>0.3795</v>
      </c>
      <c r="L52">
        <f t="shared" si="4"/>
        <v>0.3347</v>
      </c>
      <c r="M52">
        <f t="shared" si="4"/>
        <v>0.3795</v>
      </c>
    </row>
    <row r="53" spans="1:13" x14ac:dyDescent="0.3">
      <c r="A53" t="s">
        <v>9</v>
      </c>
      <c r="B53">
        <f t="shared" si="4"/>
        <v>0</v>
      </c>
      <c r="C53">
        <f t="shared" si="4"/>
        <v>0</v>
      </c>
      <c r="D53">
        <f t="shared" si="4"/>
        <v>0</v>
      </c>
      <c r="E53">
        <f t="shared" si="4"/>
        <v>0</v>
      </c>
      <c r="F53">
        <f t="shared" si="4"/>
        <v>7.0699999999999999E-2</v>
      </c>
      <c r="G53">
        <f t="shared" si="4"/>
        <v>0</v>
      </c>
      <c r="H53">
        <f t="shared" si="4"/>
        <v>5.4800000000000001E-2</v>
      </c>
      <c r="I53">
        <f t="shared" si="4"/>
        <v>0</v>
      </c>
      <c r="J53">
        <f t="shared" si="4"/>
        <v>7.0699999999999999E-2</v>
      </c>
      <c r="K53">
        <f t="shared" si="4"/>
        <v>0</v>
      </c>
      <c r="L53">
        <f t="shared" si="4"/>
        <v>5.4800000000000001E-2</v>
      </c>
      <c r="M53">
        <f t="shared" si="4"/>
        <v>0</v>
      </c>
    </row>
    <row r="54" spans="1:13" x14ac:dyDescent="0.3">
      <c r="A54" t="s">
        <v>10</v>
      </c>
      <c r="B54">
        <f t="shared" si="4"/>
        <v>0</v>
      </c>
      <c r="C54">
        <f t="shared" si="4"/>
        <v>0</v>
      </c>
      <c r="D54">
        <f t="shared" si="4"/>
        <v>0</v>
      </c>
      <c r="E54">
        <f t="shared" si="4"/>
        <v>7.0699999999999999E-2</v>
      </c>
      <c r="F54">
        <f t="shared" si="4"/>
        <v>0</v>
      </c>
      <c r="G54">
        <f t="shared" si="4"/>
        <v>7.0699999999999999E-2</v>
      </c>
      <c r="H54">
        <f t="shared" si="4"/>
        <v>3.1600000000000003E-2</v>
      </c>
      <c r="I54">
        <f t="shared" si="4"/>
        <v>0.1414</v>
      </c>
      <c r="J54">
        <f t="shared" si="4"/>
        <v>0</v>
      </c>
      <c r="K54">
        <f t="shared" si="4"/>
        <v>5.4800000000000001E-2</v>
      </c>
      <c r="L54">
        <f t="shared" si="4"/>
        <v>0</v>
      </c>
      <c r="M54">
        <f t="shared" si="4"/>
        <v>0.3795</v>
      </c>
    </row>
    <row r="55" spans="1:13" x14ac:dyDescent="0.3">
      <c r="A55" t="s">
        <v>11</v>
      </c>
      <c r="B55">
        <f t="shared" si="4"/>
        <v>5.4800000000000001E-2</v>
      </c>
      <c r="C55">
        <f t="shared" si="4"/>
        <v>0</v>
      </c>
      <c r="D55">
        <f t="shared" si="4"/>
        <v>0</v>
      </c>
      <c r="E55">
        <f t="shared" si="4"/>
        <v>0</v>
      </c>
      <c r="F55">
        <f t="shared" si="4"/>
        <v>3.1600000000000003E-2</v>
      </c>
      <c r="G55">
        <f t="shared" si="4"/>
        <v>5.4800000000000001E-2</v>
      </c>
      <c r="H55">
        <f t="shared" si="4"/>
        <v>0</v>
      </c>
      <c r="I55">
        <f t="shared" si="4"/>
        <v>0.1414</v>
      </c>
      <c r="J55">
        <f t="shared" si="4"/>
        <v>0.1414</v>
      </c>
      <c r="K55">
        <f t="shared" si="4"/>
        <v>7.0699999999999999E-2</v>
      </c>
      <c r="L55">
        <f t="shared" si="4"/>
        <v>0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0.3795</v>
      </c>
      <c r="D58">
        <f t="shared" si="6"/>
        <v>0.3795</v>
      </c>
      <c r="E58">
        <f t="shared" si="6"/>
        <v>0.1414</v>
      </c>
      <c r="F58">
        <f t="shared" si="6"/>
        <v>0.251</v>
      </c>
      <c r="G58">
        <f t="shared" si="6"/>
        <v>5.4800000000000001E-2</v>
      </c>
      <c r="H58">
        <f t="shared" si="6"/>
        <v>0.21210000000000001</v>
      </c>
      <c r="I58">
        <f t="shared" si="6"/>
        <v>5.4800000000000001E-2</v>
      </c>
      <c r="J58">
        <f t="shared" si="6"/>
        <v>0.3347</v>
      </c>
      <c r="K58">
        <f t="shared" si="6"/>
        <v>0.1673</v>
      </c>
      <c r="L58">
        <f t="shared" si="6"/>
        <v>8.3699999999999997E-2</v>
      </c>
      <c r="M58">
        <f t="shared" si="6"/>
        <v>3.1600000000000003E-2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0.21210000000000001</v>
      </c>
      <c r="C59">
        <f t="shared" si="7"/>
        <v>0</v>
      </c>
      <c r="D59">
        <f t="shared" si="7"/>
        <v>0.3795</v>
      </c>
      <c r="E59">
        <f t="shared" si="7"/>
        <v>0.3347</v>
      </c>
      <c r="F59">
        <f t="shared" si="7"/>
        <v>0.1414</v>
      </c>
      <c r="G59">
        <f t="shared" si="7"/>
        <v>5.4800000000000001E-2</v>
      </c>
      <c r="H59">
        <f t="shared" si="7"/>
        <v>7.0699999999999999E-2</v>
      </c>
      <c r="I59">
        <f t="shared" si="7"/>
        <v>0.21210000000000001</v>
      </c>
      <c r="J59">
        <f t="shared" si="7"/>
        <v>0.3795</v>
      </c>
      <c r="K59">
        <f t="shared" si="7"/>
        <v>0.3795</v>
      </c>
      <c r="L59">
        <f t="shared" si="7"/>
        <v>3.1600000000000003E-2</v>
      </c>
      <c r="M59">
        <f t="shared" si="7"/>
        <v>0.3795</v>
      </c>
    </row>
    <row r="60" spans="1:13" x14ac:dyDescent="0.3">
      <c r="A60" t="s">
        <v>2</v>
      </c>
      <c r="B60">
        <f t="shared" si="7"/>
        <v>0.21210000000000001</v>
      </c>
      <c r="C60">
        <f t="shared" si="7"/>
        <v>7.0699999999999999E-2</v>
      </c>
      <c r="D60">
        <f t="shared" si="7"/>
        <v>0</v>
      </c>
      <c r="E60">
        <f t="shared" si="7"/>
        <v>0.3347</v>
      </c>
      <c r="F60">
        <f t="shared" si="7"/>
        <v>5.4800000000000001E-2</v>
      </c>
      <c r="G60">
        <f t="shared" si="7"/>
        <v>0.1095</v>
      </c>
      <c r="H60">
        <f t="shared" si="7"/>
        <v>5.4800000000000001E-2</v>
      </c>
      <c r="I60">
        <f t="shared" si="7"/>
        <v>0.1095</v>
      </c>
      <c r="J60">
        <f t="shared" si="7"/>
        <v>0.3795</v>
      </c>
      <c r="K60">
        <f t="shared" si="7"/>
        <v>0.3795</v>
      </c>
      <c r="L60">
        <f t="shared" si="7"/>
        <v>0.3347</v>
      </c>
      <c r="M60">
        <f t="shared" si="7"/>
        <v>0.3795</v>
      </c>
    </row>
    <row r="61" spans="1:13" x14ac:dyDescent="0.3">
      <c r="A61" t="s">
        <v>3</v>
      </c>
      <c r="B61">
        <f t="shared" si="7"/>
        <v>0.3795</v>
      </c>
      <c r="C61">
        <f t="shared" si="7"/>
        <v>0.3795</v>
      </c>
      <c r="D61">
        <f t="shared" si="7"/>
        <v>0.3795</v>
      </c>
      <c r="E61">
        <f t="shared" si="7"/>
        <v>0</v>
      </c>
      <c r="F61">
        <f t="shared" si="7"/>
        <v>0.3347</v>
      </c>
      <c r="G61">
        <f t="shared" si="7"/>
        <v>0.3795</v>
      </c>
      <c r="H61">
        <f t="shared" si="7"/>
        <v>0.3795</v>
      </c>
      <c r="I61">
        <f t="shared" si="7"/>
        <v>0.3795</v>
      </c>
      <c r="J61">
        <f t="shared" si="7"/>
        <v>0.3795</v>
      </c>
      <c r="K61">
        <f t="shared" si="7"/>
        <v>0.3795</v>
      </c>
      <c r="L61">
        <f t="shared" si="7"/>
        <v>0.3795</v>
      </c>
      <c r="M61">
        <f t="shared" si="7"/>
        <v>0.3795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5.4800000000000001E-2</v>
      </c>
      <c r="C62">
        <f t="shared" si="8"/>
        <v>0.1095</v>
      </c>
      <c r="D62">
        <f t="shared" si="8"/>
        <v>6.3200000000000006E-2</v>
      </c>
      <c r="E62">
        <f t="shared" si="8"/>
        <v>0.1414</v>
      </c>
      <c r="F62">
        <f t="shared" si="8"/>
        <v>0</v>
      </c>
      <c r="G62">
        <f t="shared" si="8"/>
        <v>0.3795</v>
      </c>
      <c r="H62">
        <f t="shared" si="8"/>
        <v>0.1414</v>
      </c>
      <c r="I62">
        <f t="shared" si="8"/>
        <v>7.0699999999999999E-2</v>
      </c>
      <c r="J62">
        <f t="shared" si="8"/>
        <v>0.3347</v>
      </c>
      <c r="K62">
        <f t="shared" si="8"/>
        <v>0.3347</v>
      </c>
      <c r="L62">
        <f t="shared" si="8"/>
        <v>0.1414</v>
      </c>
      <c r="M62">
        <f t="shared" si="8"/>
        <v>0.21210000000000001</v>
      </c>
    </row>
    <row r="63" spans="1:13" x14ac:dyDescent="0.3">
      <c r="A63" t="s">
        <v>5</v>
      </c>
      <c r="B63">
        <f t="shared" si="7"/>
        <v>0.251</v>
      </c>
      <c r="C63">
        <f t="shared" si="7"/>
        <v>5.4800000000000001E-2</v>
      </c>
      <c r="D63">
        <f t="shared" si="7"/>
        <v>8.3699999999999997E-2</v>
      </c>
      <c r="E63">
        <f t="shared" si="7"/>
        <v>5.4800000000000001E-2</v>
      </c>
      <c r="F63">
        <f t="shared" si="7"/>
        <v>0.21210000000000001</v>
      </c>
      <c r="G63">
        <f t="shared" si="7"/>
        <v>0</v>
      </c>
      <c r="H63">
        <f t="shared" si="7"/>
        <v>0.1414</v>
      </c>
      <c r="I63">
        <f t="shared" si="7"/>
        <v>8.3699999999999997E-2</v>
      </c>
      <c r="J63">
        <f t="shared" si="7"/>
        <v>0.3347</v>
      </c>
      <c r="K63">
        <f t="shared" si="7"/>
        <v>5.4800000000000001E-2</v>
      </c>
      <c r="L63">
        <f t="shared" si="7"/>
        <v>0.1673</v>
      </c>
      <c r="M63">
        <f t="shared" si="7"/>
        <v>7.0699999999999999E-2</v>
      </c>
    </row>
    <row r="64" spans="1:13" x14ac:dyDescent="0.3">
      <c r="A64" t="s">
        <v>6</v>
      </c>
      <c r="B64">
        <f t="shared" si="7"/>
        <v>0.1414</v>
      </c>
      <c r="C64">
        <f t="shared" si="7"/>
        <v>7.0699999999999999E-2</v>
      </c>
      <c r="D64">
        <f t="shared" si="7"/>
        <v>5.4800000000000001E-2</v>
      </c>
      <c r="E64">
        <f t="shared" si="7"/>
        <v>5.4800000000000001E-2</v>
      </c>
      <c r="F64">
        <f t="shared" si="7"/>
        <v>0.1414</v>
      </c>
      <c r="G64">
        <f t="shared" si="7"/>
        <v>7.0699999999999999E-2</v>
      </c>
      <c r="H64">
        <f t="shared" si="7"/>
        <v>0</v>
      </c>
      <c r="I64">
        <f t="shared" si="7"/>
        <v>0.1095</v>
      </c>
      <c r="J64">
        <f t="shared" si="7"/>
        <v>3.1600000000000003E-2</v>
      </c>
      <c r="K64">
        <f t="shared" si="7"/>
        <v>7.0699999999999999E-2</v>
      </c>
      <c r="L64">
        <f t="shared" si="7"/>
        <v>7.0699999999999999E-2</v>
      </c>
      <c r="M64">
        <f t="shared" si="7"/>
        <v>0.1414</v>
      </c>
    </row>
    <row r="65" spans="1:13" x14ac:dyDescent="0.3">
      <c r="A65" t="s">
        <v>7</v>
      </c>
      <c r="B65">
        <f t="shared" si="7"/>
        <v>0.1414</v>
      </c>
      <c r="C65">
        <f t="shared" si="7"/>
        <v>8.3699999999999997E-2</v>
      </c>
      <c r="D65">
        <f t="shared" si="7"/>
        <v>0.1095</v>
      </c>
      <c r="E65">
        <f t="shared" si="7"/>
        <v>7.0699999999999999E-2</v>
      </c>
      <c r="F65">
        <f t="shared" si="7"/>
        <v>7.0699999999999999E-2</v>
      </c>
      <c r="G65">
        <f t="shared" si="7"/>
        <v>0.1414</v>
      </c>
      <c r="H65">
        <f t="shared" si="7"/>
        <v>5.4800000000000001E-2</v>
      </c>
      <c r="I65">
        <f t="shared" si="7"/>
        <v>0</v>
      </c>
      <c r="J65">
        <f t="shared" si="7"/>
        <v>0.3795</v>
      </c>
      <c r="K65">
        <f t="shared" si="7"/>
        <v>0.3795</v>
      </c>
      <c r="L65">
        <f t="shared" si="7"/>
        <v>0.3795</v>
      </c>
      <c r="M65">
        <f t="shared" si="7"/>
        <v>0.3795</v>
      </c>
    </row>
    <row r="66" spans="1:13" x14ac:dyDescent="0.3">
      <c r="A66" t="s">
        <v>8</v>
      </c>
      <c r="B66">
        <f t="shared" si="7"/>
        <v>0.21210000000000001</v>
      </c>
      <c r="C66">
        <f t="shared" si="7"/>
        <v>0.1414</v>
      </c>
      <c r="D66">
        <f t="shared" si="7"/>
        <v>0.1414</v>
      </c>
      <c r="E66">
        <f t="shared" si="7"/>
        <v>5.4800000000000001E-2</v>
      </c>
      <c r="F66">
        <f t="shared" si="7"/>
        <v>7.0699999999999999E-2</v>
      </c>
      <c r="G66">
        <f t="shared" si="7"/>
        <v>7.0699999999999999E-2</v>
      </c>
      <c r="H66">
        <f t="shared" si="7"/>
        <v>0.3347</v>
      </c>
      <c r="I66">
        <f t="shared" si="7"/>
        <v>0.1414</v>
      </c>
      <c r="J66">
        <f t="shared" si="7"/>
        <v>0</v>
      </c>
      <c r="K66">
        <f t="shared" si="7"/>
        <v>0.3795</v>
      </c>
      <c r="L66">
        <f t="shared" si="7"/>
        <v>0.3347</v>
      </c>
      <c r="M66">
        <f t="shared" si="7"/>
        <v>0.3795</v>
      </c>
    </row>
    <row r="67" spans="1:13" x14ac:dyDescent="0.3">
      <c r="A67" t="s">
        <v>9</v>
      </c>
      <c r="B67">
        <f t="shared" si="7"/>
        <v>7.0699999999999999E-2</v>
      </c>
      <c r="C67">
        <f t="shared" si="7"/>
        <v>8.3699999999999997E-2</v>
      </c>
      <c r="D67">
        <f t="shared" si="7"/>
        <v>7.0699999999999999E-2</v>
      </c>
      <c r="E67">
        <f t="shared" si="7"/>
        <v>7.0699999999999999E-2</v>
      </c>
      <c r="F67">
        <f t="shared" si="7"/>
        <v>0.1414</v>
      </c>
      <c r="G67">
        <f t="shared" si="7"/>
        <v>5.4800000000000001E-2</v>
      </c>
      <c r="H67">
        <f t="shared" si="7"/>
        <v>0.1095</v>
      </c>
      <c r="I67">
        <f t="shared" si="7"/>
        <v>7.0699999999999999E-2</v>
      </c>
      <c r="J67">
        <f t="shared" si="7"/>
        <v>0.1414</v>
      </c>
      <c r="K67">
        <f t="shared" si="7"/>
        <v>0</v>
      </c>
      <c r="L67">
        <f t="shared" si="7"/>
        <v>0.1095</v>
      </c>
      <c r="M67">
        <f t="shared" si="7"/>
        <v>3.1600000000000003E-2</v>
      </c>
    </row>
    <row r="68" spans="1:13" x14ac:dyDescent="0.3">
      <c r="A68" t="s">
        <v>10</v>
      </c>
      <c r="B68">
        <f t="shared" si="7"/>
        <v>5.4800000000000001E-2</v>
      </c>
      <c r="C68">
        <f t="shared" si="7"/>
        <v>5.4800000000000001E-2</v>
      </c>
      <c r="D68">
        <f t="shared" si="7"/>
        <v>7.0699999999999999E-2</v>
      </c>
      <c r="E68">
        <f t="shared" si="7"/>
        <v>0.1414</v>
      </c>
      <c r="F68">
        <f t="shared" si="7"/>
        <v>7.0699999999999999E-2</v>
      </c>
      <c r="G68">
        <f t="shared" si="7"/>
        <v>0.1414</v>
      </c>
      <c r="H68">
        <f t="shared" si="7"/>
        <v>6.3200000000000006E-2</v>
      </c>
      <c r="I68">
        <f t="shared" si="7"/>
        <v>0.21210000000000001</v>
      </c>
      <c r="J68">
        <f t="shared" si="7"/>
        <v>5.4800000000000001E-2</v>
      </c>
      <c r="K68">
        <f t="shared" si="7"/>
        <v>0.1095</v>
      </c>
      <c r="L68">
        <f t="shared" si="7"/>
        <v>0</v>
      </c>
      <c r="M68">
        <f t="shared" si="7"/>
        <v>0.3795</v>
      </c>
    </row>
    <row r="69" spans="1:13" x14ac:dyDescent="0.3">
      <c r="A69" t="s">
        <v>11</v>
      </c>
      <c r="B69">
        <f t="shared" si="7"/>
        <v>0.1095</v>
      </c>
      <c r="C69">
        <f t="shared" si="7"/>
        <v>7.0699999999999999E-2</v>
      </c>
      <c r="D69">
        <f t="shared" si="7"/>
        <v>8.3699999999999997E-2</v>
      </c>
      <c r="E69">
        <f t="shared" si="7"/>
        <v>7.0699999999999999E-2</v>
      </c>
      <c r="F69">
        <f t="shared" si="7"/>
        <v>6.3200000000000006E-2</v>
      </c>
      <c r="G69">
        <f t="shared" si="7"/>
        <v>0.1095</v>
      </c>
      <c r="H69">
        <f t="shared" si="7"/>
        <v>5.4800000000000001E-2</v>
      </c>
      <c r="I69">
        <f t="shared" si="7"/>
        <v>0.21210000000000001</v>
      </c>
      <c r="J69">
        <f t="shared" si="7"/>
        <v>0.21210000000000001</v>
      </c>
      <c r="K69">
        <f t="shared" si="7"/>
        <v>0.1414</v>
      </c>
      <c r="L69">
        <f t="shared" si="7"/>
        <v>7.0699999999999999E-2</v>
      </c>
      <c r="M69">
        <f t="shared" si="7"/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1"/>
  <dimension ref="A1:M69"/>
  <sheetViews>
    <sheetView workbookViewId="0">
      <selection activeCell="A15" sqref="A15:M69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12</v>
      </c>
      <c r="D2" t="s">
        <v>12</v>
      </c>
      <c r="E2" t="s">
        <v>15</v>
      </c>
      <c r="F2" t="s">
        <v>24</v>
      </c>
      <c r="G2" t="s">
        <v>24</v>
      </c>
      <c r="H2" t="s">
        <v>16</v>
      </c>
      <c r="I2" t="s">
        <v>20</v>
      </c>
      <c r="J2" t="s">
        <v>13</v>
      </c>
      <c r="K2" t="s">
        <v>16</v>
      </c>
      <c r="L2" t="s">
        <v>16</v>
      </c>
      <c r="M2" t="s">
        <v>20</v>
      </c>
    </row>
    <row r="3" spans="1:13" x14ac:dyDescent="0.3">
      <c r="A3" s="1" t="s">
        <v>1</v>
      </c>
      <c r="B3" t="s">
        <v>17</v>
      </c>
      <c r="C3">
        <v>0</v>
      </c>
      <c r="D3" t="s">
        <v>18</v>
      </c>
      <c r="E3" t="s">
        <v>25</v>
      </c>
      <c r="F3" t="s">
        <v>21</v>
      </c>
      <c r="G3" t="s">
        <v>25</v>
      </c>
      <c r="H3" t="s">
        <v>18</v>
      </c>
      <c r="I3" t="s">
        <v>16</v>
      </c>
      <c r="J3" t="s">
        <v>18</v>
      </c>
      <c r="K3" t="s">
        <v>25</v>
      </c>
      <c r="L3" t="s">
        <v>25</v>
      </c>
      <c r="M3" t="s">
        <v>13</v>
      </c>
    </row>
    <row r="4" spans="1:13" x14ac:dyDescent="0.3">
      <c r="A4" s="1" t="s">
        <v>2</v>
      </c>
      <c r="B4" t="s">
        <v>16</v>
      </c>
      <c r="C4" t="s">
        <v>24</v>
      </c>
      <c r="D4">
        <v>0</v>
      </c>
      <c r="E4" t="s">
        <v>24</v>
      </c>
      <c r="F4" t="s">
        <v>20</v>
      </c>
      <c r="G4" t="s">
        <v>22</v>
      </c>
      <c r="H4" t="s">
        <v>12</v>
      </c>
      <c r="I4" t="s">
        <v>15</v>
      </c>
      <c r="J4" t="s">
        <v>13</v>
      </c>
      <c r="K4" t="s">
        <v>18</v>
      </c>
      <c r="L4" t="s">
        <v>12</v>
      </c>
      <c r="M4" t="s">
        <v>13</v>
      </c>
    </row>
    <row r="5" spans="1:13" x14ac:dyDescent="0.3">
      <c r="A5" s="1" t="s">
        <v>3</v>
      </c>
      <c r="B5" t="s">
        <v>24</v>
      </c>
      <c r="C5" t="s">
        <v>22</v>
      </c>
      <c r="D5" t="s">
        <v>16</v>
      </c>
      <c r="E5">
        <v>0</v>
      </c>
      <c r="F5" t="s">
        <v>12</v>
      </c>
      <c r="G5" t="s">
        <v>15</v>
      </c>
      <c r="H5" t="s">
        <v>13</v>
      </c>
      <c r="I5" t="s">
        <v>22</v>
      </c>
      <c r="J5" t="s">
        <v>12</v>
      </c>
      <c r="K5" t="s">
        <v>20</v>
      </c>
      <c r="L5" t="s">
        <v>13</v>
      </c>
      <c r="M5" t="s">
        <v>24</v>
      </c>
    </row>
    <row r="6" spans="1:13" x14ac:dyDescent="0.3">
      <c r="A6" s="1" t="s">
        <v>4</v>
      </c>
      <c r="B6" t="s">
        <v>20</v>
      </c>
      <c r="C6" t="s">
        <v>16</v>
      </c>
      <c r="D6" t="s">
        <v>71</v>
      </c>
      <c r="E6" t="s">
        <v>22</v>
      </c>
      <c r="F6">
        <v>0</v>
      </c>
      <c r="G6" t="s">
        <v>21</v>
      </c>
      <c r="H6" t="s">
        <v>23</v>
      </c>
      <c r="I6" t="s">
        <v>16</v>
      </c>
      <c r="J6" t="s">
        <v>12</v>
      </c>
      <c r="K6" t="s">
        <v>13</v>
      </c>
      <c r="L6" t="s">
        <v>20</v>
      </c>
      <c r="M6" t="s">
        <v>16</v>
      </c>
    </row>
    <row r="7" spans="1:13" x14ac:dyDescent="0.3">
      <c r="A7" s="1" t="s">
        <v>5</v>
      </c>
      <c r="B7" t="s">
        <v>16</v>
      </c>
      <c r="C7" t="s">
        <v>16</v>
      </c>
      <c r="D7" t="s">
        <v>71</v>
      </c>
      <c r="E7" t="s">
        <v>15</v>
      </c>
      <c r="F7" t="s">
        <v>15</v>
      </c>
      <c r="G7">
        <v>0</v>
      </c>
      <c r="H7" t="s">
        <v>71</v>
      </c>
      <c r="I7" t="s">
        <v>20</v>
      </c>
      <c r="J7" t="s">
        <v>13</v>
      </c>
      <c r="K7" t="s">
        <v>22</v>
      </c>
      <c r="L7" s="6" t="s">
        <v>16</v>
      </c>
      <c r="M7" t="s">
        <v>16</v>
      </c>
    </row>
    <row r="8" spans="1:13" x14ac:dyDescent="0.3">
      <c r="A8" s="1" t="s">
        <v>6</v>
      </c>
      <c r="B8" t="s">
        <v>15</v>
      </c>
      <c r="C8" t="s">
        <v>24</v>
      </c>
      <c r="D8" t="s">
        <v>24</v>
      </c>
      <c r="E8" t="s">
        <v>15</v>
      </c>
      <c r="F8" t="s">
        <v>20</v>
      </c>
      <c r="G8" t="s">
        <v>16</v>
      </c>
      <c r="H8">
        <v>0</v>
      </c>
      <c r="I8" t="s">
        <v>22</v>
      </c>
      <c r="J8" t="s">
        <v>15</v>
      </c>
      <c r="K8" t="s">
        <v>15</v>
      </c>
      <c r="L8" s="6" t="s">
        <v>62</v>
      </c>
      <c r="M8" t="s">
        <v>15</v>
      </c>
    </row>
    <row r="9" spans="1:13" x14ac:dyDescent="0.3">
      <c r="A9" s="1" t="s">
        <v>7</v>
      </c>
      <c r="B9" t="s">
        <v>15</v>
      </c>
      <c r="C9" t="s">
        <v>24</v>
      </c>
      <c r="D9" t="s">
        <v>23</v>
      </c>
      <c r="E9" t="s">
        <v>16</v>
      </c>
      <c r="F9" t="s">
        <v>16</v>
      </c>
      <c r="G9" t="s">
        <v>22</v>
      </c>
      <c r="H9" t="s">
        <v>16</v>
      </c>
      <c r="I9">
        <v>0</v>
      </c>
      <c r="J9" t="s">
        <v>13</v>
      </c>
      <c r="K9" t="s">
        <v>13</v>
      </c>
      <c r="L9" s="6" t="s">
        <v>18</v>
      </c>
      <c r="M9" t="s">
        <v>21</v>
      </c>
    </row>
    <row r="10" spans="1:13" x14ac:dyDescent="0.3">
      <c r="A10" s="1" t="s">
        <v>8</v>
      </c>
      <c r="B10" t="s">
        <v>22</v>
      </c>
      <c r="C10" t="s">
        <v>24</v>
      </c>
      <c r="D10" t="s">
        <v>16</v>
      </c>
      <c r="E10" t="s">
        <v>20</v>
      </c>
      <c r="F10" t="s">
        <v>16</v>
      </c>
      <c r="G10" t="s">
        <v>15</v>
      </c>
      <c r="H10" t="s">
        <v>25</v>
      </c>
      <c r="I10" t="s">
        <v>16</v>
      </c>
      <c r="J10">
        <v>0</v>
      </c>
      <c r="K10" t="s">
        <v>25</v>
      </c>
      <c r="L10" s="6" t="s">
        <v>25</v>
      </c>
      <c r="M10" t="s">
        <v>18</v>
      </c>
    </row>
    <row r="11" spans="1:13" x14ac:dyDescent="0.3">
      <c r="A11" s="1" t="s">
        <v>9</v>
      </c>
      <c r="B11" t="s">
        <v>23</v>
      </c>
      <c r="C11" t="s">
        <v>16</v>
      </c>
      <c r="D11" t="s">
        <v>15</v>
      </c>
      <c r="E11" t="s">
        <v>23</v>
      </c>
      <c r="F11" t="s">
        <v>15</v>
      </c>
      <c r="G11" t="s">
        <v>15</v>
      </c>
      <c r="H11" t="s">
        <v>15</v>
      </c>
      <c r="I11" t="s">
        <v>20</v>
      </c>
      <c r="J11" t="s">
        <v>21</v>
      </c>
      <c r="K11">
        <v>0</v>
      </c>
      <c r="L11" s="6" t="s">
        <v>15</v>
      </c>
      <c r="M11" t="s">
        <v>24</v>
      </c>
    </row>
    <row r="12" spans="1:13" x14ac:dyDescent="0.3">
      <c r="A12" s="1" t="s">
        <v>10</v>
      </c>
      <c r="B12" t="s">
        <v>15</v>
      </c>
      <c r="C12" t="s">
        <v>24</v>
      </c>
      <c r="D12" t="s">
        <v>24</v>
      </c>
      <c r="E12" t="s">
        <v>16</v>
      </c>
      <c r="F12" t="s">
        <v>22</v>
      </c>
      <c r="G12" t="s">
        <v>15</v>
      </c>
      <c r="H12" t="s">
        <v>22</v>
      </c>
      <c r="I12" t="s">
        <v>17</v>
      </c>
      <c r="J12" t="s">
        <v>16</v>
      </c>
      <c r="K12" t="s">
        <v>20</v>
      </c>
      <c r="L12">
        <v>0</v>
      </c>
      <c r="M12" t="s">
        <v>12</v>
      </c>
    </row>
    <row r="13" spans="1:13" x14ac:dyDescent="0.3">
      <c r="A13" s="1" t="s">
        <v>11</v>
      </c>
      <c r="B13" t="s">
        <v>24</v>
      </c>
      <c r="C13" t="s">
        <v>16</v>
      </c>
      <c r="D13" t="s">
        <v>24</v>
      </c>
      <c r="E13" t="s">
        <v>22</v>
      </c>
      <c r="F13" t="s">
        <v>16</v>
      </c>
      <c r="G13" t="s">
        <v>24</v>
      </c>
      <c r="H13" t="s">
        <v>16</v>
      </c>
      <c r="I13" t="s">
        <v>71</v>
      </c>
      <c r="J13" t="s">
        <v>16</v>
      </c>
      <c r="K13" t="s">
        <v>17</v>
      </c>
      <c r="L13" t="s">
        <v>20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(0,1673; 0,251; 0,3347)</v>
      </c>
      <c r="D16" t="str">
        <f>VLOOKUP(D2,'Thang đánh giá'!$C$2:$D$27,2,FALSE)</f>
        <v>(0,1673; 0,251; 0,3347)</v>
      </c>
      <c r="E16" t="str">
        <f>VLOOKUP(E2,'Thang đánh giá'!$C$2:$D$27,2,FALSE)</f>
        <v>(0; 0,0707; 0,1414)</v>
      </c>
      <c r="F16" t="str">
        <f>VLOOKUP(F2,'Thang đánh giá'!$C$2:$D$27,2,FALSE)</f>
        <v>(0; 0; 0,0548)</v>
      </c>
      <c r="G16" t="str">
        <f>VLOOKUP(G2,'Thang đánh giá'!$C$2:$D$27,2,FALSE)</f>
        <v>(0; 0; 0,0548)</v>
      </c>
      <c r="H16" t="str">
        <f>VLOOKUP(H2,'Thang đánh giá'!$C$2:$D$27,2,FALSE)</f>
        <v>(0; 0; 0,0707)</v>
      </c>
      <c r="I16" t="str">
        <f>VLOOKUP(I2,'Thang đánh giá'!$C$2:$D$27,2,FALSE)</f>
        <v>(0; 0,0548; 0,1095)</v>
      </c>
      <c r="J16" t="str">
        <f>VLOOKUP(J2,'Thang đánh giá'!$C$2:$D$27,2,FALSE)</f>
        <v>(0,1897; 0,2846; 0,3795)</v>
      </c>
      <c r="K16" t="str">
        <f>VLOOKUP(K2,'Thang đánh giá'!$C$2:$D$27,2,FALSE)</f>
        <v>(0; 0; 0,0707)</v>
      </c>
      <c r="L16" t="str">
        <f>VLOOKUP(L2,'Thang đánh giá'!$C$2:$D$27,2,FALSE)</f>
        <v>(0; 0; 0,0707)</v>
      </c>
      <c r="M16" t="str">
        <f>VLOOKUP(M2,'Thang đánh giá'!$C$2:$D$27,2,FALSE)</f>
        <v>(0; 0,0548; 0,1095)</v>
      </c>
    </row>
    <row r="17" spans="1:13" x14ac:dyDescent="0.3">
      <c r="A17" t="s">
        <v>1</v>
      </c>
      <c r="B17" t="str">
        <f>VLOOKUP(B3,'Thang đánh giá'!$C$2:$D$27,2,FALSE)</f>
        <v>(0; 0,0316; 0,0632)</v>
      </c>
      <c r="C17" t="str">
        <f>VLOOKUP(C3,'Thang đánh giá'!$C$2:$D$27,2,FALSE)</f>
        <v>(0; 0; 0)</v>
      </c>
      <c r="D17" t="str">
        <f>VLOOKUP(D3,'Thang đánh giá'!$C$2:$D$27,2,FALSE)</f>
        <v>(0,2846; 0,3795; 0,3795)</v>
      </c>
      <c r="E17" t="str">
        <f>VLOOKUP(E3,'Thang đánh giá'!$C$2:$D$27,2,FALSE)</f>
        <v>(0,251; 0,3347; 0,3347)</v>
      </c>
      <c r="F17" t="str">
        <f>VLOOKUP(F3,'Thang đánh giá'!$C$2:$D$27,2,FALSE)</f>
        <v>(0,0837; 0,1673; 0,251)</v>
      </c>
      <c r="G17" t="str">
        <f>VLOOKUP(G3,'Thang đánh giá'!$C$2:$D$27,2,FALSE)</f>
        <v>(0,251; 0,3347; 0,3347)</v>
      </c>
      <c r="H17" t="str">
        <f>VLOOKUP(H3,'Thang đánh giá'!$C$2:$D$27,2,FALSE)</f>
        <v>(0,2846; 0,3795; 0,3795)</v>
      </c>
      <c r="I17" t="str">
        <f>VLOOKUP(I3,'Thang đánh giá'!$C$2:$D$27,2,FALSE)</f>
        <v>(0; 0; 0,0707)</v>
      </c>
      <c r="J17" t="str">
        <f>VLOOKUP(J3,'Thang đánh giá'!$C$2:$D$27,2,FALSE)</f>
        <v>(0,2846; 0,3795; 0,3795)</v>
      </c>
      <c r="K17" t="str">
        <f>VLOOKUP(K3,'Thang đánh giá'!$C$2:$D$27,2,FALSE)</f>
        <v>(0,251; 0,3347; 0,3347)</v>
      </c>
      <c r="L17" t="str">
        <f>VLOOKUP(L3,'Thang đánh giá'!$C$2:$D$27,2,FALSE)</f>
        <v>(0,251; 0,3347; 0,3347)</v>
      </c>
      <c r="M17" t="str">
        <f>VLOOKUP(M3,'Thang đánh giá'!$C$2:$D$27,2,FALSE)</f>
        <v>(0,1897; 0,2846; 0,3795)</v>
      </c>
    </row>
    <row r="18" spans="1:13" x14ac:dyDescent="0.3">
      <c r="A18" t="s">
        <v>2</v>
      </c>
      <c r="B18" t="str">
        <f>VLOOKUP(B4,'Thang đánh giá'!$C$2:$D$27,2,FALSE)</f>
        <v>(0; 0; 0,0707)</v>
      </c>
      <c r="C18" t="str">
        <f>VLOOKUP(C4,'Thang đánh giá'!$C$2:$D$27,2,FALSE)</f>
        <v>(0; 0; 0,0548)</v>
      </c>
      <c r="D18" t="str">
        <f>VLOOKUP(D4,'Thang đánh giá'!$C$2:$D$27,2,FALSE)</f>
        <v>(0; 0; 0)</v>
      </c>
      <c r="E18" t="str">
        <f>VLOOKUP(E4,'Thang đánh giá'!$C$2:$D$27,2,FALSE)</f>
        <v>(0; 0; 0,0548)</v>
      </c>
      <c r="F18" t="str">
        <f>VLOOKUP(F4,'Thang đánh giá'!$C$2:$D$27,2,FALSE)</f>
        <v>(0; 0,0548; 0,1095)</v>
      </c>
      <c r="G18" t="str">
        <f>VLOOKUP(G4,'Thang đánh giá'!$C$2:$D$27,2,FALSE)</f>
        <v>(0,0707; 0,1414; 0,2121)</v>
      </c>
      <c r="H18" t="str">
        <f>VLOOKUP(H4,'Thang đánh giá'!$C$2:$D$27,2,FALSE)</f>
        <v>(0,1673; 0,251; 0,3347)</v>
      </c>
      <c r="I18" t="str">
        <f>VLOOKUP(I4,'Thang đánh giá'!$C$2:$D$27,2,FALSE)</f>
        <v>(0; 0,0707; 0,1414)</v>
      </c>
      <c r="J18" t="str">
        <f>VLOOKUP(J4,'Thang đánh giá'!$C$2:$D$27,2,FALSE)</f>
        <v>(0,1897; 0,2846; 0,3795)</v>
      </c>
      <c r="K18" t="str">
        <f>VLOOKUP(K4,'Thang đánh giá'!$C$2:$D$27,2,FALSE)</f>
        <v>(0,2846; 0,3795; 0,3795)</v>
      </c>
      <c r="L18" t="str">
        <f>VLOOKUP(L4,'Thang đánh giá'!$C$2:$D$27,2,FALSE)</f>
        <v>(0,1673; 0,251; 0,3347)</v>
      </c>
      <c r="M18" t="str">
        <f>VLOOKUP(M4,'Thang đánh giá'!$C$2:$D$27,2,FALSE)</f>
        <v>(0,1897; 0,2846; 0,3795)</v>
      </c>
    </row>
    <row r="19" spans="1:13" x14ac:dyDescent="0.3">
      <c r="A19" t="s">
        <v>3</v>
      </c>
      <c r="B19" t="str">
        <f>VLOOKUP(B5,'Thang đánh giá'!$C$2:$D$27,2,FALSE)</f>
        <v>(0; 0; 0,0548)</v>
      </c>
      <c r="C19" t="str">
        <f>VLOOKUP(C5,'Thang đánh giá'!$C$2:$D$27,2,FALSE)</f>
        <v>(0,0707; 0,1414; 0,2121)</v>
      </c>
      <c r="D19" t="str">
        <f>VLOOKUP(D5,'Thang đánh giá'!$C$2:$D$27,2,FALSE)</f>
        <v>(0; 0; 0,0707)</v>
      </c>
      <c r="E19" t="str">
        <f>VLOOKUP(E5,'Thang đánh giá'!$C$2:$D$27,2,FALSE)</f>
        <v>(0; 0; 0)</v>
      </c>
      <c r="F19" t="str">
        <f>VLOOKUP(F5,'Thang đánh giá'!$C$2:$D$27,2,FALSE)</f>
        <v>(0,1673; 0,251; 0,3347)</v>
      </c>
      <c r="G19" t="str">
        <f>VLOOKUP(G5,'Thang đánh giá'!$C$2:$D$27,2,FALSE)</f>
        <v>(0; 0,0707; 0,1414)</v>
      </c>
      <c r="H19" t="str">
        <f>VLOOKUP(H5,'Thang đánh giá'!$C$2:$D$27,2,FALSE)</f>
        <v>(0,1897; 0,2846; 0,3795)</v>
      </c>
      <c r="I19" t="str">
        <f>VLOOKUP(I5,'Thang đánh giá'!$C$2:$D$27,2,FALSE)</f>
        <v>(0,0707; 0,1414; 0,2121)</v>
      </c>
      <c r="J19" t="str">
        <f>VLOOKUP(J5,'Thang đánh giá'!$C$2:$D$27,2,FALSE)</f>
        <v>(0,1673; 0,251; 0,3347)</v>
      </c>
      <c r="K19" t="str">
        <f>VLOOKUP(K5,'Thang đánh giá'!$C$2:$D$27,2,FALSE)</f>
        <v>(0; 0,0548; 0,1095)</v>
      </c>
      <c r="L19" t="str">
        <f>VLOOKUP(L5,'Thang đánh giá'!$C$2:$D$27,2,FALSE)</f>
        <v>(0,1897; 0,2846; 0,3795)</v>
      </c>
      <c r="M19" t="str">
        <f>VLOOKUP(M5,'Thang đánh giá'!$C$2:$D$27,2,FALSE)</f>
        <v>(0; 0; 0,0548)</v>
      </c>
    </row>
    <row r="20" spans="1:13" x14ac:dyDescent="0.3">
      <c r="A20" t="s">
        <v>4</v>
      </c>
      <c r="B20" t="str">
        <f>VLOOKUP(B6,'Thang đánh giá'!$C$2:$D$27,2,FALSE)</f>
        <v>(0; 0,0548; 0,1095)</v>
      </c>
      <c r="C20" t="str">
        <f>VLOOKUP(C6,'Thang đánh giá'!$C$2:$D$27,2,FALSE)</f>
        <v>(0; 0; 0,0707)</v>
      </c>
      <c r="D20" t="str">
        <f>VLOOKUP(D6,'Thang đánh giá'!$C$2:$D$27,2,FALSE)</f>
        <v>(0; 0; 0,0837)</v>
      </c>
      <c r="E20" t="str">
        <f>VLOOKUP(E6,'Thang đánh giá'!$C$2:$D$27,2,FALSE)</f>
        <v>(0,0707; 0,1414; 0,2121)</v>
      </c>
      <c r="F20" t="str">
        <f>VLOOKUP(F6,'Thang đánh giá'!$C$2:$D$27,2,FALSE)</f>
        <v>(0; 0; 0)</v>
      </c>
      <c r="G20" t="str">
        <f>VLOOKUP(G6,'Thang đánh giá'!$C$2:$D$27,2,FALSE)</f>
        <v>(0,0837; 0,1673; 0,251)</v>
      </c>
      <c r="H20" t="str">
        <f>VLOOKUP(H6,'Thang đánh giá'!$C$2:$D$27,2,FALSE)</f>
        <v>(0; 0; 0,0316)</v>
      </c>
      <c r="I20" t="str">
        <f>VLOOKUP(I6,'Thang đánh giá'!$C$2:$D$27,2,FALSE)</f>
        <v>(0; 0; 0,0707)</v>
      </c>
      <c r="J20" t="str">
        <f>VLOOKUP(J6,'Thang đánh giá'!$C$2:$D$27,2,FALSE)</f>
        <v>(0,1673; 0,251; 0,3347)</v>
      </c>
      <c r="K20" t="str">
        <f>VLOOKUP(K6,'Thang đánh giá'!$C$2:$D$27,2,FALSE)</f>
        <v>(0,1897; 0,2846; 0,3795)</v>
      </c>
      <c r="L20" t="str">
        <f>VLOOKUP(L6,'Thang đánh giá'!$C$2:$D$27,2,FALSE)</f>
        <v>(0; 0,0548; 0,1095)</v>
      </c>
      <c r="M20" t="str">
        <f>VLOOKUP(M6,'Thang đánh giá'!$C$2:$D$27,2,FALSE)</f>
        <v>(0; 0; 0,0707)</v>
      </c>
    </row>
    <row r="21" spans="1:13" x14ac:dyDescent="0.3">
      <c r="A21" t="s">
        <v>5</v>
      </c>
      <c r="B21" t="str">
        <f>VLOOKUP(B7,'Thang đánh giá'!$C$2:$D$27,2,FALSE)</f>
        <v>(0; 0; 0,0707)</v>
      </c>
      <c r="C21" t="str">
        <f>VLOOKUP(C7,'Thang đánh giá'!$C$2:$D$27,2,FALSE)</f>
        <v>(0; 0; 0,0707)</v>
      </c>
      <c r="D21" t="str">
        <f>VLOOKUP(D7,'Thang đánh giá'!$C$2:$D$27,2,FALSE)</f>
        <v>(0; 0; 0,0837)</v>
      </c>
      <c r="E21" t="str">
        <f>VLOOKUP(E7,'Thang đánh giá'!$C$2:$D$27,2,FALSE)</f>
        <v>(0; 0,0707; 0,1414)</v>
      </c>
      <c r="F21" t="str">
        <f>VLOOKUP(F7,'Thang đánh giá'!$C$2:$D$27,2,FALSE)</f>
        <v>(0; 0,0707; 0,1414)</v>
      </c>
      <c r="G21" t="str">
        <f>VLOOKUP(G7,'Thang đánh giá'!$C$2:$D$27,2,FALSE)</f>
        <v>(0; 0; 0)</v>
      </c>
      <c r="H21" t="str">
        <f>VLOOKUP(H7,'Thang đánh giá'!$C$2:$D$27,2,FALSE)</f>
        <v>(0; 0; 0,0837)</v>
      </c>
      <c r="I21" t="str">
        <f>VLOOKUP(I7,'Thang đánh giá'!$C$2:$D$27,2,FALSE)</f>
        <v>(0; 0,0548; 0,1095)</v>
      </c>
      <c r="J21" t="str">
        <f>VLOOKUP(J7,'Thang đánh giá'!$C$2:$D$27,2,FALSE)</f>
        <v>(0,1897; 0,2846; 0,3795)</v>
      </c>
      <c r="K21" t="str">
        <f>VLOOKUP(K7,'Thang đánh giá'!$C$2:$D$27,2,FALSE)</f>
        <v>(0,0707; 0,1414; 0,2121)</v>
      </c>
      <c r="L21" t="str">
        <f>VLOOKUP(L7,'Thang đánh giá'!$C$2:$D$27,2,FALSE)</f>
        <v>(0; 0; 0,0707)</v>
      </c>
      <c r="M21" t="str">
        <f>VLOOKUP(M7,'Thang đánh giá'!$C$2:$D$27,2,FALSE)</f>
        <v>(0; 0; 0,0707)</v>
      </c>
    </row>
    <row r="22" spans="1:13" x14ac:dyDescent="0.3">
      <c r="A22" t="s">
        <v>6</v>
      </c>
      <c r="B22" t="str">
        <f>VLOOKUP(B8,'Thang đánh giá'!$C$2:$D$27,2,FALSE)</f>
        <v>(0; 0,0707; 0,1414)</v>
      </c>
      <c r="C22" t="str">
        <f>VLOOKUP(C8,'Thang đánh giá'!$C$2:$D$27,2,FALSE)</f>
        <v>(0; 0; 0,0548)</v>
      </c>
      <c r="D22" t="str">
        <f>VLOOKUP(D8,'Thang đánh giá'!$C$2:$D$27,2,FALSE)</f>
        <v>(0; 0; 0,0548)</v>
      </c>
      <c r="E22" t="str">
        <f>VLOOKUP(E8,'Thang đánh giá'!$C$2:$D$27,2,FALSE)</f>
        <v>(0; 0,0707; 0,1414)</v>
      </c>
      <c r="F22" t="str">
        <f>VLOOKUP(F8,'Thang đánh giá'!$C$2:$D$27,2,FALSE)</f>
        <v>(0; 0,0548; 0,1095)</v>
      </c>
      <c r="G22" t="str">
        <f>VLOOKUP(G8,'Thang đánh giá'!$C$2:$D$27,2,FALSE)</f>
        <v>(0; 0; 0,0707)</v>
      </c>
      <c r="H22" t="str">
        <f>VLOOKUP(H8,'Thang đánh giá'!$C$2:$D$27,2,FALSE)</f>
        <v>(0; 0; 0)</v>
      </c>
      <c r="I22" t="str">
        <f>VLOOKUP(I8,'Thang đánh giá'!$C$2:$D$27,2,FALSE)</f>
        <v>(0,0707; 0,1414; 0,2121)</v>
      </c>
      <c r="J22" t="str">
        <f>VLOOKUP(J8,'Thang đánh giá'!$C$2:$D$27,2,FALSE)</f>
        <v>(0; 0,0707; 0,1414)</v>
      </c>
      <c r="K22" t="str">
        <f>VLOOKUP(K8,'Thang đánh giá'!$C$2:$D$27,2,FALSE)</f>
        <v>(0; 0,0707; 0,1414)</v>
      </c>
      <c r="L22" t="str">
        <f>VLOOKUP(L8,'Thang đánh giá'!$C$2:$D$27,2,FALSE)</f>
        <v>(0; 0,0837; 0,1673)</v>
      </c>
      <c r="M22" t="str">
        <f>VLOOKUP(M8,'Thang đánh giá'!$C$2:$D$27,2,FALSE)</f>
        <v>(0; 0,0707; 0,1414)</v>
      </c>
    </row>
    <row r="23" spans="1:13" x14ac:dyDescent="0.3">
      <c r="A23" t="s">
        <v>7</v>
      </c>
      <c r="B23" t="str">
        <f>VLOOKUP(B9,'Thang đánh giá'!$C$2:$D$27,2,FALSE)</f>
        <v>(0; 0,0707; 0,1414)</v>
      </c>
      <c r="C23" t="str">
        <f>VLOOKUP(C9,'Thang đánh giá'!$C$2:$D$27,2,FALSE)</f>
        <v>(0; 0; 0,0548)</v>
      </c>
      <c r="D23" t="str">
        <f>VLOOKUP(D9,'Thang đánh giá'!$C$2:$D$27,2,FALSE)</f>
        <v>(0; 0; 0,0316)</v>
      </c>
      <c r="E23" t="str">
        <f>VLOOKUP(E9,'Thang đánh giá'!$C$2:$D$27,2,FALSE)</f>
        <v>(0; 0; 0,0707)</v>
      </c>
      <c r="F23" t="str">
        <f>VLOOKUP(F9,'Thang đánh giá'!$C$2:$D$27,2,FALSE)</f>
        <v>(0; 0; 0,0707)</v>
      </c>
      <c r="G23" t="str">
        <f>VLOOKUP(G9,'Thang đánh giá'!$C$2:$D$27,2,FALSE)</f>
        <v>(0,0707; 0,1414; 0,2121)</v>
      </c>
      <c r="H23" t="str">
        <f>VLOOKUP(H9,'Thang đánh giá'!$C$2:$D$27,2,FALSE)</f>
        <v>(0; 0; 0,0707)</v>
      </c>
      <c r="I23" t="str">
        <f>VLOOKUP(I9,'Thang đánh giá'!$C$2:$D$27,2,FALSE)</f>
        <v>(0; 0; 0)</v>
      </c>
      <c r="J23" t="str">
        <f>VLOOKUP(J9,'Thang đánh giá'!$C$2:$D$27,2,FALSE)</f>
        <v>(0,1897; 0,2846; 0,3795)</v>
      </c>
      <c r="K23" t="str">
        <f>VLOOKUP(K9,'Thang đánh giá'!$C$2:$D$27,2,FALSE)</f>
        <v>(0,1897; 0,2846; 0,3795)</v>
      </c>
      <c r="L23" t="str">
        <f>VLOOKUP(L9,'Thang đánh giá'!$C$2:$D$27,2,FALSE)</f>
        <v>(0,2846; 0,3795; 0,3795)</v>
      </c>
      <c r="M23" t="str">
        <f>VLOOKUP(M9,'Thang đánh giá'!$C$2:$D$27,2,FALSE)</f>
        <v>(0,0837; 0,1673; 0,251)</v>
      </c>
    </row>
    <row r="24" spans="1:13" x14ac:dyDescent="0.3">
      <c r="A24" t="s">
        <v>8</v>
      </c>
      <c r="B24" t="str">
        <f>VLOOKUP(B10,'Thang đánh giá'!$C$2:$D$27,2,FALSE)</f>
        <v>(0,0707; 0,1414; 0,2121)</v>
      </c>
      <c r="C24" t="str">
        <f>VLOOKUP(C10,'Thang đánh giá'!$C$2:$D$27,2,FALSE)</f>
        <v>(0; 0; 0,0548)</v>
      </c>
      <c r="D24" t="str">
        <f>VLOOKUP(D10,'Thang đánh giá'!$C$2:$D$27,2,FALSE)</f>
        <v>(0; 0; 0,0707)</v>
      </c>
      <c r="E24" t="str">
        <f>VLOOKUP(E10,'Thang đánh giá'!$C$2:$D$27,2,FALSE)</f>
        <v>(0; 0,0548; 0,1095)</v>
      </c>
      <c r="F24" t="str">
        <f>VLOOKUP(F10,'Thang đánh giá'!$C$2:$D$27,2,FALSE)</f>
        <v>(0; 0; 0,0707)</v>
      </c>
      <c r="G24" t="str">
        <f>VLOOKUP(G10,'Thang đánh giá'!$C$2:$D$27,2,FALSE)</f>
        <v>(0; 0,0707; 0,1414)</v>
      </c>
      <c r="H24" t="str">
        <f>VLOOKUP(H10,'Thang đánh giá'!$C$2:$D$27,2,FALSE)</f>
        <v>(0,251; 0,3347; 0,3347)</v>
      </c>
      <c r="I24" t="str">
        <f>VLOOKUP(I10,'Thang đánh giá'!$C$2:$D$27,2,FALSE)</f>
        <v>(0; 0; 0,0707)</v>
      </c>
      <c r="J24" t="str">
        <f>VLOOKUP(J10,'Thang đánh giá'!$C$2:$D$27,2,FALSE)</f>
        <v>(0; 0; 0)</v>
      </c>
      <c r="K24" t="str">
        <f>VLOOKUP(K10,'Thang đánh giá'!$C$2:$D$27,2,FALSE)</f>
        <v>(0,251; 0,3347; 0,3347)</v>
      </c>
      <c r="L24" t="str">
        <f>VLOOKUP(L10,'Thang đánh giá'!$C$2:$D$27,2,FALSE)</f>
        <v>(0,251; 0,3347; 0,3347)</v>
      </c>
      <c r="M24" t="str">
        <f>VLOOKUP(M10,'Thang đánh giá'!$C$2:$D$27,2,FALSE)</f>
        <v>(0,2846; 0,3795; 0,3795)</v>
      </c>
    </row>
    <row r="25" spans="1:13" x14ac:dyDescent="0.3">
      <c r="A25" t="s">
        <v>9</v>
      </c>
      <c r="B25" t="str">
        <f>VLOOKUP(B11,'Thang đánh giá'!$C$2:$D$27,2,FALSE)</f>
        <v>(0; 0; 0,0316)</v>
      </c>
      <c r="C25" t="str">
        <f>VLOOKUP(C11,'Thang đánh giá'!$C$2:$D$27,2,FALSE)</f>
        <v>(0; 0; 0,0707)</v>
      </c>
      <c r="D25" t="str">
        <f>VLOOKUP(D11,'Thang đánh giá'!$C$2:$D$27,2,FALSE)</f>
        <v>(0; 0,0707; 0,1414)</v>
      </c>
      <c r="E25" t="str">
        <f>VLOOKUP(E11,'Thang đánh giá'!$C$2:$D$27,2,FALSE)</f>
        <v>(0; 0; 0,0316)</v>
      </c>
      <c r="F25" t="str">
        <f>VLOOKUP(F11,'Thang đánh giá'!$C$2:$D$27,2,FALSE)</f>
        <v>(0; 0,0707; 0,1414)</v>
      </c>
      <c r="G25" t="str">
        <f>VLOOKUP(G11,'Thang đánh giá'!$C$2:$D$27,2,FALSE)</f>
        <v>(0; 0,0707; 0,1414)</v>
      </c>
      <c r="H25" t="str">
        <f>VLOOKUP(H11,'Thang đánh giá'!$C$2:$D$27,2,FALSE)</f>
        <v>(0; 0,0707; 0,1414)</v>
      </c>
      <c r="I25" t="str">
        <f>VLOOKUP(I11,'Thang đánh giá'!$C$2:$D$27,2,FALSE)</f>
        <v>(0; 0,0548; 0,1095)</v>
      </c>
      <c r="J25" t="str">
        <f>VLOOKUP(J11,'Thang đánh giá'!$C$2:$D$27,2,FALSE)</f>
        <v>(0,0837; 0,1673; 0,251)</v>
      </c>
      <c r="K25" t="str">
        <f>VLOOKUP(K11,'Thang đánh giá'!$C$2:$D$27,2,FALSE)</f>
        <v>(0; 0; 0)</v>
      </c>
      <c r="L25" t="str">
        <f>VLOOKUP(L11,'Thang đánh giá'!$C$2:$D$27,2,FALSE)</f>
        <v>(0; 0,0707; 0,1414)</v>
      </c>
      <c r="M25" t="str">
        <f>VLOOKUP(M11,'Thang đánh giá'!$C$2:$D$27,2,FALSE)</f>
        <v>(0; 0; 0,0548)</v>
      </c>
    </row>
    <row r="26" spans="1:13" x14ac:dyDescent="0.3">
      <c r="A26" t="s">
        <v>10</v>
      </c>
      <c r="B26" t="str">
        <f>VLOOKUP(B12,'Thang đánh giá'!$C$2:$D$27,2,FALSE)</f>
        <v>(0; 0,0707; 0,1414)</v>
      </c>
      <c r="C26" t="str">
        <f>VLOOKUP(C12,'Thang đánh giá'!$C$2:$D$27,2,FALSE)</f>
        <v>(0; 0; 0,0548)</v>
      </c>
      <c r="D26" t="str">
        <f>VLOOKUP(D12,'Thang đánh giá'!$C$2:$D$27,2,FALSE)</f>
        <v>(0; 0; 0,0548)</v>
      </c>
      <c r="E26" t="str">
        <f>VLOOKUP(E12,'Thang đánh giá'!$C$2:$D$27,2,FALSE)</f>
        <v>(0; 0; 0,0707)</v>
      </c>
      <c r="F26" t="str">
        <f>VLOOKUP(F12,'Thang đánh giá'!$C$2:$D$27,2,FALSE)</f>
        <v>(0,0707; 0,1414; 0,2121)</v>
      </c>
      <c r="G26" t="str">
        <f>VLOOKUP(G12,'Thang đánh giá'!$C$2:$D$27,2,FALSE)</f>
        <v>(0; 0,0707; 0,1414)</v>
      </c>
      <c r="H26" t="str">
        <f>VLOOKUP(H12,'Thang đánh giá'!$C$2:$D$27,2,FALSE)</f>
        <v>(0,0707; 0,1414; 0,2121)</v>
      </c>
      <c r="I26" t="str">
        <f>VLOOKUP(I12,'Thang đánh giá'!$C$2:$D$27,2,FALSE)</f>
        <v>(0; 0,0316; 0,0632)</v>
      </c>
      <c r="J26" t="str">
        <f>VLOOKUP(J12,'Thang đánh giá'!$C$2:$D$27,2,FALSE)</f>
        <v>(0; 0; 0,0707)</v>
      </c>
      <c r="K26" t="str">
        <f>VLOOKUP(K12,'Thang đánh giá'!$C$2:$D$27,2,FALSE)</f>
        <v>(0; 0,0548; 0,1095)</v>
      </c>
      <c r="L26" t="str">
        <f>VLOOKUP(L12,'Thang đánh giá'!$C$2:$D$27,2,FALSE)</f>
        <v>(0; 0; 0)</v>
      </c>
      <c r="M26" t="str">
        <f>VLOOKUP(M12,'Thang đánh giá'!$C$2:$D$27,2,FALSE)</f>
        <v>(0,1673; 0,251; 0,3347)</v>
      </c>
    </row>
    <row r="27" spans="1:13" x14ac:dyDescent="0.3">
      <c r="A27" t="s">
        <v>11</v>
      </c>
      <c r="B27" t="str">
        <f>VLOOKUP(B13,'Thang đánh giá'!$C$2:$D$27,2,FALSE)</f>
        <v>(0; 0; 0,0548)</v>
      </c>
      <c r="C27" t="str">
        <f>VLOOKUP(C13,'Thang đánh giá'!$C$2:$D$27,2,FALSE)</f>
        <v>(0; 0; 0,0707)</v>
      </c>
      <c r="D27" t="str">
        <f>VLOOKUP(D13,'Thang đánh giá'!$C$2:$D$27,2,FALSE)</f>
        <v>(0; 0; 0,0548)</v>
      </c>
      <c r="E27" t="str">
        <f>VLOOKUP(E13,'Thang đánh giá'!$C$2:$D$27,2,FALSE)</f>
        <v>(0,0707; 0,1414; 0,2121)</v>
      </c>
      <c r="F27" t="str">
        <f>VLOOKUP(F13,'Thang đánh giá'!$C$2:$D$27,2,FALSE)</f>
        <v>(0; 0; 0,0707)</v>
      </c>
      <c r="G27" t="str">
        <f>VLOOKUP(G13,'Thang đánh giá'!$C$2:$D$27,2,FALSE)</f>
        <v>(0; 0; 0,0548)</v>
      </c>
      <c r="H27" t="str">
        <f>VLOOKUP(H13,'Thang đánh giá'!$C$2:$D$27,2,FALSE)</f>
        <v>(0; 0; 0,0707)</v>
      </c>
      <c r="I27" t="str">
        <f>VLOOKUP(I13,'Thang đánh giá'!$C$2:$D$27,2,FALSE)</f>
        <v>(0; 0; 0,0837)</v>
      </c>
      <c r="J27" t="str">
        <f>VLOOKUP(J13,'Thang đánh giá'!$C$2:$D$27,2,FALSE)</f>
        <v>(0; 0; 0,0707)</v>
      </c>
      <c r="K27" t="str">
        <f>VLOOKUP(K13,'Thang đánh giá'!$C$2:$D$27,2,FALSE)</f>
        <v>(0; 0,0316; 0,0632)</v>
      </c>
      <c r="L27" t="str">
        <f>VLOOKUP(L13,'Thang đánh giá'!$C$2:$D$27,2,FALSE)</f>
        <v>(0; 0,0548; 0,1095)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0.1673</v>
      </c>
      <c r="D30">
        <f t="shared" si="0"/>
        <v>0.1673</v>
      </c>
      <c r="E30">
        <f t="shared" si="0"/>
        <v>0</v>
      </c>
      <c r="F30">
        <f t="shared" si="0"/>
        <v>0</v>
      </c>
      <c r="G30">
        <f t="shared" si="0"/>
        <v>0</v>
      </c>
      <c r="H30">
        <f t="shared" si="0"/>
        <v>0</v>
      </c>
      <c r="I30">
        <f t="shared" si="0"/>
        <v>0</v>
      </c>
      <c r="J30">
        <f t="shared" si="0"/>
        <v>0.18970000000000001</v>
      </c>
      <c r="K30">
        <f t="shared" si="0"/>
        <v>0</v>
      </c>
      <c r="L30">
        <f t="shared" si="0"/>
        <v>0</v>
      </c>
      <c r="M30">
        <f t="shared" si="0"/>
        <v>0</v>
      </c>
    </row>
    <row r="31" spans="1:13" x14ac:dyDescent="0.3">
      <c r="A31" t="s">
        <v>1</v>
      </c>
      <c r="B31">
        <f t="shared" ref="B31:M41" si="1">_xlfn.NUMBERVALUE(MID(B17,2,FIND(";",B17,1)-2))</f>
        <v>0</v>
      </c>
      <c r="C31">
        <f t="shared" si="1"/>
        <v>0</v>
      </c>
      <c r="D31">
        <f t="shared" si="1"/>
        <v>0.28460000000000002</v>
      </c>
      <c r="E31">
        <f t="shared" si="1"/>
        <v>0.251</v>
      </c>
      <c r="F31">
        <f t="shared" si="1"/>
        <v>8.3699999999999997E-2</v>
      </c>
      <c r="G31">
        <f t="shared" si="1"/>
        <v>0.251</v>
      </c>
      <c r="H31">
        <f t="shared" si="1"/>
        <v>0.28460000000000002</v>
      </c>
      <c r="I31">
        <f t="shared" si="1"/>
        <v>0</v>
      </c>
      <c r="J31">
        <f t="shared" si="1"/>
        <v>0.28460000000000002</v>
      </c>
      <c r="K31">
        <f t="shared" si="1"/>
        <v>0.251</v>
      </c>
      <c r="L31">
        <f t="shared" si="1"/>
        <v>0.251</v>
      </c>
      <c r="M31">
        <f t="shared" si="1"/>
        <v>0.18970000000000001</v>
      </c>
    </row>
    <row r="32" spans="1:13" x14ac:dyDescent="0.3">
      <c r="A32" t="s">
        <v>2</v>
      </c>
      <c r="B32">
        <f t="shared" si="1"/>
        <v>0</v>
      </c>
      <c r="C32">
        <f t="shared" si="1"/>
        <v>0</v>
      </c>
      <c r="D32">
        <f t="shared" si="1"/>
        <v>0</v>
      </c>
      <c r="E32">
        <f t="shared" si="1"/>
        <v>0</v>
      </c>
      <c r="F32">
        <f t="shared" si="1"/>
        <v>0</v>
      </c>
      <c r="G32">
        <f t="shared" si="1"/>
        <v>7.0699999999999999E-2</v>
      </c>
      <c r="H32">
        <f t="shared" si="1"/>
        <v>0.1673</v>
      </c>
      <c r="I32">
        <f t="shared" si="1"/>
        <v>0</v>
      </c>
      <c r="J32">
        <f t="shared" si="1"/>
        <v>0.18970000000000001</v>
      </c>
      <c r="K32">
        <f t="shared" si="1"/>
        <v>0.28460000000000002</v>
      </c>
      <c r="L32">
        <f t="shared" si="1"/>
        <v>0.1673</v>
      </c>
      <c r="M32">
        <f t="shared" si="1"/>
        <v>0.18970000000000001</v>
      </c>
    </row>
    <row r="33" spans="1:13" x14ac:dyDescent="0.3">
      <c r="A33" t="s">
        <v>3</v>
      </c>
      <c r="B33">
        <f t="shared" si="1"/>
        <v>0</v>
      </c>
      <c r="C33">
        <f t="shared" si="1"/>
        <v>7.0699999999999999E-2</v>
      </c>
      <c r="D33">
        <f t="shared" si="1"/>
        <v>0</v>
      </c>
      <c r="E33">
        <f t="shared" si="1"/>
        <v>0</v>
      </c>
      <c r="F33">
        <f t="shared" si="1"/>
        <v>0.1673</v>
      </c>
      <c r="G33">
        <f t="shared" si="1"/>
        <v>0</v>
      </c>
      <c r="H33">
        <f t="shared" si="1"/>
        <v>0.18970000000000001</v>
      </c>
      <c r="I33">
        <f t="shared" si="1"/>
        <v>7.0699999999999999E-2</v>
      </c>
      <c r="J33">
        <f t="shared" si="1"/>
        <v>0.1673</v>
      </c>
      <c r="K33">
        <f t="shared" si="1"/>
        <v>0</v>
      </c>
      <c r="L33">
        <f t="shared" si="1"/>
        <v>0.18970000000000001</v>
      </c>
      <c r="M33">
        <f t="shared" si="1"/>
        <v>0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0</v>
      </c>
      <c r="D34">
        <f t="shared" si="2"/>
        <v>0</v>
      </c>
      <c r="E34">
        <f t="shared" si="2"/>
        <v>7.0699999999999999E-2</v>
      </c>
      <c r="F34">
        <f t="shared" si="2"/>
        <v>0</v>
      </c>
      <c r="G34">
        <f t="shared" si="2"/>
        <v>8.3699999999999997E-2</v>
      </c>
      <c r="H34">
        <f t="shared" si="2"/>
        <v>0</v>
      </c>
      <c r="I34">
        <f t="shared" si="2"/>
        <v>0</v>
      </c>
      <c r="J34">
        <f t="shared" si="2"/>
        <v>0.1673</v>
      </c>
      <c r="K34">
        <f t="shared" si="2"/>
        <v>0.18970000000000001</v>
      </c>
      <c r="L34">
        <f t="shared" si="2"/>
        <v>0</v>
      </c>
      <c r="M34">
        <f t="shared" si="2"/>
        <v>0</v>
      </c>
    </row>
    <row r="35" spans="1:13" x14ac:dyDescent="0.3">
      <c r="A35" t="s">
        <v>5</v>
      </c>
      <c r="B35">
        <f t="shared" si="1"/>
        <v>0</v>
      </c>
      <c r="C35">
        <f t="shared" si="1"/>
        <v>0</v>
      </c>
      <c r="D35">
        <f t="shared" si="1"/>
        <v>0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0</v>
      </c>
      <c r="J35">
        <f t="shared" si="1"/>
        <v>0.18970000000000001</v>
      </c>
      <c r="K35">
        <f t="shared" si="1"/>
        <v>7.0699999999999999E-2</v>
      </c>
      <c r="L35">
        <f t="shared" si="1"/>
        <v>0</v>
      </c>
      <c r="M35">
        <f t="shared" si="1"/>
        <v>0</v>
      </c>
    </row>
    <row r="36" spans="1:13" x14ac:dyDescent="0.3">
      <c r="A36" t="s">
        <v>6</v>
      </c>
      <c r="B36">
        <f t="shared" si="1"/>
        <v>0</v>
      </c>
      <c r="C36">
        <f t="shared" si="1"/>
        <v>0</v>
      </c>
      <c r="D36">
        <f t="shared" si="1"/>
        <v>0</v>
      </c>
      <c r="E36">
        <f t="shared" si="1"/>
        <v>0</v>
      </c>
      <c r="F36">
        <f t="shared" si="1"/>
        <v>0</v>
      </c>
      <c r="G36">
        <f t="shared" si="1"/>
        <v>0</v>
      </c>
      <c r="H36">
        <f t="shared" si="1"/>
        <v>0</v>
      </c>
      <c r="I36">
        <f t="shared" si="1"/>
        <v>7.0699999999999999E-2</v>
      </c>
      <c r="J36">
        <f t="shared" si="1"/>
        <v>0</v>
      </c>
      <c r="K36">
        <f t="shared" si="1"/>
        <v>0</v>
      </c>
      <c r="L36">
        <f t="shared" si="1"/>
        <v>0</v>
      </c>
      <c r="M36">
        <f t="shared" si="1"/>
        <v>0</v>
      </c>
    </row>
    <row r="37" spans="1:13" x14ac:dyDescent="0.3">
      <c r="A37" t="s">
        <v>7</v>
      </c>
      <c r="B37">
        <f t="shared" si="1"/>
        <v>0</v>
      </c>
      <c r="C37">
        <f t="shared" si="1"/>
        <v>0</v>
      </c>
      <c r="D37">
        <f t="shared" si="1"/>
        <v>0</v>
      </c>
      <c r="E37">
        <f t="shared" si="1"/>
        <v>0</v>
      </c>
      <c r="F37">
        <f t="shared" si="1"/>
        <v>0</v>
      </c>
      <c r="G37">
        <f t="shared" si="1"/>
        <v>7.0699999999999999E-2</v>
      </c>
      <c r="H37">
        <f t="shared" si="1"/>
        <v>0</v>
      </c>
      <c r="I37">
        <f t="shared" si="1"/>
        <v>0</v>
      </c>
      <c r="J37">
        <f t="shared" si="1"/>
        <v>0.18970000000000001</v>
      </c>
      <c r="K37">
        <f t="shared" si="1"/>
        <v>0.18970000000000001</v>
      </c>
      <c r="L37">
        <f t="shared" si="1"/>
        <v>0.28460000000000002</v>
      </c>
      <c r="M37">
        <f t="shared" si="1"/>
        <v>8.3699999999999997E-2</v>
      </c>
    </row>
    <row r="38" spans="1:13" x14ac:dyDescent="0.3">
      <c r="A38" t="s">
        <v>8</v>
      </c>
      <c r="B38">
        <f t="shared" si="1"/>
        <v>7.0699999999999999E-2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0.251</v>
      </c>
      <c r="I38">
        <f t="shared" si="1"/>
        <v>0</v>
      </c>
      <c r="J38">
        <f t="shared" si="1"/>
        <v>0</v>
      </c>
      <c r="K38">
        <f t="shared" si="1"/>
        <v>0.251</v>
      </c>
      <c r="L38">
        <f t="shared" si="1"/>
        <v>0.251</v>
      </c>
      <c r="M38">
        <f t="shared" si="1"/>
        <v>0.28460000000000002</v>
      </c>
    </row>
    <row r="39" spans="1:13" x14ac:dyDescent="0.3">
      <c r="A39" t="s">
        <v>9</v>
      </c>
      <c r="B39">
        <f t="shared" si="1"/>
        <v>0</v>
      </c>
      <c r="C39">
        <f t="shared" si="1"/>
        <v>0</v>
      </c>
      <c r="D39">
        <f t="shared" si="1"/>
        <v>0</v>
      </c>
      <c r="E39">
        <f t="shared" si="1"/>
        <v>0</v>
      </c>
      <c r="F39">
        <f t="shared" si="1"/>
        <v>0</v>
      </c>
      <c r="G39">
        <f t="shared" si="1"/>
        <v>0</v>
      </c>
      <c r="H39">
        <f t="shared" si="1"/>
        <v>0</v>
      </c>
      <c r="I39">
        <f t="shared" si="1"/>
        <v>0</v>
      </c>
      <c r="J39">
        <f t="shared" si="1"/>
        <v>8.3699999999999997E-2</v>
      </c>
      <c r="K39">
        <f t="shared" si="1"/>
        <v>0</v>
      </c>
      <c r="L39">
        <f t="shared" si="1"/>
        <v>0</v>
      </c>
      <c r="M39">
        <f t="shared" si="1"/>
        <v>0</v>
      </c>
    </row>
    <row r="40" spans="1:13" x14ac:dyDescent="0.3">
      <c r="A40" t="s">
        <v>10</v>
      </c>
      <c r="B40">
        <f t="shared" si="1"/>
        <v>0</v>
      </c>
      <c r="C40">
        <f t="shared" si="1"/>
        <v>0</v>
      </c>
      <c r="D40">
        <f t="shared" si="1"/>
        <v>0</v>
      </c>
      <c r="E40">
        <f t="shared" si="1"/>
        <v>0</v>
      </c>
      <c r="F40">
        <f t="shared" si="1"/>
        <v>7.0699999999999999E-2</v>
      </c>
      <c r="G40">
        <f t="shared" si="1"/>
        <v>0</v>
      </c>
      <c r="H40">
        <f t="shared" si="1"/>
        <v>7.0699999999999999E-2</v>
      </c>
      <c r="I40">
        <f t="shared" si="1"/>
        <v>0</v>
      </c>
      <c r="J40">
        <f t="shared" si="1"/>
        <v>0</v>
      </c>
      <c r="K40">
        <f t="shared" si="1"/>
        <v>0</v>
      </c>
      <c r="L40">
        <f t="shared" si="1"/>
        <v>0</v>
      </c>
      <c r="M40">
        <f t="shared" si="1"/>
        <v>0.1673</v>
      </c>
    </row>
    <row r="41" spans="1:13" x14ac:dyDescent="0.3">
      <c r="A41" t="s">
        <v>11</v>
      </c>
      <c r="B41">
        <f t="shared" si="1"/>
        <v>0</v>
      </c>
      <c r="C41">
        <f t="shared" si="1"/>
        <v>0</v>
      </c>
      <c r="D41">
        <f t="shared" si="1"/>
        <v>0</v>
      </c>
      <c r="E41">
        <f t="shared" si="1"/>
        <v>7.0699999999999999E-2</v>
      </c>
      <c r="F41">
        <f t="shared" si="1"/>
        <v>0</v>
      </c>
      <c r="G41">
        <f t="shared" si="1"/>
        <v>0</v>
      </c>
      <c r="H41">
        <f t="shared" si="1"/>
        <v>0</v>
      </c>
      <c r="I41">
        <f t="shared" si="1"/>
        <v>0</v>
      </c>
      <c r="J41">
        <f t="shared" si="1"/>
        <v>0</v>
      </c>
      <c r="K41">
        <f t="shared" si="1"/>
        <v>0</v>
      </c>
      <c r="L41">
        <f t="shared" si="1"/>
        <v>0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0.251</v>
      </c>
      <c r="D44">
        <f t="shared" si="3"/>
        <v>0.251</v>
      </c>
      <c r="E44">
        <f t="shared" si="3"/>
        <v>7.0699999999999999E-2</v>
      </c>
      <c r="F44">
        <f t="shared" si="3"/>
        <v>0</v>
      </c>
      <c r="G44">
        <f t="shared" si="3"/>
        <v>0</v>
      </c>
      <c r="H44">
        <f t="shared" si="3"/>
        <v>0</v>
      </c>
      <c r="I44">
        <f t="shared" si="3"/>
        <v>5.4800000000000001E-2</v>
      </c>
      <c r="J44">
        <f t="shared" si="3"/>
        <v>0.28460000000000002</v>
      </c>
      <c r="K44">
        <f t="shared" si="3"/>
        <v>0</v>
      </c>
      <c r="L44">
        <f t="shared" si="3"/>
        <v>0</v>
      </c>
      <c r="M44">
        <f t="shared" si="3"/>
        <v>5.4800000000000001E-2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3.1600000000000003E-2</v>
      </c>
      <c r="C45">
        <f t="shared" si="4"/>
        <v>0</v>
      </c>
      <c r="D45">
        <f t="shared" si="4"/>
        <v>0.3795</v>
      </c>
      <c r="E45">
        <f t="shared" si="4"/>
        <v>0.3347</v>
      </c>
      <c r="F45">
        <f t="shared" si="4"/>
        <v>0.1673</v>
      </c>
      <c r="G45">
        <f t="shared" si="4"/>
        <v>0.3347</v>
      </c>
      <c r="H45">
        <f t="shared" si="4"/>
        <v>0.3795</v>
      </c>
      <c r="I45">
        <f t="shared" si="4"/>
        <v>0</v>
      </c>
      <c r="J45">
        <f t="shared" si="4"/>
        <v>0.3795</v>
      </c>
      <c r="K45">
        <f t="shared" si="4"/>
        <v>0.3347</v>
      </c>
      <c r="L45">
        <f t="shared" si="4"/>
        <v>0.3347</v>
      </c>
      <c r="M45">
        <f t="shared" si="4"/>
        <v>0.28460000000000002</v>
      </c>
    </row>
    <row r="46" spans="1:13" x14ac:dyDescent="0.3">
      <c r="A46" t="s">
        <v>2</v>
      </c>
      <c r="B46">
        <f t="shared" si="4"/>
        <v>0</v>
      </c>
      <c r="C46">
        <f t="shared" si="4"/>
        <v>0</v>
      </c>
      <c r="D46">
        <f t="shared" si="4"/>
        <v>0</v>
      </c>
      <c r="E46">
        <f t="shared" si="4"/>
        <v>0</v>
      </c>
      <c r="F46">
        <f t="shared" si="4"/>
        <v>5.4800000000000001E-2</v>
      </c>
      <c r="G46">
        <f t="shared" si="4"/>
        <v>0.1414</v>
      </c>
      <c r="H46">
        <f t="shared" si="4"/>
        <v>0.251</v>
      </c>
      <c r="I46">
        <f t="shared" si="4"/>
        <v>7.0699999999999999E-2</v>
      </c>
      <c r="J46">
        <f t="shared" si="4"/>
        <v>0.28460000000000002</v>
      </c>
      <c r="K46">
        <f t="shared" si="4"/>
        <v>0.3795</v>
      </c>
      <c r="L46">
        <f t="shared" si="4"/>
        <v>0.251</v>
      </c>
      <c r="M46">
        <f t="shared" si="4"/>
        <v>0.28460000000000002</v>
      </c>
    </row>
    <row r="47" spans="1:13" x14ac:dyDescent="0.3">
      <c r="A47" t="s">
        <v>3</v>
      </c>
      <c r="B47">
        <f t="shared" si="4"/>
        <v>0</v>
      </c>
      <c r="C47">
        <f t="shared" si="4"/>
        <v>0.1414</v>
      </c>
      <c r="D47">
        <f t="shared" si="4"/>
        <v>0</v>
      </c>
      <c r="E47">
        <f t="shared" si="4"/>
        <v>0</v>
      </c>
      <c r="F47">
        <f t="shared" si="4"/>
        <v>0.251</v>
      </c>
      <c r="G47">
        <f t="shared" si="4"/>
        <v>7.0699999999999999E-2</v>
      </c>
      <c r="H47">
        <f t="shared" si="4"/>
        <v>0.28460000000000002</v>
      </c>
      <c r="I47">
        <f t="shared" si="4"/>
        <v>0.1414</v>
      </c>
      <c r="J47">
        <f t="shared" si="4"/>
        <v>0.251</v>
      </c>
      <c r="K47">
        <f t="shared" si="4"/>
        <v>5.4800000000000001E-2</v>
      </c>
      <c r="L47">
        <f t="shared" si="4"/>
        <v>0.28460000000000002</v>
      </c>
      <c r="M47">
        <f t="shared" si="4"/>
        <v>0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5.4800000000000001E-2</v>
      </c>
      <c r="C48">
        <f t="shared" si="5"/>
        <v>0</v>
      </c>
      <c r="D48">
        <f t="shared" si="5"/>
        <v>0</v>
      </c>
      <c r="E48">
        <f t="shared" si="5"/>
        <v>0.1414</v>
      </c>
      <c r="F48">
        <f t="shared" si="5"/>
        <v>0</v>
      </c>
      <c r="G48">
        <f t="shared" si="5"/>
        <v>0.1673</v>
      </c>
      <c r="H48">
        <f t="shared" si="5"/>
        <v>0</v>
      </c>
      <c r="I48">
        <f t="shared" si="5"/>
        <v>0</v>
      </c>
      <c r="J48">
        <f t="shared" si="5"/>
        <v>0.251</v>
      </c>
      <c r="K48">
        <f t="shared" si="5"/>
        <v>0.28460000000000002</v>
      </c>
      <c r="L48">
        <f t="shared" si="5"/>
        <v>5.4800000000000001E-2</v>
      </c>
      <c r="M48">
        <f t="shared" si="5"/>
        <v>0</v>
      </c>
    </row>
    <row r="49" spans="1:13" x14ac:dyDescent="0.3">
      <c r="A49" t="s">
        <v>5</v>
      </c>
      <c r="B49">
        <f t="shared" si="4"/>
        <v>0</v>
      </c>
      <c r="C49">
        <f t="shared" si="4"/>
        <v>0</v>
      </c>
      <c r="D49">
        <f t="shared" si="4"/>
        <v>0</v>
      </c>
      <c r="E49">
        <f t="shared" si="4"/>
        <v>7.0699999999999999E-2</v>
      </c>
      <c r="F49">
        <f t="shared" si="4"/>
        <v>7.0699999999999999E-2</v>
      </c>
      <c r="G49">
        <f t="shared" si="4"/>
        <v>0</v>
      </c>
      <c r="H49">
        <f t="shared" si="4"/>
        <v>0</v>
      </c>
      <c r="I49">
        <f t="shared" si="4"/>
        <v>5.4800000000000001E-2</v>
      </c>
      <c r="J49">
        <f t="shared" si="4"/>
        <v>0.28460000000000002</v>
      </c>
      <c r="K49">
        <f t="shared" si="4"/>
        <v>0.1414</v>
      </c>
      <c r="L49">
        <f t="shared" si="4"/>
        <v>0</v>
      </c>
      <c r="M49">
        <f t="shared" si="4"/>
        <v>0</v>
      </c>
    </row>
    <row r="50" spans="1:13" x14ac:dyDescent="0.3">
      <c r="A50" t="s">
        <v>6</v>
      </c>
      <c r="B50">
        <f t="shared" si="4"/>
        <v>7.0699999999999999E-2</v>
      </c>
      <c r="C50">
        <f t="shared" si="4"/>
        <v>0</v>
      </c>
      <c r="D50">
        <f t="shared" si="4"/>
        <v>0</v>
      </c>
      <c r="E50">
        <f t="shared" si="4"/>
        <v>7.0699999999999999E-2</v>
      </c>
      <c r="F50">
        <f t="shared" si="4"/>
        <v>5.4800000000000001E-2</v>
      </c>
      <c r="G50">
        <f t="shared" si="4"/>
        <v>0</v>
      </c>
      <c r="H50">
        <f t="shared" si="4"/>
        <v>0</v>
      </c>
      <c r="I50">
        <f t="shared" si="4"/>
        <v>0.1414</v>
      </c>
      <c r="J50">
        <f t="shared" si="4"/>
        <v>7.0699999999999999E-2</v>
      </c>
      <c r="K50">
        <f t="shared" si="4"/>
        <v>7.0699999999999999E-2</v>
      </c>
      <c r="L50">
        <f t="shared" si="4"/>
        <v>8.3699999999999997E-2</v>
      </c>
      <c r="M50">
        <f t="shared" si="4"/>
        <v>7.0699999999999999E-2</v>
      </c>
    </row>
    <row r="51" spans="1:13" x14ac:dyDescent="0.3">
      <c r="A51" t="s">
        <v>7</v>
      </c>
      <c r="B51">
        <f t="shared" si="4"/>
        <v>7.0699999999999999E-2</v>
      </c>
      <c r="C51">
        <f t="shared" si="4"/>
        <v>0</v>
      </c>
      <c r="D51">
        <f t="shared" si="4"/>
        <v>0</v>
      </c>
      <c r="E51">
        <f t="shared" si="4"/>
        <v>0</v>
      </c>
      <c r="F51">
        <f t="shared" si="4"/>
        <v>0</v>
      </c>
      <c r="G51">
        <f t="shared" si="4"/>
        <v>0.1414</v>
      </c>
      <c r="H51">
        <f t="shared" si="4"/>
        <v>0</v>
      </c>
      <c r="I51">
        <f t="shared" si="4"/>
        <v>0</v>
      </c>
      <c r="J51">
        <f t="shared" si="4"/>
        <v>0.28460000000000002</v>
      </c>
      <c r="K51">
        <f t="shared" si="4"/>
        <v>0.28460000000000002</v>
      </c>
      <c r="L51">
        <f t="shared" si="4"/>
        <v>0.3795</v>
      </c>
      <c r="M51">
        <f t="shared" si="4"/>
        <v>0.1673</v>
      </c>
    </row>
    <row r="52" spans="1:13" x14ac:dyDescent="0.3">
      <c r="A52" t="s">
        <v>8</v>
      </c>
      <c r="B52">
        <f t="shared" si="4"/>
        <v>0.1414</v>
      </c>
      <c r="C52">
        <f t="shared" si="4"/>
        <v>0</v>
      </c>
      <c r="D52">
        <f t="shared" si="4"/>
        <v>0</v>
      </c>
      <c r="E52">
        <f t="shared" si="4"/>
        <v>5.4800000000000001E-2</v>
      </c>
      <c r="F52">
        <f t="shared" si="4"/>
        <v>0</v>
      </c>
      <c r="G52">
        <f t="shared" si="4"/>
        <v>7.0699999999999999E-2</v>
      </c>
      <c r="H52">
        <f t="shared" si="4"/>
        <v>0.3347</v>
      </c>
      <c r="I52">
        <f t="shared" si="4"/>
        <v>0</v>
      </c>
      <c r="J52">
        <f t="shared" si="4"/>
        <v>0</v>
      </c>
      <c r="K52">
        <f t="shared" si="4"/>
        <v>0.3347</v>
      </c>
      <c r="L52">
        <f t="shared" si="4"/>
        <v>0.3347</v>
      </c>
      <c r="M52">
        <f t="shared" si="4"/>
        <v>0.3795</v>
      </c>
    </row>
    <row r="53" spans="1:13" x14ac:dyDescent="0.3">
      <c r="A53" t="s">
        <v>9</v>
      </c>
      <c r="B53">
        <f t="shared" si="4"/>
        <v>0</v>
      </c>
      <c r="C53">
        <f t="shared" si="4"/>
        <v>0</v>
      </c>
      <c r="D53">
        <f t="shared" si="4"/>
        <v>7.0699999999999999E-2</v>
      </c>
      <c r="E53">
        <f t="shared" si="4"/>
        <v>0</v>
      </c>
      <c r="F53">
        <f t="shared" si="4"/>
        <v>7.0699999999999999E-2</v>
      </c>
      <c r="G53">
        <f t="shared" si="4"/>
        <v>7.0699999999999999E-2</v>
      </c>
      <c r="H53">
        <f t="shared" si="4"/>
        <v>7.0699999999999999E-2</v>
      </c>
      <c r="I53">
        <f t="shared" si="4"/>
        <v>5.4800000000000001E-2</v>
      </c>
      <c r="J53">
        <f t="shared" si="4"/>
        <v>0.1673</v>
      </c>
      <c r="K53">
        <f t="shared" si="4"/>
        <v>0</v>
      </c>
      <c r="L53">
        <f t="shared" si="4"/>
        <v>7.0699999999999999E-2</v>
      </c>
      <c r="M53">
        <f t="shared" si="4"/>
        <v>0</v>
      </c>
    </row>
    <row r="54" spans="1:13" x14ac:dyDescent="0.3">
      <c r="A54" t="s">
        <v>10</v>
      </c>
      <c r="B54">
        <f t="shared" si="4"/>
        <v>7.0699999999999999E-2</v>
      </c>
      <c r="C54">
        <f t="shared" si="4"/>
        <v>0</v>
      </c>
      <c r="D54">
        <f t="shared" si="4"/>
        <v>0</v>
      </c>
      <c r="E54">
        <f t="shared" si="4"/>
        <v>0</v>
      </c>
      <c r="F54">
        <f t="shared" si="4"/>
        <v>0.1414</v>
      </c>
      <c r="G54">
        <f t="shared" si="4"/>
        <v>7.0699999999999999E-2</v>
      </c>
      <c r="H54">
        <f t="shared" si="4"/>
        <v>0.1414</v>
      </c>
      <c r="I54">
        <f t="shared" si="4"/>
        <v>3.1600000000000003E-2</v>
      </c>
      <c r="J54">
        <f t="shared" si="4"/>
        <v>0</v>
      </c>
      <c r="K54">
        <f t="shared" si="4"/>
        <v>5.4800000000000001E-2</v>
      </c>
      <c r="L54">
        <f t="shared" si="4"/>
        <v>0</v>
      </c>
      <c r="M54">
        <f t="shared" si="4"/>
        <v>0.251</v>
      </c>
    </row>
    <row r="55" spans="1:13" x14ac:dyDescent="0.3">
      <c r="A55" t="s">
        <v>11</v>
      </c>
      <c r="B55">
        <f t="shared" si="4"/>
        <v>0</v>
      </c>
      <c r="C55">
        <f t="shared" si="4"/>
        <v>0</v>
      </c>
      <c r="D55">
        <f t="shared" si="4"/>
        <v>0</v>
      </c>
      <c r="E55">
        <f t="shared" si="4"/>
        <v>0.1414</v>
      </c>
      <c r="F55">
        <f t="shared" si="4"/>
        <v>0</v>
      </c>
      <c r="G55">
        <f t="shared" si="4"/>
        <v>0</v>
      </c>
      <c r="H55">
        <f t="shared" si="4"/>
        <v>0</v>
      </c>
      <c r="I55">
        <f t="shared" si="4"/>
        <v>0</v>
      </c>
      <c r="J55">
        <f t="shared" si="4"/>
        <v>0</v>
      </c>
      <c r="K55">
        <f t="shared" si="4"/>
        <v>3.1600000000000003E-2</v>
      </c>
      <c r="L55">
        <f t="shared" si="4"/>
        <v>5.4800000000000001E-2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0.3347</v>
      </c>
      <c r="D58">
        <f t="shared" si="6"/>
        <v>0.3347</v>
      </c>
      <c r="E58">
        <f t="shared" si="6"/>
        <v>0.1414</v>
      </c>
      <c r="F58">
        <f t="shared" si="6"/>
        <v>5.4800000000000001E-2</v>
      </c>
      <c r="G58">
        <f t="shared" si="6"/>
        <v>5.4800000000000001E-2</v>
      </c>
      <c r="H58">
        <f t="shared" si="6"/>
        <v>7.0699999999999999E-2</v>
      </c>
      <c r="I58">
        <f t="shared" si="6"/>
        <v>0.1095</v>
      </c>
      <c r="J58">
        <f t="shared" si="6"/>
        <v>0.3795</v>
      </c>
      <c r="K58">
        <f t="shared" si="6"/>
        <v>7.0699999999999999E-2</v>
      </c>
      <c r="L58">
        <f t="shared" si="6"/>
        <v>7.0699999999999999E-2</v>
      </c>
      <c r="M58">
        <f t="shared" si="6"/>
        <v>0.1095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6.3200000000000006E-2</v>
      </c>
      <c r="C59">
        <f t="shared" si="7"/>
        <v>0</v>
      </c>
      <c r="D59">
        <f t="shared" si="7"/>
        <v>0.3795</v>
      </c>
      <c r="E59">
        <f t="shared" si="7"/>
        <v>0.3347</v>
      </c>
      <c r="F59">
        <f t="shared" si="7"/>
        <v>0.251</v>
      </c>
      <c r="G59">
        <f t="shared" si="7"/>
        <v>0.3347</v>
      </c>
      <c r="H59">
        <f t="shared" si="7"/>
        <v>0.3795</v>
      </c>
      <c r="I59">
        <f t="shared" si="7"/>
        <v>7.0699999999999999E-2</v>
      </c>
      <c r="J59">
        <f t="shared" si="7"/>
        <v>0.3795</v>
      </c>
      <c r="K59">
        <f t="shared" si="7"/>
        <v>0.3347</v>
      </c>
      <c r="L59">
        <f t="shared" si="7"/>
        <v>0.3347</v>
      </c>
      <c r="M59">
        <f t="shared" si="7"/>
        <v>0.3795</v>
      </c>
    </row>
    <row r="60" spans="1:13" x14ac:dyDescent="0.3">
      <c r="A60" t="s">
        <v>2</v>
      </c>
      <c r="B60">
        <f t="shared" si="7"/>
        <v>7.0699999999999999E-2</v>
      </c>
      <c r="C60">
        <f t="shared" si="7"/>
        <v>5.4800000000000001E-2</v>
      </c>
      <c r="D60">
        <f t="shared" si="7"/>
        <v>0</v>
      </c>
      <c r="E60">
        <f t="shared" si="7"/>
        <v>5.4800000000000001E-2</v>
      </c>
      <c r="F60">
        <f t="shared" si="7"/>
        <v>0.1095</v>
      </c>
      <c r="G60">
        <f t="shared" si="7"/>
        <v>0.21210000000000001</v>
      </c>
      <c r="H60">
        <f t="shared" si="7"/>
        <v>0.3347</v>
      </c>
      <c r="I60">
        <f t="shared" si="7"/>
        <v>0.1414</v>
      </c>
      <c r="J60">
        <f t="shared" si="7"/>
        <v>0.3795</v>
      </c>
      <c r="K60">
        <f t="shared" si="7"/>
        <v>0.3795</v>
      </c>
      <c r="L60">
        <f t="shared" si="7"/>
        <v>0.3347</v>
      </c>
      <c r="M60">
        <f t="shared" si="7"/>
        <v>0.3795</v>
      </c>
    </row>
    <row r="61" spans="1:13" x14ac:dyDescent="0.3">
      <c r="A61" t="s">
        <v>3</v>
      </c>
      <c r="B61">
        <f t="shared" si="7"/>
        <v>5.4800000000000001E-2</v>
      </c>
      <c r="C61">
        <f t="shared" si="7"/>
        <v>0.21210000000000001</v>
      </c>
      <c r="D61">
        <f t="shared" si="7"/>
        <v>7.0699999999999999E-2</v>
      </c>
      <c r="E61">
        <f t="shared" si="7"/>
        <v>0</v>
      </c>
      <c r="F61">
        <f t="shared" si="7"/>
        <v>0.3347</v>
      </c>
      <c r="G61">
        <f t="shared" si="7"/>
        <v>0.1414</v>
      </c>
      <c r="H61">
        <f t="shared" si="7"/>
        <v>0.3795</v>
      </c>
      <c r="I61">
        <f t="shared" si="7"/>
        <v>0.21210000000000001</v>
      </c>
      <c r="J61">
        <f t="shared" si="7"/>
        <v>0.3347</v>
      </c>
      <c r="K61">
        <f t="shared" si="7"/>
        <v>0.1095</v>
      </c>
      <c r="L61">
        <f t="shared" si="7"/>
        <v>0.3795</v>
      </c>
      <c r="M61">
        <f t="shared" si="7"/>
        <v>5.4800000000000001E-2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0.1095</v>
      </c>
      <c r="C62">
        <f t="shared" si="8"/>
        <v>7.0699999999999999E-2</v>
      </c>
      <c r="D62">
        <f t="shared" si="8"/>
        <v>8.3699999999999997E-2</v>
      </c>
      <c r="E62">
        <f t="shared" si="8"/>
        <v>0.21210000000000001</v>
      </c>
      <c r="F62">
        <f t="shared" si="8"/>
        <v>0</v>
      </c>
      <c r="G62">
        <f t="shared" si="8"/>
        <v>0.251</v>
      </c>
      <c r="H62">
        <f t="shared" si="8"/>
        <v>3.1600000000000003E-2</v>
      </c>
      <c r="I62">
        <f t="shared" si="8"/>
        <v>7.0699999999999999E-2</v>
      </c>
      <c r="J62">
        <f t="shared" si="8"/>
        <v>0.3347</v>
      </c>
      <c r="K62">
        <f t="shared" si="8"/>
        <v>0.3795</v>
      </c>
      <c r="L62">
        <f t="shared" si="8"/>
        <v>0.1095</v>
      </c>
      <c r="M62">
        <f t="shared" si="8"/>
        <v>7.0699999999999999E-2</v>
      </c>
    </row>
    <row r="63" spans="1:13" x14ac:dyDescent="0.3">
      <c r="A63" t="s">
        <v>5</v>
      </c>
      <c r="B63">
        <f t="shared" si="7"/>
        <v>7.0699999999999999E-2</v>
      </c>
      <c r="C63">
        <f t="shared" si="7"/>
        <v>7.0699999999999999E-2</v>
      </c>
      <c r="D63">
        <f t="shared" si="7"/>
        <v>8.3699999999999997E-2</v>
      </c>
      <c r="E63">
        <f t="shared" si="7"/>
        <v>0.1414</v>
      </c>
      <c r="F63">
        <f t="shared" si="7"/>
        <v>0.1414</v>
      </c>
      <c r="G63">
        <f t="shared" si="7"/>
        <v>0</v>
      </c>
      <c r="H63">
        <f t="shared" si="7"/>
        <v>8.3699999999999997E-2</v>
      </c>
      <c r="I63">
        <f t="shared" si="7"/>
        <v>0.1095</v>
      </c>
      <c r="J63">
        <f t="shared" si="7"/>
        <v>0.3795</v>
      </c>
      <c r="K63">
        <f t="shared" si="7"/>
        <v>0.21210000000000001</v>
      </c>
      <c r="L63">
        <f t="shared" si="7"/>
        <v>7.0699999999999999E-2</v>
      </c>
      <c r="M63">
        <f t="shared" si="7"/>
        <v>7.0699999999999999E-2</v>
      </c>
    </row>
    <row r="64" spans="1:13" x14ac:dyDescent="0.3">
      <c r="A64" t="s">
        <v>6</v>
      </c>
      <c r="B64">
        <f t="shared" si="7"/>
        <v>0.1414</v>
      </c>
      <c r="C64">
        <f t="shared" si="7"/>
        <v>5.4800000000000001E-2</v>
      </c>
      <c r="D64">
        <f t="shared" si="7"/>
        <v>5.4800000000000001E-2</v>
      </c>
      <c r="E64">
        <f t="shared" si="7"/>
        <v>0.1414</v>
      </c>
      <c r="F64">
        <f t="shared" si="7"/>
        <v>0.1095</v>
      </c>
      <c r="G64">
        <f t="shared" si="7"/>
        <v>7.0699999999999999E-2</v>
      </c>
      <c r="H64">
        <f t="shared" si="7"/>
        <v>0</v>
      </c>
      <c r="I64">
        <f t="shared" si="7"/>
        <v>0.21210000000000001</v>
      </c>
      <c r="J64">
        <f t="shared" si="7"/>
        <v>0.1414</v>
      </c>
      <c r="K64">
        <f t="shared" si="7"/>
        <v>0.1414</v>
      </c>
      <c r="L64">
        <f t="shared" si="7"/>
        <v>0.1673</v>
      </c>
      <c r="M64">
        <f t="shared" si="7"/>
        <v>0.1414</v>
      </c>
    </row>
    <row r="65" spans="1:13" x14ac:dyDescent="0.3">
      <c r="A65" t="s">
        <v>7</v>
      </c>
      <c r="B65">
        <f t="shared" si="7"/>
        <v>0.1414</v>
      </c>
      <c r="C65">
        <f t="shared" si="7"/>
        <v>5.4800000000000001E-2</v>
      </c>
      <c r="D65">
        <f t="shared" si="7"/>
        <v>3.1600000000000003E-2</v>
      </c>
      <c r="E65">
        <f t="shared" si="7"/>
        <v>7.0699999999999999E-2</v>
      </c>
      <c r="F65">
        <f t="shared" si="7"/>
        <v>7.0699999999999999E-2</v>
      </c>
      <c r="G65">
        <f t="shared" si="7"/>
        <v>0.21210000000000001</v>
      </c>
      <c r="H65">
        <f t="shared" si="7"/>
        <v>7.0699999999999999E-2</v>
      </c>
      <c r="I65">
        <f t="shared" si="7"/>
        <v>0</v>
      </c>
      <c r="J65">
        <f t="shared" si="7"/>
        <v>0.3795</v>
      </c>
      <c r="K65">
        <f t="shared" si="7"/>
        <v>0.3795</v>
      </c>
      <c r="L65">
        <f t="shared" si="7"/>
        <v>0.3795</v>
      </c>
      <c r="M65">
        <f t="shared" si="7"/>
        <v>0.251</v>
      </c>
    </row>
    <row r="66" spans="1:13" x14ac:dyDescent="0.3">
      <c r="A66" t="s">
        <v>8</v>
      </c>
      <c r="B66">
        <f t="shared" si="7"/>
        <v>0.21210000000000001</v>
      </c>
      <c r="C66">
        <f t="shared" si="7"/>
        <v>5.4800000000000001E-2</v>
      </c>
      <c r="D66">
        <f t="shared" si="7"/>
        <v>7.0699999999999999E-2</v>
      </c>
      <c r="E66">
        <f t="shared" si="7"/>
        <v>0.1095</v>
      </c>
      <c r="F66">
        <f t="shared" si="7"/>
        <v>7.0699999999999999E-2</v>
      </c>
      <c r="G66">
        <f t="shared" si="7"/>
        <v>0.1414</v>
      </c>
      <c r="H66">
        <f t="shared" si="7"/>
        <v>0.3347</v>
      </c>
      <c r="I66">
        <f t="shared" si="7"/>
        <v>7.0699999999999999E-2</v>
      </c>
      <c r="J66">
        <f t="shared" si="7"/>
        <v>0</v>
      </c>
      <c r="K66">
        <f t="shared" si="7"/>
        <v>0.3347</v>
      </c>
      <c r="L66">
        <f t="shared" si="7"/>
        <v>0.3347</v>
      </c>
      <c r="M66">
        <f t="shared" si="7"/>
        <v>0.3795</v>
      </c>
    </row>
    <row r="67" spans="1:13" x14ac:dyDescent="0.3">
      <c r="A67" t="s">
        <v>9</v>
      </c>
      <c r="B67">
        <f t="shared" si="7"/>
        <v>3.1600000000000003E-2</v>
      </c>
      <c r="C67">
        <f t="shared" si="7"/>
        <v>7.0699999999999999E-2</v>
      </c>
      <c r="D67">
        <f t="shared" si="7"/>
        <v>0.1414</v>
      </c>
      <c r="E67">
        <f t="shared" si="7"/>
        <v>3.1600000000000003E-2</v>
      </c>
      <c r="F67">
        <f t="shared" si="7"/>
        <v>0.1414</v>
      </c>
      <c r="G67">
        <f t="shared" si="7"/>
        <v>0.1414</v>
      </c>
      <c r="H67">
        <f t="shared" si="7"/>
        <v>0.1414</v>
      </c>
      <c r="I67">
        <f t="shared" si="7"/>
        <v>0.1095</v>
      </c>
      <c r="J67">
        <f t="shared" si="7"/>
        <v>0.251</v>
      </c>
      <c r="K67">
        <f t="shared" si="7"/>
        <v>0</v>
      </c>
      <c r="L67">
        <f t="shared" si="7"/>
        <v>0.1414</v>
      </c>
      <c r="M67">
        <f t="shared" si="7"/>
        <v>5.4800000000000001E-2</v>
      </c>
    </row>
    <row r="68" spans="1:13" x14ac:dyDescent="0.3">
      <c r="A68" t="s">
        <v>10</v>
      </c>
      <c r="B68">
        <f t="shared" si="7"/>
        <v>0.1414</v>
      </c>
      <c r="C68">
        <f t="shared" si="7"/>
        <v>5.4800000000000001E-2</v>
      </c>
      <c r="D68">
        <f t="shared" si="7"/>
        <v>5.4800000000000001E-2</v>
      </c>
      <c r="E68">
        <f t="shared" si="7"/>
        <v>7.0699999999999999E-2</v>
      </c>
      <c r="F68">
        <f t="shared" si="7"/>
        <v>0.21210000000000001</v>
      </c>
      <c r="G68">
        <f t="shared" si="7"/>
        <v>0.1414</v>
      </c>
      <c r="H68">
        <f t="shared" si="7"/>
        <v>0.21210000000000001</v>
      </c>
      <c r="I68">
        <f t="shared" si="7"/>
        <v>6.3200000000000006E-2</v>
      </c>
      <c r="J68">
        <f t="shared" si="7"/>
        <v>7.0699999999999999E-2</v>
      </c>
      <c r="K68">
        <f t="shared" si="7"/>
        <v>0.1095</v>
      </c>
      <c r="L68">
        <f t="shared" si="7"/>
        <v>0</v>
      </c>
      <c r="M68">
        <f t="shared" si="7"/>
        <v>0.3347</v>
      </c>
    </row>
    <row r="69" spans="1:13" x14ac:dyDescent="0.3">
      <c r="A69" t="s">
        <v>11</v>
      </c>
      <c r="B69">
        <f t="shared" si="7"/>
        <v>5.4800000000000001E-2</v>
      </c>
      <c r="C69">
        <f t="shared" si="7"/>
        <v>7.0699999999999999E-2</v>
      </c>
      <c r="D69">
        <f t="shared" si="7"/>
        <v>5.4800000000000001E-2</v>
      </c>
      <c r="E69">
        <f t="shared" si="7"/>
        <v>0.21210000000000001</v>
      </c>
      <c r="F69">
        <f t="shared" si="7"/>
        <v>7.0699999999999999E-2</v>
      </c>
      <c r="G69">
        <f t="shared" si="7"/>
        <v>5.4800000000000001E-2</v>
      </c>
      <c r="H69">
        <f t="shared" si="7"/>
        <v>7.0699999999999999E-2</v>
      </c>
      <c r="I69">
        <f t="shared" si="7"/>
        <v>8.3699999999999997E-2</v>
      </c>
      <c r="J69">
        <f t="shared" si="7"/>
        <v>7.0699999999999999E-2</v>
      </c>
      <c r="K69">
        <f t="shared" si="7"/>
        <v>6.3200000000000006E-2</v>
      </c>
      <c r="L69">
        <f t="shared" si="7"/>
        <v>0.1095</v>
      </c>
      <c r="M69">
        <f t="shared" si="7"/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2"/>
  <dimension ref="A1:M69"/>
  <sheetViews>
    <sheetView workbookViewId="0">
      <selection activeCell="A15" sqref="A15:M69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12</v>
      </c>
      <c r="D2" t="s">
        <v>12</v>
      </c>
      <c r="E2" t="s">
        <v>20</v>
      </c>
      <c r="F2" t="s">
        <v>12</v>
      </c>
      <c r="G2" t="s">
        <v>16</v>
      </c>
      <c r="H2" t="s">
        <v>71</v>
      </c>
      <c r="I2" t="s">
        <v>16</v>
      </c>
      <c r="J2" t="s">
        <v>13</v>
      </c>
      <c r="K2" t="s">
        <v>20</v>
      </c>
      <c r="L2" t="s">
        <v>23</v>
      </c>
      <c r="M2" t="s">
        <v>20</v>
      </c>
    </row>
    <row r="3" spans="1:13" x14ac:dyDescent="0.3">
      <c r="A3" s="1" t="s">
        <v>1</v>
      </c>
      <c r="B3" t="s">
        <v>20</v>
      </c>
      <c r="C3">
        <v>0</v>
      </c>
      <c r="D3" t="s">
        <v>18</v>
      </c>
      <c r="E3" t="s">
        <v>18</v>
      </c>
      <c r="F3" t="s">
        <v>21</v>
      </c>
      <c r="G3" t="s">
        <v>13</v>
      </c>
      <c r="H3" t="s">
        <v>25</v>
      </c>
      <c r="I3" t="s">
        <v>15</v>
      </c>
      <c r="J3" t="s">
        <v>62</v>
      </c>
      <c r="K3" t="s">
        <v>25</v>
      </c>
      <c r="L3" t="s">
        <v>17</v>
      </c>
      <c r="M3" t="s">
        <v>12</v>
      </c>
    </row>
    <row r="4" spans="1:13" x14ac:dyDescent="0.3">
      <c r="A4" s="1" t="s">
        <v>2</v>
      </c>
      <c r="B4" t="s">
        <v>20</v>
      </c>
      <c r="C4" t="s">
        <v>16</v>
      </c>
      <c r="D4">
        <v>0</v>
      </c>
      <c r="E4" t="s">
        <v>22</v>
      </c>
      <c r="F4" t="s">
        <v>15</v>
      </c>
      <c r="G4" t="s">
        <v>16</v>
      </c>
      <c r="H4" t="s">
        <v>20</v>
      </c>
      <c r="I4" t="s">
        <v>16</v>
      </c>
      <c r="J4" t="s">
        <v>13</v>
      </c>
      <c r="K4" t="s">
        <v>18</v>
      </c>
      <c r="L4" t="s">
        <v>13</v>
      </c>
      <c r="M4" t="s">
        <v>13</v>
      </c>
    </row>
    <row r="5" spans="1:13" x14ac:dyDescent="0.3">
      <c r="A5" s="1" t="s">
        <v>3</v>
      </c>
      <c r="B5" t="s">
        <v>24</v>
      </c>
      <c r="C5" t="s">
        <v>16</v>
      </c>
      <c r="D5" t="s">
        <v>20</v>
      </c>
      <c r="E5">
        <v>0</v>
      </c>
      <c r="F5" t="s">
        <v>21</v>
      </c>
      <c r="G5" t="s">
        <v>24</v>
      </c>
      <c r="H5" t="s">
        <v>12</v>
      </c>
      <c r="I5" t="s">
        <v>62</v>
      </c>
      <c r="J5" t="s">
        <v>25</v>
      </c>
      <c r="K5" t="s">
        <v>15</v>
      </c>
      <c r="L5" t="s">
        <v>12</v>
      </c>
      <c r="M5" t="s">
        <v>13</v>
      </c>
    </row>
    <row r="6" spans="1:13" x14ac:dyDescent="0.3">
      <c r="A6" s="1" t="s">
        <v>4</v>
      </c>
      <c r="B6" t="s">
        <v>15</v>
      </c>
      <c r="C6" t="s">
        <v>15</v>
      </c>
      <c r="D6" t="s">
        <v>16</v>
      </c>
      <c r="E6" t="s">
        <v>15</v>
      </c>
      <c r="F6">
        <v>0</v>
      </c>
      <c r="G6" t="s">
        <v>21</v>
      </c>
      <c r="H6" t="s">
        <v>17</v>
      </c>
      <c r="I6" t="s">
        <v>20</v>
      </c>
      <c r="J6" t="s">
        <v>13</v>
      </c>
      <c r="K6" t="s">
        <v>13</v>
      </c>
      <c r="L6" t="s">
        <v>24</v>
      </c>
      <c r="M6" t="s">
        <v>22</v>
      </c>
    </row>
    <row r="7" spans="1:13" x14ac:dyDescent="0.3">
      <c r="A7" s="1" t="s">
        <v>5</v>
      </c>
      <c r="B7" t="s">
        <v>16</v>
      </c>
      <c r="C7" t="s">
        <v>15</v>
      </c>
      <c r="D7" t="s">
        <v>15</v>
      </c>
      <c r="E7" t="s">
        <v>16</v>
      </c>
      <c r="F7" t="s">
        <v>16</v>
      </c>
      <c r="G7">
        <v>0</v>
      </c>
      <c r="H7" t="s">
        <v>15</v>
      </c>
      <c r="I7" t="s">
        <v>16</v>
      </c>
      <c r="J7" t="s">
        <v>18</v>
      </c>
      <c r="K7" t="s">
        <v>24</v>
      </c>
      <c r="L7" t="s">
        <v>16</v>
      </c>
      <c r="M7" t="s">
        <v>15</v>
      </c>
    </row>
    <row r="8" spans="1:13" x14ac:dyDescent="0.3">
      <c r="A8" s="1" t="s">
        <v>6</v>
      </c>
      <c r="B8" t="s">
        <v>17</v>
      </c>
      <c r="C8" t="s">
        <v>16</v>
      </c>
      <c r="D8" t="s">
        <v>17</v>
      </c>
      <c r="E8" t="s">
        <v>20</v>
      </c>
      <c r="F8" t="s">
        <v>15</v>
      </c>
      <c r="G8" t="s">
        <v>22</v>
      </c>
      <c r="H8">
        <v>0</v>
      </c>
      <c r="I8" t="s">
        <v>22</v>
      </c>
      <c r="J8" t="s">
        <v>16</v>
      </c>
      <c r="K8" t="s">
        <v>15</v>
      </c>
      <c r="L8" t="s">
        <v>15</v>
      </c>
      <c r="M8" t="s">
        <v>15</v>
      </c>
    </row>
    <row r="9" spans="1:13" x14ac:dyDescent="0.3">
      <c r="A9" s="1" t="s">
        <v>7</v>
      </c>
      <c r="B9" t="s">
        <v>16</v>
      </c>
      <c r="C9" t="s">
        <v>15</v>
      </c>
      <c r="D9" t="s">
        <v>24</v>
      </c>
      <c r="E9" t="s">
        <v>22</v>
      </c>
      <c r="F9" t="s">
        <v>23</v>
      </c>
      <c r="G9" t="s">
        <v>16</v>
      </c>
      <c r="H9" t="s">
        <v>16</v>
      </c>
      <c r="I9">
        <v>0</v>
      </c>
      <c r="J9" t="s">
        <v>15</v>
      </c>
      <c r="K9" t="s">
        <v>25</v>
      </c>
      <c r="L9" t="s">
        <v>12</v>
      </c>
      <c r="M9" t="s">
        <v>21</v>
      </c>
    </row>
    <row r="10" spans="1:13" x14ac:dyDescent="0.3">
      <c r="A10" s="1" t="s">
        <v>8</v>
      </c>
      <c r="B10" t="s">
        <v>12</v>
      </c>
      <c r="C10" t="s">
        <v>24</v>
      </c>
      <c r="D10" t="s">
        <v>16</v>
      </c>
      <c r="E10" t="s">
        <v>17</v>
      </c>
      <c r="F10" t="s">
        <v>23</v>
      </c>
      <c r="G10" t="s">
        <v>16</v>
      </c>
      <c r="H10" t="s">
        <v>13</v>
      </c>
      <c r="I10" t="s">
        <v>23</v>
      </c>
      <c r="J10">
        <v>0</v>
      </c>
      <c r="K10" t="s">
        <v>18</v>
      </c>
      <c r="L10" t="s">
        <v>25</v>
      </c>
      <c r="M10" t="s">
        <v>13</v>
      </c>
    </row>
    <row r="11" spans="1:13" x14ac:dyDescent="0.3">
      <c r="A11" s="1" t="s">
        <v>9</v>
      </c>
      <c r="B11" t="s">
        <v>16</v>
      </c>
      <c r="C11" t="s">
        <v>15</v>
      </c>
      <c r="D11" t="s">
        <v>20</v>
      </c>
      <c r="E11" t="s">
        <v>22</v>
      </c>
      <c r="F11" t="s">
        <v>16</v>
      </c>
      <c r="G11" t="s">
        <v>21</v>
      </c>
      <c r="H11" t="s">
        <v>16</v>
      </c>
      <c r="I11" t="s">
        <v>17</v>
      </c>
      <c r="J11" t="s">
        <v>22</v>
      </c>
      <c r="K11">
        <v>0</v>
      </c>
      <c r="L11" t="s">
        <v>15</v>
      </c>
      <c r="M11" t="s">
        <v>21</v>
      </c>
    </row>
    <row r="12" spans="1:13" x14ac:dyDescent="0.3">
      <c r="A12" s="1" t="s">
        <v>10</v>
      </c>
      <c r="B12" t="s">
        <v>24</v>
      </c>
      <c r="C12" t="s">
        <v>20</v>
      </c>
      <c r="D12" t="s">
        <v>15</v>
      </c>
      <c r="E12" t="s">
        <v>16</v>
      </c>
      <c r="F12" t="s">
        <v>15</v>
      </c>
      <c r="G12" t="s">
        <v>16</v>
      </c>
      <c r="H12" t="s">
        <v>24</v>
      </c>
      <c r="I12" t="s">
        <v>16</v>
      </c>
      <c r="J12" t="s">
        <v>24</v>
      </c>
      <c r="K12" t="s">
        <v>16</v>
      </c>
      <c r="L12">
        <v>0</v>
      </c>
      <c r="M12" t="s">
        <v>18</v>
      </c>
    </row>
    <row r="13" spans="1:13" x14ac:dyDescent="0.3">
      <c r="A13" s="1" t="s">
        <v>11</v>
      </c>
      <c r="B13" t="s">
        <v>24</v>
      </c>
      <c r="C13" t="s">
        <v>16</v>
      </c>
      <c r="D13" t="s">
        <v>15</v>
      </c>
      <c r="E13" t="s">
        <v>21</v>
      </c>
      <c r="F13" t="s">
        <v>16</v>
      </c>
      <c r="G13" t="s">
        <v>20</v>
      </c>
      <c r="H13" t="s">
        <v>20</v>
      </c>
      <c r="I13" t="s">
        <v>20</v>
      </c>
      <c r="J13" t="s">
        <v>17</v>
      </c>
      <c r="K13" t="s">
        <v>24</v>
      </c>
      <c r="L13" t="s">
        <v>62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(0,1673; 0,251; 0,3347)</v>
      </c>
      <c r="D16" t="str">
        <f>VLOOKUP(D2,'Thang đánh giá'!$C$2:$D$27,2,FALSE)</f>
        <v>(0,1673; 0,251; 0,3347)</v>
      </c>
      <c r="E16" t="str">
        <f>VLOOKUP(E2,'Thang đánh giá'!$C$2:$D$27,2,FALSE)</f>
        <v>(0; 0,0548; 0,1095)</v>
      </c>
      <c r="F16" t="str">
        <f>VLOOKUP(F2,'Thang đánh giá'!$C$2:$D$27,2,FALSE)</f>
        <v>(0,1673; 0,251; 0,3347)</v>
      </c>
      <c r="G16" t="str">
        <f>VLOOKUP(G2,'Thang đánh giá'!$C$2:$D$27,2,FALSE)</f>
        <v>(0; 0; 0,0707)</v>
      </c>
      <c r="H16" t="str">
        <f>VLOOKUP(H2,'Thang đánh giá'!$C$2:$D$27,2,FALSE)</f>
        <v>(0; 0; 0,0837)</v>
      </c>
      <c r="I16" t="str">
        <f>VLOOKUP(I2,'Thang đánh giá'!$C$2:$D$27,2,FALSE)</f>
        <v>(0; 0; 0,0707)</v>
      </c>
      <c r="J16" t="str">
        <f>VLOOKUP(J2,'Thang đánh giá'!$C$2:$D$27,2,FALSE)</f>
        <v>(0,1897; 0,2846; 0,3795)</v>
      </c>
      <c r="K16" t="str">
        <f>VLOOKUP(K2,'Thang đánh giá'!$C$2:$D$27,2,FALSE)</f>
        <v>(0; 0,0548; 0,1095)</v>
      </c>
      <c r="L16" t="str">
        <f>VLOOKUP(L2,'Thang đánh giá'!$C$2:$D$27,2,FALSE)</f>
        <v>(0; 0; 0,0316)</v>
      </c>
      <c r="M16" t="str">
        <f>VLOOKUP(M2,'Thang đánh giá'!$C$2:$D$27,2,FALSE)</f>
        <v>(0; 0,0548; 0,1095)</v>
      </c>
    </row>
    <row r="17" spans="1:13" x14ac:dyDescent="0.3">
      <c r="A17" t="s">
        <v>1</v>
      </c>
      <c r="B17" t="str">
        <f>VLOOKUP(B3,'Thang đánh giá'!$C$2:$D$27,2,FALSE)</f>
        <v>(0; 0,0548; 0,1095)</v>
      </c>
      <c r="C17" t="str">
        <f>VLOOKUP(C3,'Thang đánh giá'!$C$2:$D$27,2,FALSE)</f>
        <v>(0; 0; 0)</v>
      </c>
      <c r="D17" t="str">
        <f>VLOOKUP(D3,'Thang đánh giá'!$C$2:$D$27,2,FALSE)</f>
        <v>(0,2846; 0,3795; 0,3795)</v>
      </c>
      <c r="E17" t="str">
        <f>VLOOKUP(E3,'Thang đánh giá'!$C$2:$D$27,2,FALSE)</f>
        <v>(0,2846; 0,3795; 0,3795)</v>
      </c>
      <c r="F17" t="str">
        <f>VLOOKUP(F3,'Thang đánh giá'!$C$2:$D$27,2,FALSE)</f>
        <v>(0,0837; 0,1673; 0,251)</v>
      </c>
      <c r="G17" t="str">
        <f>VLOOKUP(G3,'Thang đánh giá'!$C$2:$D$27,2,FALSE)</f>
        <v>(0,1897; 0,2846; 0,3795)</v>
      </c>
      <c r="H17" t="str">
        <f>VLOOKUP(H3,'Thang đánh giá'!$C$2:$D$27,2,FALSE)</f>
        <v>(0,251; 0,3347; 0,3347)</v>
      </c>
      <c r="I17" t="str">
        <f>VLOOKUP(I3,'Thang đánh giá'!$C$2:$D$27,2,FALSE)</f>
        <v>(0; 0,0707; 0,1414)</v>
      </c>
      <c r="J17" t="str">
        <f>VLOOKUP(J3,'Thang đánh giá'!$C$2:$D$27,2,FALSE)</f>
        <v>(0; 0,0837; 0,1673)</v>
      </c>
      <c r="K17" t="str">
        <f>VLOOKUP(K3,'Thang đánh giá'!$C$2:$D$27,2,FALSE)</f>
        <v>(0,251; 0,3347; 0,3347)</v>
      </c>
      <c r="L17" t="str">
        <f>VLOOKUP(L3,'Thang đánh giá'!$C$2:$D$27,2,FALSE)</f>
        <v>(0; 0,0316; 0,0632)</v>
      </c>
      <c r="M17" t="str">
        <f>VLOOKUP(M3,'Thang đánh giá'!$C$2:$D$27,2,FALSE)</f>
        <v>(0,1673; 0,251; 0,3347)</v>
      </c>
    </row>
    <row r="18" spans="1:13" x14ac:dyDescent="0.3">
      <c r="A18" t="s">
        <v>2</v>
      </c>
      <c r="B18" t="str">
        <f>VLOOKUP(B4,'Thang đánh giá'!$C$2:$D$27,2,FALSE)</f>
        <v>(0; 0,0548; 0,1095)</v>
      </c>
      <c r="C18" t="str">
        <f>VLOOKUP(C4,'Thang đánh giá'!$C$2:$D$27,2,FALSE)</f>
        <v>(0; 0; 0,0707)</v>
      </c>
      <c r="D18" t="str">
        <f>VLOOKUP(D4,'Thang đánh giá'!$C$2:$D$27,2,FALSE)</f>
        <v>(0; 0; 0)</v>
      </c>
      <c r="E18" t="str">
        <f>VLOOKUP(E4,'Thang đánh giá'!$C$2:$D$27,2,FALSE)</f>
        <v>(0,0707; 0,1414; 0,2121)</v>
      </c>
      <c r="F18" t="str">
        <f>VLOOKUP(F4,'Thang đánh giá'!$C$2:$D$27,2,FALSE)</f>
        <v>(0; 0,0707; 0,1414)</v>
      </c>
      <c r="G18" t="str">
        <f>VLOOKUP(G4,'Thang đánh giá'!$C$2:$D$27,2,FALSE)</f>
        <v>(0; 0; 0,0707)</v>
      </c>
      <c r="H18" t="str">
        <f>VLOOKUP(H4,'Thang đánh giá'!$C$2:$D$27,2,FALSE)</f>
        <v>(0; 0,0548; 0,1095)</v>
      </c>
      <c r="I18" t="str">
        <f>VLOOKUP(I4,'Thang đánh giá'!$C$2:$D$27,2,FALSE)</f>
        <v>(0; 0; 0,0707)</v>
      </c>
      <c r="J18" t="str">
        <f>VLOOKUP(J4,'Thang đánh giá'!$C$2:$D$27,2,FALSE)</f>
        <v>(0,1897; 0,2846; 0,3795)</v>
      </c>
      <c r="K18" t="str">
        <f>VLOOKUP(K4,'Thang đánh giá'!$C$2:$D$27,2,FALSE)</f>
        <v>(0,2846; 0,3795; 0,3795)</v>
      </c>
      <c r="L18" t="str">
        <f>VLOOKUP(L4,'Thang đánh giá'!$C$2:$D$27,2,FALSE)</f>
        <v>(0,1897; 0,2846; 0,3795)</v>
      </c>
      <c r="M18" t="str">
        <f>VLOOKUP(M4,'Thang đánh giá'!$C$2:$D$27,2,FALSE)</f>
        <v>(0,1897; 0,2846; 0,3795)</v>
      </c>
    </row>
    <row r="19" spans="1:13" x14ac:dyDescent="0.3">
      <c r="A19" t="s">
        <v>3</v>
      </c>
      <c r="B19" t="str">
        <f>VLOOKUP(B5,'Thang đánh giá'!$C$2:$D$27,2,FALSE)</f>
        <v>(0; 0; 0,0548)</v>
      </c>
      <c r="C19" t="str">
        <f>VLOOKUP(C5,'Thang đánh giá'!$C$2:$D$27,2,FALSE)</f>
        <v>(0; 0; 0,0707)</v>
      </c>
      <c r="D19" t="str">
        <f>VLOOKUP(D5,'Thang đánh giá'!$C$2:$D$27,2,FALSE)</f>
        <v>(0; 0,0548; 0,1095)</v>
      </c>
      <c r="E19" t="str">
        <f>VLOOKUP(E5,'Thang đánh giá'!$C$2:$D$27,2,FALSE)</f>
        <v>(0; 0; 0)</v>
      </c>
      <c r="F19" t="str">
        <f>VLOOKUP(F5,'Thang đánh giá'!$C$2:$D$27,2,FALSE)</f>
        <v>(0,0837; 0,1673; 0,251)</v>
      </c>
      <c r="G19" t="str">
        <f>VLOOKUP(G5,'Thang đánh giá'!$C$2:$D$27,2,FALSE)</f>
        <v>(0; 0; 0,0548)</v>
      </c>
      <c r="H19" t="str">
        <f>VLOOKUP(H5,'Thang đánh giá'!$C$2:$D$27,2,FALSE)</f>
        <v>(0,1673; 0,251; 0,3347)</v>
      </c>
      <c r="I19" t="str">
        <f>VLOOKUP(I5,'Thang đánh giá'!$C$2:$D$27,2,FALSE)</f>
        <v>(0; 0,0837; 0,1673)</v>
      </c>
      <c r="J19" t="str">
        <f>VLOOKUP(J5,'Thang đánh giá'!$C$2:$D$27,2,FALSE)</f>
        <v>(0,251; 0,3347; 0,3347)</v>
      </c>
      <c r="K19" t="str">
        <f>VLOOKUP(K5,'Thang đánh giá'!$C$2:$D$27,2,FALSE)</f>
        <v>(0; 0,0707; 0,1414)</v>
      </c>
      <c r="L19" t="str">
        <f>VLOOKUP(L5,'Thang đánh giá'!$C$2:$D$27,2,FALSE)</f>
        <v>(0,1673; 0,251; 0,3347)</v>
      </c>
      <c r="M19" t="str">
        <f>VLOOKUP(M5,'Thang đánh giá'!$C$2:$D$27,2,FALSE)</f>
        <v>(0,1897; 0,2846; 0,3795)</v>
      </c>
    </row>
    <row r="20" spans="1:13" x14ac:dyDescent="0.3">
      <c r="A20" t="s">
        <v>4</v>
      </c>
      <c r="B20" t="str">
        <f>VLOOKUP(B6,'Thang đánh giá'!$C$2:$D$27,2,FALSE)</f>
        <v>(0; 0,0707; 0,1414)</v>
      </c>
      <c r="C20" t="str">
        <f>VLOOKUP(C6,'Thang đánh giá'!$C$2:$D$27,2,FALSE)</f>
        <v>(0; 0,0707; 0,1414)</v>
      </c>
      <c r="D20" t="str">
        <f>VLOOKUP(D6,'Thang đánh giá'!$C$2:$D$27,2,FALSE)</f>
        <v>(0; 0; 0,0707)</v>
      </c>
      <c r="E20" t="str">
        <f>VLOOKUP(E6,'Thang đánh giá'!$C$2:$D$27,2,FALSE)</f>
        <v>(0; 0,0707; 0,1414)</v>
      </c>
      <c r="F20" t="str">
        <f>VLOOKUP(F6,'Thang đánh giá'!$C$2:$D$27,2,FALSE)</f>
        <v>(0; 0; 0)</v>
      </c>
      <c r="G20" t="str">
        <f>VLOOKUP(G6,'Thang đánh giá'!$C$2:$D$27,2,FALSE)</f>
        <v>(0,0837; 0,1673; 0,251)</v>
      </c>
      <c r="H20" t="str">
        <f>VLOOKUP(H6,'Thang đánh giá'!$C$2:$D$27,2,FALSE)</f>
        <v>(0; 0,0316; 0,0632)</v>
      </c>
      <c r="I20" t="str">
        <f>VLOOKUP(I6,'Thang đánh giá'!$C$2:$D$27,2,FALSE)</f>
        <v>(0; 0,0548; 0,1095)</v>
      </c>
      <c r="J20" t="str">
        <f>VLOOKUP(J6,'Thang đánh giá'!$C$2:$D$27,2,FALSE)</f>
        <v>(0,1897; 0,2846; 0,3795)</v>
      </c>
      <c r="K20" t="str">
        <f>VLOOKUP(K6,'Thang đánh giá'!$C$2:$D$27,2,FALSE)</f>
        <v>(0,1897; 0,2846; 0,3795)</v>
      </c>
      <c r="L20" t="str">
        <f>VLOOKUP(L6,'Thang đánh giá'!$C$2:$D$27,2,FALSE)</f>
        <v>(0; 0; 0,0548)</v>
      </c>
      <c r="M20" t="str">
        <f>VLOOKUP(M6,'Thang đánh giá'!$C$2:$D$27,2,FALSE)</f>
        <v>(0,0707; 0,1414; 0,2121)</v>
      </c>
    </row>
    <row r="21" spans="1:13" x14ac:dyDescent="0.3">
      <c r="A21" t="s">
        <v>5</v>
      </c>
      <c r="B21" t="str">
        <f>VLOOKUP(B7,'Thang đánh giá'!$C$2:$D$27,2,FALSE)</f>
        <v>(0; 0; 0,0707)</v>
      </c>
      <c r="C21" t="str">
        <f>VLOOKUP(C7,'Thang đánh giá'!$C$2:$D$27,2,FALSE)</f>
        <v>(0; 0,0707; 0,1414)</v>
      </c>
      <c r="D21" t="str">
        <f>VLOOKUP(D7,'Thang đánh giá'!$C$2:$D$27,2,FALSE)</f>
        <v>(0; 0,0707; 0,1414)</v>
      </c>
      <c r="E21" t="str">
        <f>VLOOKUP(E7,'Thang đánh giá'!$C$2:$D$27,2,FALSE)</f>
        <v>(0; 0; 0,0707)</v>
      </c>
      <c r="F21" t="str">
        <f>VLOOKUP(F7,'Thang đánh giá'!$C$2:$D$27,2,FALSE)</f>
        <v>(0; 0; 0,0707)</v>
      </c>
      <c r="G21" t="str">
        <f>VLOOKUP(G7,'Thang đánh giá'!$C$2:$D$27,2,FALSE)</f>
        <v>(0; 0; 0)</v>
      </c>
      <c r="H21" t="str">
        <f>VLOOKUP(H7,'Thang đánh giá'!$C$2:$D$27,2,FALSE)</f>
        <v>(0; 0,0707; 0,1414)</v>
      </c>
      <c r="I21" t="str">
        <f>VLOOKUP(I7,'Thang đánh giá'!$C$2:$D$27,2,FALSE)</f>
        <v>(0; 0; 0,0707)</v>
      </c>
      <c r="J21" t="str">
        <f>VLOOKUP(J7,'Thang đánh giá'!$C$2:$D$27,2,FALSE)</f>
        <v>(0,2846; 0,3795; 0,3795)</v>
      </c>
      <c r="K21" t="str">
        <f>VLOOKUP(K7,'Thang đánh giá'!$C$2:$D$27,2,FALSE)</f>
        <v>(0; 0; 0,0548)</v>
      </c>
      <c r="L21" t="str">
        <f>VLOOKUP(L7,'Thang đánh giá'!$C$2:$D$27,2,FALSE)</f>
        <v>(0; 0; 0,0707)</v>
      </c>
      <c r="M21" t="str">
        <f>VLOOKUP(M7,'Thang đánh giá'!$C$2:$D$27,2,FALSE)</f>
        <v>(0; 0,0707; 0,1414)</v>
      </c>
    </row>
    <row r="22" spans="1:13" x14ac:dyDescent="0.3">
      <c r="A22" t="s">
        <v>6</v>
      </c>
      <c r="B22" t="str">
        <f>VLOOKUP(B8,'Thang đánh giá'!$C$2:$D$27,2,FALSE)</f>
        <v>(0; 0,0316; 0,0632)</v>
      </c>
      <c r="C22" t="str">
        <f>VLOOKUP(C8,'Thang đánh giá'!$C$2:$D$27,2,FALSE)</f>
        <v>(0; 0; 0,0707)</v>
      </c>
      <c r="D22" t="str">
        <f>VLOOKUP(D8,'Thang đánh giá'!$C$2:$D$27,2,FALSE)</f>
        <v>(0; 0,0316; 0,0632)</v>
      </c>
      <c r="E22" t="str">
        <f>VLOOKUP(E8,'Thang đánh giá'!$C$2:$D$27,2,FALSE)</f>
        <v>(0; 0,0548; 0,1095)</v>
      </c>
      <c r="F22" t="str">
        <f>VLOOKUP(F8,'Thang đánh giá'!$C$2:$D$27,2,FALSE)</f>
        <v>(0; 0,0707; 0,1414)</v>
      </c>
      <c r="G22" t="str">
        <f>VLOOKUP(G8,'Thang đánh giá'!$C$2:$D$27,2,FALSE)</f>
        <v>(0,0707; 0,1414; 0,2121)</v>
      </c>
      <c r="H22" t="str">
        <f>VLOOKUP(H8,'Thang đánh giá'!$C$2:$D$27,2,FALSE)</f>
        <v>(0; 0; 0)</v>
      </c>
      <c r="I22" t="str">
        <f>VLOOKUP(I8,'Thang đánh giá'!$C$2:$D$27,2,FALSE)</f>
        <v>(0,0707; 0,1414; 0,2121)</v>
      </c>
      <c r="J22" t="str">
        <f>VLOOKUP(J8,'Thang đánh giá'!$C$2:$D$27,2,FALSE)</f>
        <v>(0; 0; 0,0707)</v>
      </c>
      <c r="K22" t="str">
        <f>VLOOKUP(K8,'Thang đánh giá'!$C$2:$D$27,2,FALSE)</f>
        <v>(0; 0,0707; 0,1414)</v>
      </c>
      <c r="L22" t="str">
        <f>VLOOKUP(L8,'Thang đánh giá'!$C$2:$D$27,2,FALSE)</f>
        <v>(0; 0,0707; 0,1414)</v>
      </c>
      <c r="M22" t="str">
        <f>VLOOKUP(M8,'Thang đánh giá'!$C$2:$D$27,2,FALSE)</f>
        <v>(0; 0,0707; 0,1414)</v>
      </c>
    </row>
    <row r="23" spans="1:13" x14ac:dyDescent="0.3">
      <c r="A23" t="s">
        <v>7</v>
      </c>
      <c r="B23" t="str">
        <f>VLOOKUP(B9,'Thang đánh giá'!$C$2:$D$27,2,FALSE)</f>
        <v>(0; 0; 0,0707)</v>
      </c>
      <c r="C23" t="str">
        <f>VLOOKUP(C9,'Thang đánh giá'!$C$2:$D$27,2,FALSE)</f>
        <v>(0; 0,0707; 0,1414)</v>
      </c>
      <c r="D23" t="str">
        <f>VLOOKUP(D9,'Thang đánh giá'!$C$2:$D$27,2,FALSE)</f>
        <v>(0; 0; 0,0548)</v>
      </c>
      <c r="E23" t="str">
        <f>VLOOKUP(E9,'Thang đánh giá'!$C$2:$D$27,2,FALSE)</f>
        <v>(0,0707; 0,1414; 0,2121)</v>
      </c>
      <c r="F23" t="str">
        <f>VLOOKUP(F9,'Thang đánh giá'!$C$2:$D$27,2,FALSE)</f>
        <v>(0; 0; 0,0316)</v>
      </c>
      <c r="G23" t="str">
        <f>VLOOKUP(G9,'Thang đánh giá'!$C$2:$D$27,2,FALSE)</f>
        <v>(0; 0; 0,0707)</v>
      </c>
      <c r="H23" t="str">
        <f>VLOOKUP(H9,'Thang đánh giá'!$C$2:$D$27,2,FALSE)</f>
        <v>(0; 0; 0,0707)</v>
      </c>
      <c r="I23" t="str">
        <f>VLOOKUP(I9,'Thang đánh giá'!$C$2:$D$27,2,FALSE)</f>
        <v>(0; 0; 0)</v>
      </c>
      <c r="J23" t="str">
        <f>VLOOKUP(J9,'Thang đánh giá'!$C$2:$D$27,2,FALSE)</f>
        <v>(0; 0,0707; 0,1414)</v>
      </c>
      <c r="K23" t="str">
        <f>VLOOKUP(K9,'Thang đánh giá'!$C$2:$D$27,2,FALSE)</f>
        <v>(0,251; 0,3347; 0,3347)</v>
      </c>
      <c r="L23" t="str">
        <f>VLOOKUP(L9,'Thang đánh giá'!$C$2:$D$27,2,FALSE)</f>
        <v>(0,1673; 0,251; 0,3347)</v>
      </c>
      <c r="M23" t="str">
        <f>VLOOKUP(M9,'Thang đánh giá'!$C$2:$D$27,2,FALSE)</f>
        <v>(0,0837; 0,1673; 0,251)</v>
      </c>
    </row>
    <row r="24" spans="1:13" x14ac:dyDescent="0.3">
      <c r="A24" t="s">
        <v>8</v>
      </c>
      <c r="B24" t="str">
        <f>VLOOKUP(B10,'Thang đánh giá'!$C$2:$D$27,2,FALSE)</f>
        <v>(0,1673; 0,251; 0,3347)</v>
      </c>
      <c r="C24" t="str">
        <f>VLOOKUP(C10,'Thang đánh giá'!$C$2:$D$27,2,FALSE)</f>
        <v>(0; 0; 0,0548)</v>
      </c>
      <c r="D24" t="str">
        <f>VLOOKUP(D10,'Thang đánh giá'!$C$2:$D$27,2,FALSE)</f>
        <v>(0; 0; 0,0707)</v>
      </c>
      <c r="E24" t="str">
        <f>VLOOKUP(E10,'Thang đánh giá'!$C$2:$D$27,2,FALSE)</f>
        <v>(0; 0,0316; 0,0632)</v>
      </c>
      <c r="F24" t="str">
        <f>VLOOKUP(F10,'Thang đánh giá'!$C$2:$D$27,2,FALSE)</f>
        <v>(0; 0; 0,0316)</v>
      </c>
      <c r="G24" t="str">
        <f>VLOOKUP(G10,'Thang đánh giá'!$C$2:$D$27,2,FALSE)</f>
        <v>(0; 0; 0,0707)</v>
      </c>
      <c r="H24" t="str">
        <f>VLOOKUP(H10,'Thang đánh giá'!$C$2:$D$27,2,FALSE)</f>
        <v>(0,1897; 0,2846; 0,3795)</v>
      </c>
      <c r="I24" t="str">
        <f>VLOOKUP(I10,'Thang đánh giá'!$C$2:$D$27,2,FALSE)</f>
        <v>(0; 0; 0,0316)</v>
      </c>
      <c r="J24" t="str">
        <f>VLOOKUP(J10,'Thang đánh giá'!$C$2:$D$27,2,FALSE)</f>
        <v>(0; 0; 0)</v>
      </c>
      <c r="K24" t="str">
        <f>VLOOKUP(K10,'Thang đánh giá'!$C$2:$D$27,2,FALSE)</f>
        <v>(0,2846; 0,3795; 0,3795)</v>
      </c>
      <c r="L24" t="str">
        <f>VLOOKUP(L10,'Thang đánh giá'!$C$2:$D$27,2,FALSE)</f>
        <v>(0,251; 0,3347; 0,3347)</v>
      </c>
      <c r="M24" t="str">
        <f>VLOOKUP(M10,'Thang đánh giá'!$C$2:$D$27,2,FALSE)</f>
        <v>(0,1897; 0,2846; 0,3795)</v>
      </c>
    </row>
    <row r="25" spans="1:13" x14ac:dyDescent="0.3">
      <c r="A25" t="s">
        <v>9</v>
      </c>
      <c r="B25" t="str">
        <f>VLOOKUP(B11,'Thang đánh giá'!$C$2:$D$27,2,FALSE)</f>
        <v>(0; 0; 0,0707)</v>
      </c>
      <c r="C25" t="str">
        <f>VLOOKUP(C11,'Thang đánh giá'!$C$2:$D$27,2,FALSE)</f>
        <v>(0; 0,0707; 0,1414)</v>
      </c>
      <c r="D25" t="str">
        <f>VLOOKUP(D11,'Thang đánh giá'!$C$2:$D$27,2,FALSE)</f>
        <v>(0; 0,0548; 0,1095)</v>
      </c>
      <c r="E25" t="str">
        <f>VLOOKUP(E11,'Thang đánh giá'!$C$2:$D$27,2,FALSE)</f>
        <v>(0,0707; 0,1414; 0,2121)</v>
      </c>
      <c r="F25" t="str">
        <f>VLOOKUP(F11,'Thang đánh giá'!$C$2:$D$27,2,FALSE)</f>
        <v>(0; 0; 0,0707)</v>
      </c>
      <c r="G25" t="str">
        <f>VLOOKUP(G11,'Thang đánh giá'!$C$2:$D$27,2,FALSE)</f>
        <v>(0,0837; 0,1673; 0,251)</v>
      </c>
      <c r="H25" t="str">
        <f>VLOOKUP(H11,'Thang đánh giá'!$C$2:$D$27,2,FALSE)</f>
        <v>(0; 0; 0,0707)</v>
      </c>
      <c r="I25" t="str">
        <f>VLOOKUP(I11,'Thang đánh giá'!$C$2:$D$27,2,FALSE)</f>
        <v>(0; 0,0316; 0,0632)</v>
      </c>
      <c r="J25" t="str">
        <f>VLOOKUP(J11,'Thang đánh giá'!$C$2:$D$27,2,FALSE)</f>
        <v>(0,0707; 0,1414; 0,2121)</v>
      </c>
      <c r="K25" t="str">
        <f>VLOOKUP(K11,'Thang đánh giá'!$C$2:$D$27,2,FALSE)</f>
        <v>(0; 0; 0)</v>
      </c>
      <c r="L25" t="str">
        <f>VLOOKUP(L11,'Thang đánh giá'!$C$2:$D$27,2,FALSE)</f>
        <v>(0; 0,0707; 0,1414)</v>
      </c>
      <c r="M25" t="str">
        <f>VLOOKUP(M11,'Thang đánh giá'!$C$2:$D$27,2,FALSE)</f>
        <v>(0,0837; 0,1673; 0,251)</v>
      </c>
    </row>
    <row r="26" spans="1:13" x14ac:dyDescent="0.3">
      <c r="A26" t="s">
        <v>10</v>
      </c>
      <c r="B26" t="str">
        <f>VLOOKUP(B12,'Thang đánh giá'!$C$2:$D$27,2,FALSE)</f>
        <v>(0; 0; 0,0548)</v>
      </c>
      <c r="C26" t="str">
        <f>VLOOKUP(C12,'Thang đánh giá'!$C$2:$D$27,2,FALSE)</f>
        <v>(0; 0,0548; 0,1095)</v>
      </c>
      <c r="D26" t="str">
        <f>VLOOKUP(D12,'Thang đánh giá'!$C$2:$D$27,2,FALSE)</f>
        <v>(0; 0,0707; 0,1414)</v>
      </c>
      <c r="E26" t="str">
        <f>VLOOKUP(E12,'Thang đánh giá'!$C$2:$D$27,2,FALSE)</f>
        <v>(0; 0; 0,0707)</v>
      </c>
      <c r="F26" t="str">
        <f>VLOOKUP(F12,'Thang đánh giá'!$C$2:$D$27,2,FALSE)</f>
        <v>(0; 0,0707; 0,1414)</v>
      </c>
      <c r="G26" t="str">
        <f>VLOOKUP(G12,'Thang đánh giá'!$C$2:$D$27,2,FALSE)</f>
        <v>(0; 0; 0,0707)</v>
      </c>
      <c r="H26" t="str">
        <f>VLOOKUP(H12,'Thang đánh giá'!$C$2:$D$27,2,FALSE)</f>
        <v>(0; 0; 0,0548)</v>
      </c>
      <c r="I26" t="str">
        <f>VLOOKUP(I12,'Thang đánh giá'!$C$2:$D$27,2,FALSE)</f>
        <v>(0; 0; 0,0707)</v>
      </c>
      <c r="J26" t="str">
        <f>VLOOKUP(J12,'Thang đánh giá'!$C$2:$D$27,2,FALSE)</f>
        <v>(0; 0; 0,0548)</v>
      </c>
      <c r="K26" t="str">
        <f>VLOOKUP(K12,'Thang đánh giá'!$C$2:$D$27,2,FALSE)</f>
        <v>(0; 0; 0,0707)</v>
      </c>
      <c r="L26" t="str">
        <f>VLOOKUP(L12,'Thang đánh giá'!$C$2:$D$27,2,FALSE)</f>
        <v>(0; 0; 0)</v>
      </c>
      <c r="M26" t="str">
        <f>VLOOKUP(M12,'Thang đánh giá'!$C$2:$D$27,2,FALSE)</f>
        <v>(0,2846; 0,3795; 0,3795)</v>
      </c>
    </row>
    <row r="27" spans="1:13" x14ac:dyDescent="0.3">
      <c r="A27" t="s">
        <v>11</v>
      </c>
      <c r="B27" t="str">
        <f>VLOOKUP(B13,'Thang đánh giá'!$C$2:$D$27,2,FALSE)</f>
        <v>(0; 0; 0,0548)</v>
      </c>
      <c r="C27" t="str">
        <f>VLOOKUP(C13,'Thang đánh giá'!$C$2:$D$27,2,FALSE)</f>
        <v>(0; 0; 0,0707)</v>
      </c>
      <c r="D27" t="str">
        <f>VLOOKUP(D13,'Thang đánh giá'!$C$2:$D$27,2,FALSE)</f>
        <v>(0; 0,0707; 0,1414)</v>
      </c>
      <c r="E27" t="str">
        <f>VLOOKUP(E13,'Thang đánh giá'!$C$2:$D$27,2,FALSE)</f>
        <v>(0,0837; 0,1673; 0,251)</v>
      </c>
      <c r="F27" t="str">
        <f>VLOOKUP(F13,'Thang đánh giá'!$C$2:$D$27,2,FALSE)</f>
        <v>(0; 0; 0,0707)</v>
      </c>
      <c r="G27" t="str">
        <f>VLOOKUP(G13,'Thang đánh giá'!$C$2:$D$27,2,FALSE)</f>
        <v>(0; 0,0548; 0,1095)</v>
      </c>
      <c r="H27" t="str">
        <f>VLOOKUP(H13,'Thang đánh giá'!$C$2:$D$27,2,FALSE)</f>
        <v>(0; 0,0548; 0,1095)</v>
      </c>
      <c r="I27" t="str">
        <f>VLOOKUP(I13,'Thang đánh giá'!$C$2:$D$27,2,FALSE)</f>
        <v>(0; 0,0548; 0,1095)</v>
      </c>
      <c r="J27" t="str">
        <f>VLOOKUP(J13,'Thang đánh giá'!$C$2:$D$27,2,FALSE)</f>
        <v>(0; 0,0316; 0,0632)</v>
      </c>
      <c r="K27" t="str">
        <f>VLOOKUP(K13,'Thang đánh giá'!$C$2:$D$27,2,FALSE)</f>
        <v>(0; 0; 0,0548)</v>
      </c>
      <c r="L27" t="str">
        <f>VLOOKUP(L13,'Thang đánh giá'!$C$2:$D$27,2,FALSE)</f>
        <v>(0; 0,0837; 0,1673)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0.1673</v>
      </c>
      <c r="D30">
        <f t="shared" si="0"/>
        <v>0.1673</v>
      </c>
      <c r="E30">
        <f t="shared" si="0"/>
        <v>0</v>
      </c>
      <c r="F30">
        <f t="shared" si="0"/>
        <v>0.1673</v>
      </c>
      <c r="G30">
        <f t="shared" si="0"/>
        <v>0</v>
      </c>
      <c r="H30">
        <f t="shared" si="0"/>
        <v>0</v>
      </c>
      <c r="I30">
        <f t="shared" si="0"/>
        <v>0</v>
      </c>
      <c r="J30">
        <f t="shared" si="0"/>
        <v>0.18970000000000001</v>
      </c>
      <c r="K30">
        <f t="shared" si="0"/>
        <v>0</v>
      </c>
      <c r="L30">
        <f t="shared" si="0"/>
        <v>0</v>
      </c>
      <c r="M30">
        <f t="shared" si="0"/>
        <v>0</v>
      </c>
    </row>
    <row r="31" spans="1:13" x14ac:dyDescent="0.3">
      <c r="A31" t="s">
        <v>1</v>
      </c>
      <c r="B31">
        <f t="shared" ref="B31:M41" si="1">_xlfn.NUMBERVALUE(MID(B17,2,FIND(";",B17,1)-2))</f>
        <v>0</v>
      </c>
      <c r="C31">
        <f t="shared" si="1"/>
        <v>0</v>
      </c>
      <c r="D31">
        <f t="shared" si="1"/>
        <v>0.28460000000000002</v>
      </c>
      <c r="E31">
        <f t="shared" si="1"/>
        <v>0.28460000000000002</v>
      </c>
      <c r="F31">
        <f t="shared" si="1"/>
        <v>8.3699999999999997E-2</v>
      </c>
      <c r="G31">
        <f t="shared" si="1"/>
        <v>0.18970000000000001</v>
      </c>
      <c r="H31">
        <f t="shared" si="1"/>
        <v>0.251</v>
      </c>
      <c r="I31">
        <f t="shared" si="1"/>
        <v>0</v>
      </c>
      <c r="J31">
        <f t="shared" si="1"/>
        <v>0</v>
      </c>
      <c r="K31">
        <f t="shared" si="1"/>
        <v>0.251</v>
      </c>
      <c r="L31">
        <f t="shared" si="1"/>
        <v>0</v>
      </c>
      <c r="M31">
        <f t="shared" si="1"/>
        <v>0.1673</v>
      </c>
    </row>
    <row r="32" spans="1:13" x14ac:dyDescent="0.3">
      <c r="A32" t="s">
        <v>2</v>
      </c>
      <c r="B32">
        <f t="shared" si="1"/>
        <v>0</v>
      </c>
      <c r="C32">
        <f t="shared" si="1"/>
        <v>0</v>
      </c>
      <c r="D32">
        <f t="shared" si="1"/>
        <v>0</v>
      </c>
      <c r="E32">
        <f t="shared" si="1"/>
        <v>7.0699999999999999E-2</v>
      </c>
      <c r="F32">
        <f t="shared" si="1"/>
        <v>0</v>
      </c>
      <c r="G32">
        <f t="shared" si="1"/>
        <v>0</v>
      </c>
      <c r="H32">
        <f t="shared" si="1"/>
        <v>0</v>
      </c>
      <c r="I32">
        <f t="shared" si="1"/>
        <v>0</v>
      </c>
      <c r="J32">
        <f t="shared" si="1"/>
        <v>0.18970000000000001</v>
      </c>
      <c r="K32">
        <f t="shared" si="1"/>
        <v>0.28460000000000002</v>
      </c>
      <c r="L32">
        <f t="shared" si="1"/>
        <v>0.18970000000000001</v>
      </c>
      <c r="M32">
        <f t="shared" si="1"/>
        <v>0.18970000000000001</v>
      </c>
    </row>
    <row r="33" spans="1:13" x14ac:dyDescent="0.3">
      <c r="A33" t="s">
        <v>3</v>
      </c>
      <c r="B33">
        <f t="shared" si="1"/>
        <v>0</v>
      </c>
      <c r="C33">
        <f t="shared" si="1"/>
        <v>0</v>
      </c>
      <c r="D33">
        <f t="shared" si="1"/>
        <v>0</v>
      </c>
      <c r="E33">
        <f t="shared" si="1"/>
        <v>0</v>
      </c>
      <c r="F33">
        <f t="shared" si="1"/>
        <v>8.3699999999999997E-2</v>
      </c>
      <c r="G33">
        <f t="shared" si="1"/>
        <v>0</v>
      </c>
      <c r="H33">
        <f t="shared" si="1"/>
        <v>0.1673</v>
      </c>
      <c r="I33">
        <f t="shared" si="1"/>
        <v>0</v>
      </c>
      <c r="J33">
        <f t="shared" si="1"/>
        <v>0.251</v>
      </c>
      <c r="K33">
        <f t="shared" si="1"/>
        <v>0</v>
      </c>
      <c r="L33">
        <f t="shared" si="1"/>
        <v>0.1673</v>
      </c>
      <c r="M33">
        <f t="shared" si="1"/>
        <v>0.18970000000000001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0</v>
      </c>
      <c r="D34">
        <f t="shared" si="2"/>
        <v>0</v>
      </c>
      <c r="E34">
        <f t="shared" si="2"/>
        <v>0</v>
      </c>
      <c r="F34">
        <f t="shared" si="2"/>
        <v>0</v>
      </c>
      <c r="G34">
        <f t="shared" si="2"/>
        <v>8.3699999999999997E-2</v>
      </c>
      <c r="H34">
        <f t="shared" si="2"/>
        <v>0</v>
      </c>
      <c r="I34">
        <f t="shared" si="2"/>
        <v>0</v>
      </c>
      <c r="J34">
        <f t="shared" si="2"/>
        <v>0.18970000000000001</v>
      </c>
      <c r="K34">
        <f t="shared" si="2"/>
        <v>0.18970000000000001</v>
      </c>
      <c r="L34">
        <f t="shared" si="2"/>
        <v>0</v>
      </c>
      <c r="M34">
        <f t="shared" si="2"/>
        <v>7.0699999999999999E-2</v>
      </c>
    </row>
    <row r="35" spans="1:13" x14ac:dyDescent="0.3">
      <c r="A35" t="s">
        <v>5</v>
      </c>
      <c r="B35">
        <f t="shared" si="1"/>
        <v>0</v>
      </c>
      <c r="C35">
        <f t="shared" si="1"/>
        <v>0</v>
      </c>
      <c r="D35">
        <f t="shared" si="1"/>
        <v>0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0</v>
      </c>
      <c r="J35">
        <f t="shared" si="1"/>
        <v>0.28460000000000002</v>
      </c>
      <c r="K35">
        <f t="shared" si="1"/>
        <v>0</v>
      </c>
      <c r="L35">
        <f t="shared" si="1"/>
        <v>0</v>
      </c>
      <c r="M35">
        <f t="shared" si="1"/>
        <v>0</v>
      </c>
    </row>
    <row r="36" spans="1:13" x14ac:dyDescent="0.3">
      <c r="A36" t="s">
        <v>6</v>
      </c>
      <c r="B36">
        <f t="shared" si="1"/>
        <v>0</v>
      </c>
      <c r="C36">
        <f t="shared" si="1"/>
        <v>0</v>
      </c>
      <c r="D36">
        <f t="shared" si="1"/>
        <v>0</v>
      </c>
      <c r="E36">
        <f t="shared" si="1"/>
        <v>0</v>
      </c>
      <c r="F36">
        <f t="shared" si="1"/>
        <v>0</v>
      </c>
      <c r="G36">
        <f t="shared" si="1"/>
        <v>7.0699999999999999E-2</v>
      </c>
      <c r="H36">
        <f t="shared" si="1"/>
        <v>0</v>
      </c>
      <c r="I36">
        <f t="shared" si="1"/>
        <v>7.0699999999999999E-2</v>
      </c>
      <c r="J36">
        <f t="shared" si="1"/>
        <v>0</v>
      </c>
      <c r="K36">
        <f t="shared" si="1"/>
        <v>0</v>
      </c>
      <c r="L36">
        <f t="shared" si="1"/>
        <v>0</v>
      </c>
      <c r="M36">
        <f t="shared" si="1"/>
        <v>0</v>
      </c>
    </row>
    <row r="37" spans="1:13" x14ac:dyDescent="0.3">
      <c r="A37" t="s">
        <v>7</v>
      </c>
      <c r="B37">
        <f t="shared" si="1"/>
        <v>0</v>
      </c>
      <c r="C37">
        <f t="shared" si="1"/>
        <v>0</v>
      </c>
      <c r="D37">
        <f t="shared" si="1"/>
        <v>0</v>
      </c>
      <c r="E37">
        <f t="shared" si="1"/>
        <v>7.0699999999999999E-2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0</v>
      </c>
      <c r="K37">
        <f t="shared" si="1"/>
        <v>0.251</v>
      </c>
      <c r="L37">
        <f t="shared" si="1"/>
        <v>0.1673</v>
      </c>
      <c r="M37">
        <f t="shared" si="1"/>
        <v>8.3699999999999997E-2</v>
      </c>
    </row>
    <row r="38" spans="1:13" x14ac:dyDescent="0.3">
      <c r="A38" t="s">
        <v>8</v>
      </c>
      <c r="B38">
        <f t="shared" si="1"/>
        <v>0.1673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0.18970000000000001</v>
      </c>
      <c r="I38">
        <f t="shared" si="1"/>
        <v>0</v>
      </c>
      <c r="J38">
        <f t="shared" si="1"/>
        <v>0</v>
      </c>
      <c r="K38">
        <f t="shared" si="1"/>
        <v>0.28460000000000002</v>
      </c>
      <c r="L38">
        <f t="shared" si="1"/>
        <v>0.251</v>
      </c>
      <c r="M38">
        <f t="shared" si="1"/>
        <v>0.18970000000000001</v>
      </c>
    </row>
    <row r="39" spans="1:13" x14ac:dyDescent="0.3">
      <c r="A39" t="s">
        <v>9</v>
      </c>
      <c r="B39">
        <f t="shared" si="1"/>
        <v>0</v>
      </c>
      <c r="C39">
        <f t="shared" si="1"/>
        <v>0</v>
      </c>
      <c r="D39">
        <f t="shared" si="1"/>
        <v>0</v>
      </c>
      <c r="E39">
        <f t="shared" si="1"/>
        <v>7.0699999999999999E-2</v>
      </c>
      <c r="F39">
        <f t="shared" si="1"/>
        <v>0</v>
      </c>
      <c r="G39">
        <f t="shared" si="1"/>
        <v>8.3699999999999997E-2</v>
      </c>
      <c r="H39">
        <f t="shared" si="1"/>
        <v>0</v>
      </c>
      <c r="I39">
        <f t="shared" si="1"/>
        <v>0</v>
      </c>
      <c r="J39">
        <f t="shared" si="1"/>
        <v>7.0699999999999999E-2</v>
      </c>
      <c r="K39">
        <f t="shared" si="1"/>
        <v>0</v>
      </c>
      <c r="L39">
        <f t="shared" si="1"/>
        <v>0</v>
      </c>
      <c r="M39">
        <f t="shared" si="1"/>
        <v>8.3699999999999997E-2</v>
      </c>
    </row>
    <row r="40" spans="1:13" x14ac:dyDescent="0.3">
      <c r="A40" t="s">
        <v>10</v>
      </c>
      <c r="B40">
        <f t="shared" si="1"/>
        <v>0</v>
      </c>
      <c r="C40">
        <f t="shared" si="1"/>
        <v>0</v>
      </c>
      <c r="D40">
        <f t="shared" si="1"/>
        <v>0</v>
      </c>
      <c r="E40">
        <f t="shared" si="1"/>
        <v>0</v>
      </c>
      <c r="F40">
        <f t="shared" si="1"/>
        <v>0</v>
      </c>
      <c r="G40">
        <f t="shared" si="1"/>
        <v>0</v>
      </c>
      <c r="H40">
        <f t="shared" si="1"/>
        <v>0</v>
      </c>
      <c r="I40">
        <f t="shared" si="1"/>
        <v>0</v>
      </c>
      <c r="J40">
        <f t="shared" si="1"/>
        <v>0</v>
      </c>
      <c r="K40">
        <f t="shared" si="1"/>
        <v>0</v>
      </c>
      <c r="L40">
        <f t="shared" si="1"/>
        <v>0</v>
      </c>
      <c r="M40">
        <f t="shared" si="1"/>
        <v>0.28460000000000002</v>
      </c>
    </row>
    <row r="41" spans="1:13" x14ac:dyDescent="0.3">
      <c r="A41" t="s">
        <v>11</v>
      </c>
      <c r="B41">
        <f t="shared" si="1"/>
        <v>0</v>
      </c>
      <c r="C41">
        <f t="shared" si="1"/>
        <v>0</v>
      </c>
      <c r="D41">
        <f t="shared" si="1"/>
        <v>0</v>
      </c>
      <c r="E41">
        <f t="shared" si="1"/>
        <v>8.3699999999999997E-2</v>
      </c>
      <c r="F41">
        <f t="shared" si="1"/>
        <v>0</v>
      </c>
      <c r="G41">
        <f t="shared" si="1"/>
        <v>0</v>
      </c>
      <c r="H41">
        <f t="shared" si="1"/>
        <v>0</v>
      </c>
      <c r="I41">
        <f t="shared" si="1"/>
        <v>0</v>
      </c>
      <c r="J41">
        <f t="shared" si="1"/>
        <v>0</v>
      </c>
      <c r="K41">
        <f t="shared" si="1"/>
        <v>0</v>
      </c>
      <c r="L41">
        <f t="shared" si="1"/>
        <v>0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0.251</v>
      </c>
      <c r="D44">
        <f t="shared" si="3"/>
        <v>0.251</v>
      </c>
      <c r="E44">
        <f t="shared" si="3"/>
        <v>5.4800000000000001E-2</v>
      </c>
      <c r="F44">
        <f t="shared" si="3"/>
        <v>0.251</v>
      </c>
      <c r="G44">
        <f t="shared" si="3"/>
        <v>0</v>
      </c>
      <c r="H44">
        <f t="shared" si="3"/>
        <v>0</v>
      </c>
      <c r="I44">
        <f t="shared" si="3"/>
        <v>0</v>
      </c>
      <c r="J44">
        <f t="shared" si="3"/>
        <v>0.28460000000000002</v>
      </c>
      <c r="K44">
        <f t="shared" si="3"/>
        <v>5.4800000000000001E-2</v>
      </c>
      <c r="L44">
        <f t="shared" si="3"/>
        <v>0</v>
      </c>
      <c r="M44">
        <f t="shared" si="3"/>
        <v>5.4800000000000001E-2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5.4800000000000001E-2</v>
      </c>
      <c r="C45">
        <f t="shared" si="4"/>
        <v>0</v>
      </c>
      <c r="D45">
        <f t="shared" si="4"/>
        <v>0.3795</v>
      </c>
      <c r="E45">
        <f t="shared" si="4"/>
        <v>0.3795</v>
      </c>
      <c r="F45">
        <f t="shared" si="4"/>
        <v>0.1673</v>
      </c>
      <c r="G45">
        <f t="shared" si="4"/>
        <v>0.28460000000000002</v>
      </c>
      <c r="H45">
        <f t="shared" si="4"/>
        <v>0.3347</v>
      </c>
      <c r="I45">
        <f t="shared" si="4"/>
        <v>7.0699999999999999E-2</v>
      </c>
      <c r="J45">
        <f t="shared" si="4"/>
        <v>8.3699999999999997E-2</v>
      </c>
      <c r="K45">
        <f t="shared" si="4"/>
        <v>0.3347</v>
      </c>
      <c r="L45">
        <f t="shared" si="4"/>
        <v>3.1600000000000003E-2</v>
      </c>
      <c r="M45">
        <f t="shared" si="4"/>
        <v>0.251</v>
      </c>
    </row>
    <row r="46" spans="1:13" x14ac:dyDescent="0.3">
      <c r="A46" t="s">
        <v>2</v>
      </c>
      <c r="B46">
        <f t="shared" si="4"/>
        <v>5.4800000000000001E-2</v>
      </c>
      <c r="C46">
        <f t="shared" si="4"/>
        <v>0</v>
      </c>
      <c r="D46">
        <f t="shared" si="4"/>
        <v>0</v>
      </c>
      <c r="E46">
        <f t="shared" si="4"/>
        <v>0.1414</v>
      </c>
      <c r="F46">
        <f t="shared" si="4"/>
        <v>7.0699999999999999E-2</v>
      </c>
      <c r="G46">
        <f t="shared" si="4"/>
        <v>0</v>
      </c>
      <c r="H46">
        <f t="shared" si="4"/>
        <v>5.4800000000000001E-2</v>
      </c>
      <c r="I46">
        <f t="shared" si="4"/>
        <v>0</v>
      </c>
      <c r="J46">
        <f t="shared" si="4"/>
        <v>0.28460000000000002</v>
      </c>
      <c r="K46">
        <f t="shared" si="4"/>
        <v>0.3795</v>
      </c>
      <c r="L46">
        <f t="shared" si="4"/>
        <v>0.28460000000000002</v>
      </c>
      <c r="M46">
        <f t="shared" si="4"/>
        <v>0.28460000000000002</v>
      </c>
    </row>
    <row r="47" spans="1:13" x14ac:dyDescent="0.3">
      <c r="A47" t="s">
        <v>3</v>
      </c>
      <c r="B47">
        <f t="shared" si="4"/>
        <v>0</v>
      </c>
      <c r="C47">
        <f t="shared" si="4"/>
        <v>0</v>
      </c>
      <c r="D47">
        <f t="shared" si="4"/>
        <v>5.4800000000000001E-2</v>
      </c>
      <c r="E47">
        <f t="shared" si="4"/>
        <v>0</v>
      </c>
      <c r="F47">
        <f t="shared" si="4"/>
        <v>0.1673</v>
      </c>
      <c r="G47">
        <f t="shared" si="4"/>
        <v>0</v>
      </c>
      <c r="H47">
        <f t="shared" si="4"/>
        <v>0.251</v>
      </c>
      <c r="I47">
        <f t="shared" si="4"/>
        <v>8.3699999999999997E-2</v>
      </c>
      <c r="J47">
        <f t="shared" si="4"/>
        <v>0.3347</v>
      </c>
      <c r="K47">
        <f t="shared" si="4"/>
        <v>7.0699999999999999E-2</v>
      </c>
      <c r="L47">
        <f t="shared" si="4"/>
        <v>0.251</v>
      </c>
      <c r="M47">
        <f t="shared" si="4"/>
        <v>0.28460000000000002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7.0699999999999999E-2</v>
      </c>
      <c r="C48">
        <f t="shared" si="5"/>
        <v>7.0699999999999999E-2</v>
      </c>
      <c r="D48">
        <f t="shared" si="5"/>
        <v>0</v>
      </c>
      <c r="E48">
        <f t="shared" si="5"/>
        <v>7.0699999999999999E-2</v>
      </c>
      <c r="F48">
        <f t="shared" si="5"/>
        <v>0</v>
      </c>
      <c r="G48">
        <f t="shared" si="5"/>
        <v>0.1673</v>
      </c>
      <c r="H48">
        <f t="shared" si="5"/>
        <v>3.1600000000000003E-2</v>
      </c>
      <c r="I48">
        <f t="shared" si="5"/>
        <v>5.4800000000000001E-2</v>
      </c>
      <c r="J48">
        <f t="shared" si="5"/>
        <v>0.28460000000000002</v>
      </c>
      <c r="K48">
        <f t="shared" si="5"/>
        <v>0.28460000000000002</v>
      </c>
      <c r="L48">
        <f t="shared" si="5"/>
        <v>0</v>
      </c>
      <c r="M48">
        <f t="shared" si="5"/>
        <v>0.1414</v>
      </c>
    </row>
    <row r="49" spans="1:13" x14ac:dyDescent="0.3">
      <c r="A49" t="s">
        <v>5</v>
      </c>
      <c r="B49">
        <f t="shared" si="4"/>
        <v>0</v>
      </c>
      <c r="C49">
        <f t="shared" si="4"/>
        <v>7.0699999999999999E-2</v>
      </c>
      <c r="D49">
        <f t="shared" si="4"/>
        <v>7.0699999999999999E-2</v>
      </c>
      <c r="E49">
        <f t="shared" si="4"/>
        <v>0</v>
      </c>
      <c r="F49">
        <f t="shared" si="4"/>
        <v>0</v>
      </c>
      <c r="G49">
        <f t="shared" si="4"/>
        <v>0</v>
      </c>
      <c r="H49">
        <f t="shared" si="4"/>
        <v>7.0699999999999999E-2</v>
      </c>
      <c r="I49">
        <f t="shared" si="4"/>
        <v>0</v>
      </c>
      <c r="J49">
        <f t="shared" si="4"/>
        <v>0.3795</v>
      </c>
      <c r="K49">
        <f t="shared" si="4"/>
        <v>0</v>
      </c>
      <c r="L49">
        <f t="shared" si="4"/>
        <v>0</v>
      </c>
      <c r="M49">
        <f t="shared" si="4"/>
        <v>7.0699999999999999E-2</v>
      </c>
    </row>
    <row r="50" spans="1:13" x14ac:dyDescent="0.3">
      <c r="A50" t="s">
        <v>6</v>
      </c>
      <c r="B50">
        <f t="shared" si="4"/>
        <v>3.1600000000000003E-2</v>
      </c>
      <c r="C50">
        <f t="shared" si="4"/>
        <v>0</v>
      </c>
      <c r="D50">
        <f t="shared" si="4"/>
        <v>3.1600000000000003E-2</v>
      </c>
      <c r="E50">
        <f t="shared" si="4"/>
        <v>5.4800000000000001E-2</v>
      </c>
      <c r="F50">
        <f t="shared" si="4"/>
        <v>7.0699999999999999E-2</v>
      </c>
      <c r="G50">
        <f t="shared" si="4"/>
        <v>0.1414</v>
      </c>
      <c r="H50">
        <f t="shared" si="4"/>
        <v>0</v>
      </c>
      <c r="I50">
        <f t="shared" si="4"/>
        <v>0.1414</v>
      </c>
      <c r="J50">
        <f t="shared" si="4"/>
        <v>0</v>
      </c>
      <c r="K50">
        <f t="shared" si="4"/>
        <v>7.0699999999999999E-2</v>
      </c>
      <c r="L50">
        <f t="shared" si="4"/>
        <v>7.0699999999999999E-2</v>
      </c>
      <c r="M50">
        <f t="shared" si="4"/>
        <v>7.0699999999999999E-2</v>
      </c>
    </row>
    <row r="51" spans="1:13" x14ac:dyDescent="0.3">
      <c r="A51" t="s">
        <v>7</v>
      </c>
      <c r="B51">
        <f t="shared" si="4"/>
        <v>0</v>
      </c>
      <c r="C51">
        <f t="shared" si="4"/>
        <v>7.0699999999999999E-2</v>
      </c>
      <c r="D51">
        <f t="shared" si="4"/>
        <v>0</v>
      </c>
      <c r="E51">
        <f t="shared" si="4"/>
        <v>0.1414</v>
      </c>
      <c r="F51">
        <f t="shared" si="4"/>
        <v>0</v>
      </c>
      <c r="G51">
        <f t="shared" si="4"/>
        <v>0</v>
      </c>
      <c r="H51">
        <f t="shared" si="4"/>
        <v>0</v>
      </c>
      <c r="I51">
        <f t="shared" si="4"/>
        <v>0</v>
      </c>
      <c r="J51">
        <f t="shared" si="4"/>
        <v>7.0699999999999999E-2</v>
      </c>
      <c r="K51">
        <f t="shared" si="4"/>
        <v>0.3347</v>
      </c>
      <c r="L51">
        <f t="shared" si="4"/>
        <v>0.251</v>
      </c>
      <c r="M51">
        <f t="shared" si="4"/>
        <v>0.1673</v>
      </c>
    </row>
    <row r="52" spans="1:13" x14ac:dyDescent="0.3">
      <c r="A52" t="s">
        <v>8</v>
      </c>
      <c r="B52">
        <f t="shared" si="4"/>
        <v>0.251</v>
      </c>
      <c r="C52">
        <f t="shared" si="4"/>
        <v>0</v>
      </c>
      <c r="D52">
        <f t="shared" si="4"/>
        <v>0</v>
      </c>
      <c r="E52">
        <f t="shared" si="4"/>
        <v>3.1600000000000003E-2</v>
      </c>
      <c r="F52">
        <f t="shared" si="4"/>
        <v>0</v>
      </c>
      <c r="G52">
        <f t="shared" si="4"/>
        <v>0</v>
      </c>
      <c r="H52">
        <f t="shared" si="4"/>
        <v>0.28460000000000002</v>
      </c>
      <c r="I52">
        <f t="shared" si="4"/>
        <v>0</v>
      </c>
      <c r="J52">
        <f t="shared" si="4"/>
        <v>0</v>
      </c>
      <c r="K52">
        <f t="shared" si="4"/>
        <v>0.3795</v>
      </c>
      <c r="L52">
        <f t="shared" si="4"/>
        <v>0.3347</v>
      </c>
      <c r="M52">
        <f t="shared" si="4"/>
        <v>0.28460000000000002</v>
      </c>
    </row>
    <row r="53" spans="1:13" x14ac:dyDescent="0.3">
      <c r="A53" t="s">
        <v>9</v>
      </c>
      <c r="B53">
        <f t="shared" si="4"/>
        <v>0</v>
      </c>
      <c r="C53">
        <f t="shared" si="4"/>
        <v>7.0699999999999999E-2</v>
      </c>
      <c r="D53">
        <f t="shared" si="4"/>
        <v>5.4800000000000001E-2</v>
      </c>
      <c r="E53">
        <f t="shared" si="4"/>
        <v>0.1414</v>
      </c>
      <c r="F53">
        <f t="shared" si="4"/>
        <v>0</v>
      </c>
      <c r="G53">
        <f t="shared" si="4"/>
        <v>0.1673</v>
      </c>
      <c r="H53">
        <f t="shared" si="4"/>
        <v>0</v>
      </c>
      <c r="I53">
        <f t="shared" si="4"/>
        <v>3.1600000000000003E-2</v>
      </c>
      <c r="J53">
        <f t="shared" si="4"/>
        <v>0.1414</v>
      </c>
      <c r="K53">
        <f t="shared" si="4"/>
        <v>0</v>
      </c>
      <c r="L53">
        <f t="shared" si="4"/>
        <v>7.0699999999999999E-2</v>
      </c>
      <c r="M53">
        <f t="shared" si="4"/>
        <v>0.1673</v>
      </c>
    </row>
    <row r="54" spans="1:13" x14ac:dyDescent="0.3">
      <c r="A54" t="s">
        <v>10</v>
      </c>
      <c r="B54">
        <f t="shared" si="4"/>
        <v>0</v>
      </c>
      <c r="C54">
        <f t="shared" si="4"/>
        <v>5.4800000000000001E-2</v>
      </c>
      <c r="D54">
        <f t="shared" si="4"/>
        <v>7.0699999999999999E-2</v>
      </c>
      <c r="E54">
        <f t="shared" si="4"/>
        <v>0</v>
      </c>
      <c r="F54">
        <f t="shared" si="4"/>
        <v>7.0699999999999999E-2</v>
      </c>
      <c r="G54">
        <f t="shared" si="4"/>
        <v>0</v>
      </c>
      <c r="H54">
        <f t="shared" si="4"/>
        <v>0</v>
      </c>
      <c r="I54">
        <f t="shared" si="4"/>
        <v>0</v>
      </c>
      <c r="J54">
        <f t="shared" si="4"/>
        <v>0</v>
      </c>
      <c r="K54">
        <f t="shared" si="4"/>
        <v>0</v>
      </c>
      <c r="L54">
        <f t="shared" si="4"/>
        <v>0</v>
      </c>
      <c r="M54">
        <f t="shared" si="4"/>
        <v>0.3795</v>
      </c>
    </row>
    <row r="55" spans="1:13" x14ac:dyDescent="0.3">
      <c r="A55" t="s">
        <v>11</v>
      </c>
      <c r="B55">
        <f t="shared" si="4"/>
        <v>0</v>
      </c>
      <c r="C55">
        <f t="shared" si="4"/>
        <v>0</v>
      </c>
      <c r="D55">
        <f t="shared" si="4"/>
        <v>7.0699999999999999E-2</v>
      </c>
      <c r="E55">
        <f t="shared" si="4"/>
        <v>0.1673</v>
      </c>
      <c r="F55">
        <f t="shared" si="4"/>
        <v>0</v>
      </c>
      <c r="G55">
        <f t="shared" si="4"/>
        <v>5.4800000000000001E-2</v>
      </c>
      <c r="H55">
        <f t="shared" si="4"/>
        <v>5.4800000000000001E-2</v>
      </c>
      <c r="I55">
        <f t="shared" si="4"/>
        <v>5.4800000000000001E-2</v>
      </c>
      <c r="J55">
        <f t="shared" si="4"/>
        <v>3.1600000000000003E-2</v>
      </c>
      <c r="K55">
        <f t="shared" si="4"/>
        <v>0</v>
      </c>
      <c r="L55">
        <f t="shared" si="4"/>
        <v>8.3699999999999997E-2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0.3347</v>
      </c>
      <c r="D58">
        <f t="shared" si="6"/>
        <v>0.3347</v>
      </c>
      <c r="E58">
        <f t="shared" si="6"/>
        <v>0.1095</v>
      </c>
      <c r="F58">
        <f t="shared" si="6"/>
        <v>0.3347</v>
      </c>
      <c r="G58">
        <f t="shared" si="6"/>
        <v>7.0699999999999999E-2</v>
      </c>
      <c r="H58">
        <f t="shared" si="6"/>
        <v>8.3699999999999997E-2</v>
      </c>
      <c r="I58">
        <f t="shared" si="6"/>
        <v>7.0699999999999999E-2</v>
      </c>
      <c r="J58">
        <f t="shared" si="6"/>
        <v>0.3795</v>
      </c>
      <c r="K58">
        <f t="shared" si="6"/>
        <v>0.1095</v>
      </c>
      <c r="L58">
        <f t="shared" si="6"/>
        <v>3.1600000000000003E-2</v>
      </c>
      <c r="M58">
        <f t="shared" si="6"/>
        <v>0.1095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0.1095</v>
      </c>
      <c r="C59">
        <f t="shared" si="7"/>
        <v>0</v>
      </c>
      <c r="D59">
        <f t="shared" si="7"/>
        <v>0.3795</v>
      </c>
      <c r="E59">
        <f t="shared" si="7"/>
        <v>0.3795</v>
      </c>
      <c r="F59">
        <f t="shared" si="7"/>
        <v>0.251</v>
      </c>
      <c r="G59">
        <f t="shared" si="7"/>
        <v>0.3795</v>
      </c>
      <c r="H59">
        <f t="shared" si="7"/>
        <v>0.3347</v>
      </c>
      <c r="I59">
        <f t="shared" si="7"/>
        <v>0.1414</v>
      </c>
      <c r="J59">
        <f t="shared" si="7"/>
        <v>0.1673</v>
      </c>
      <c r="K59">
        <f t="shared" si="7"/>
        <v>0.3347</v>
      </c>
      <c r="L59">
        <f t="shared" si="7"/>
        <v>6.3200000000000006E-2</v>
      </c>
      <c r="M59">
        <f t="shared" si="7"/>
        <v>0.3347</v>
      </c>
    </row>
    <row r="60" spans="1:13" x14ac:dyDescent="0.3">
      <c r="A60" t="s">
        <v>2</v>
      </c>
      <c r="B60">
        <f t="shared" si="7"/>
        <v>0.1095</v>
      </c>
      <c r="C60">
        <f t="shared" si="7"/>
        <v>7.0699999999999999E-2</v>
      </c>
      <c r="D60">
        <f t="shared" si="7"/>
        <v>0</v>
      </c>
      <c r="E60">
        <f t="shared" si="7"/>
        <v>0.21210000000000001</v>
      </c>
      <c r="F60">
        <f t="shared" si="7"/>
        <v>0.1414</v>
      </c>
      <c r="G60">
        <f t="shared" si="7"/>
        <v>7.0699999999999999E-2</v>
      </c>
      <c r="H60">
        <f t="shared" si="7"/>
        <v>0.1095</v>
      </c>
      <c r="I60">
        <f t="shared" si="7"/>
        <v>7.0699999999999999E-2</v>
      </c>
      <c r="J60">
        <f t="shared" si="7"/>
        <v>0.3795</v>
      </c>
      <c r="K60">
        <f t="shared" si="7"/>
        <v>0.3795</v>
      </c>
      <c r="L60">
        <f t="shared" si="7"/>
        <v>0.3795</v>
      </c>
      <c r="M60">
        <f t="shared" si="7"/>
        <v>0.3795</v>
      </c>
    </row>
    <row r="61" spans="1:13" x14ac:dyDescent="0.3">
      <c r="A61" t="s">
        <v>3</v>
      </c>
      <c r="B61">
        <f t="shared" si="7"/>
        <v>5.4800000000000001E-2</v>
      </c>
      <c r="C61">
        <f t="shared" si="7"/>
        <v>7.0699999999999999E-2</v>
      </c>
      <c r="D61">
        <f t="shared" si="7"/>
        <v>0.1095</v>
      </c>
      <c r="E61">
        <f t="shared" si="7"/>
        <v>0</v>
      </c>
      <c r="F61">
        <f t="shared" si="7"/>
        <v>0.251</v>
      </c>
      <c r="G61">
        <f t="shared" si="7"/>
        <v>5.4800000000000001E-2</v>
      </c>
      <c r="H61">
        <f t="shared" si="7"/>
        <v>0.3347</v>
      </c>
      <c r="I61">
        <f t="shared" si="7"/>
        <v>0.1673</v>
      </c>
      <c r="J61">
        <f t="shared" si="7"/>
        <v>0.3347</v>
      </c>
      <c r="K61">
        <f t="shared" si="7"/>
        <v>0.1414</v>
      </c>
      <c r="L61">
        <f t="shared" si="7"/>
        <v>0.3347</v>
      </c>
      <c r="M61">
        <f t="shared" si="7"/>
        <v>0.3795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0.1414</v>
      </c>
      <c r="C62">
        <f t="shared" si="8"/>
        <v>0.1414</v>
      </c>
      <c r="D62">
        <f t="shared" si="8"/>
        <v>7.0699999999999999E-2</v>
      </c>
      <c r="E62">
        <f t="shared" si="8"/>
        <v>0.1414</v>
      </c>
      <c r="F62">
        <f t="shared" si="8"/>
        <v>0</v>
      </c>
      <c r="G62">
        <f t="shared" si="8"/>
        <v>0.251</v>
      </c>
      <c r="H62">
        <f t="shared" si="8"/>
        <v>6.3200000000000006E-2</v>
      </c>
      <c r="I62">
        <f t="shared" si="8"/>
        <v>0.1095</v>
      </c>
      <c r="J62">
        <f t="shared" si="8"/>
        <v>0.3795</v>
      </c>
      <c r="K62">
        <f t="shared" si="8"/>
        <v>0.3795</v>
      </c>
      <c r="L62">
        <f t="shared" si="8"/>
        <v>5.4800000000000001E-2</v>
      </c>
      <c r="M62">
        <f t="shared" si="8"/>
        <v>0.21210000000000001</v>
      </c>
    </row>
    <row r="63" spans="1:13" x14ac:dyDescent="0.3">
      <c r="A63" t="s">
        <v>5</v>
      </c>
      <c r="B63">
        <f t="shared" si="7"/>
        <v>7.0699999999999999E-2</v>
      </c>
      <c r="C63">
        <f t="shared" si="7"/>
        <v>0.1414</v>
      </c>
      <c r="D63">
        <f t="shared" si="7"/>
        <v>0.1414</v>
      </c>
      <c r="E63">
        <f t="shared" si="7"/>
        <v>7.0699999999999999E-2</v>
      </c>
      <c r="F63">
        <f t="shared" si="7"/>
        <v>7.0699999999999999E-2</v>
      </c>
      <c r="G63">
        <f t="shared" si="7"/>
        <v>0</v>
      </c>
      <c r="H63">
        <f t="shared" si="7"/>
        <v>0.1414</v>
      </c>
      <c r="I63">
        <f t="shared" si="7"/>
        <v>7.0699999999999999E-2</v>
      </c>
      <c r="J63">
        <f t="shared" si="7"/>
        <v>0.3795</v>
      </c>
      <c r="K63">
        <f t="shared" si="7"/>
        <v>5.4800000000000001E-2</v>
      </c>
      <c r="L63">
        <f t="shared" si="7"/>
        <v>7.0699999999999999E-2</v>
      </c>
      <c r="M63">
        <f t="shared" si="7"/>
        <v>0.1414</v>
      </c>
    </row>
    <row r="64" spans="1:13" x14ac:dyDescent="0.3">
      <c r="A64" t="s">
        <v>6</v>
      </c>
      <c r="B64">
        <f t="shared" si="7"/>
        <v>6.3200000000000006E-2</v>
      </c>
      <c r="C64">
        <f t="shared" si="7"/>
        <v>7.0699999999999999E-2</v>
      </c>
      <c r="D64">
        <f t="shared" si="7"/>
        <v>6.3200000000000006E-2</v>
      </c>
      <c r="E64">
        <f t="shared" si="7"/>
        <v>0.1095</v>
      </c>
      <c r="F64">
        <f t="shared" si="7"/>
        <v>0.1414</v>
      </c>
      <c r="G64">
        <f t="shared" si="7"/>
        <v>0.21210000000000001</v>
      </c>
      <c r="H64">
        <f t="shared" si="7"/>
        <v>0</v>
      </c>
      <c r="I64">
        <f t="shared" si="7"/>
        <v>0.21210000000000001</v>
      </c>
      <c r="J64">
        <f t="shared" si="7"/>
        <v>7.0699999999999999E-2</v>
      </c>
      <c r="K64">
        <f t="shared" si="7"/>
        <v>0.1414</v>
      </c>
      <c r="L64">
        <f t="shared" si="7"/>
        <v>0.1414</v>
      </c>
      <c r="M64">
        <f t="shared" si="7"/>
        <v>0.1414</v>
      </c>
    </row>
    <row r="65" spans="1:13" x14ac:dyDescent="0.3">
      <c r="A65" t="s">
        <v>7</v>
      </c>
      <c r="B65">
        <f t="shared" si="7"/>
        <v>7.0699999999999999E-2</v>
      </c>
      <c r="C65">
        <f t="shared" si="7"/>
        <v>0.1414</v>
      </c>
      <c r="D65">
        <f t="shared" si="7"/>
        <v>5.4800000000000001E-2</v>
      </c>
      <c r="E65">
        <f t="shared" si="7"/>
        <v>0.21210000000000001</v>
      </c>
      <c r="F65">
        <f t="shared" si="7"/>
        <v>3.1600000000000003E-2</v>
      </c>
      <c r="G65">
        <f t="shared" si="7"/>
        <v>7.0699999999999999E-2</v>
      </c>
      <c r="H65">
        <f t="shared" si="7"/>
        <v>7.0699999999999999E-2</v>
      </c>
      <c r="I65">
        <f t="shared" si="7"/>
        <v>0</v>
      </c>
      <c r="J65">
        <f t="shared" si="7"/>
        <v>0.1414</v>
      </c>
      <c r="K65">
        <f t="shared" si="7"/>
        <v>0.3347</v>
      </c>
      <c r="L65">
        <f t="shared" si="7"/>
        <v>0.3347</v>
      </c>
      <c r="M65">
        <f t="shared" si="7"/>
        <v>0.251</v>
      </c>
    </row>
    <row r="66" spans="1:13" x14ac:dyDescent="0.3">
      <c r="A66" t="s">
        <v>8</v>
      </c>
      <c r="B66">
        <f t="shared" si="7"/>
        <v>0.3347</v>
      </c>
      <c r="C66">
        <f t="shared" si="7"/>
        <v>5.4800000000000001E-2</v>
      </c>
      <c r="D66">
        <f t="shared" si="7"/>
        <v>7.0699999999999999E-2</v>
      </c>
      <c r="E66">
        <f t="shared" si="7"/>
        <v>6.3200000000000006E-2</v>
      </c>
      <c r="F66">
        <f t="shared" si="7"/>
        <v>3.1600000000000003E-2</v>
      </c>
      <c r="G66">
        <f t="shared" si="7"/>
        <v>7.0699999999999999E-2</v>
      </c>
      <c r="H66">
        <f t="shared" si="7"/>
        <v>0.3795</v>
      </c>
      <c r="I66">
        <f t="shared" si="7"/>
        <v>3.1600000000000003E-2</v>
      </c>
      <c r="J66">
        <f t="shared" si="7"/>
        <v>0</v>
      </c>
      <c r="K66">
        <f t="shared" si="7"/>
        <v>0.3795</v>
      </c>
      <c r="L66">
        <f t="shared" si="7"/>
        <v>0.3347</v>
      </c>
      <c r="M66">
        <f t="shared" si="7"/>
        <v>0.3795</v>
      </c>
    </row>
    <row r="67" spans="1:13" x14ac:dyDescent="0.3">
      <c r="A67" t="s">
        <v>9</v>
      </c>
      <c r="B67">
        <f t="shared" si="7"/>
        <v>7.0699999999999999E-2</v>
      </c>
      <c r="C67">
        <f t="shared" si="7"/>
        <v>0.1414</v>
      </c>
      <c r="D67">
        <f t="shared" si="7"/>
        <v>0.1095</v>
      </c>
      <c r="E67">
        <f t="shared" si="7"/>
        <v>0.21210000000000001</v>
      </c>
      <c r="F67">
        <f t="shared" si="7"/>
        <v>7.0699999999999999E-2</v>
      </c>
      <c r="G67">
        <f t="shared" si="7"/>
        <v>0.251</v>
      </c>
      <c r="H67">
        <f t="shared" si="7"/>
        <v>7.0699999999999999E-2</v>
      </c>
      <c r="I67">
        <f t="shared" si="7"/>
        <v>6.3200000000000006E-2</v>
      </c>
      <c r="J67">
        <f t="shared" si="7"/>
        <v>0.21210000000000001</v>
      </c>
      <c r="K67">
        <f t="shared" si="7"/>
        <v>0</v>
      </c>
      <c r="L67">
        <f t="shared" si="7"/>
        <v>0.1414</v>
      </c>
      <c r="M67">
        <f t="shared" si="7"/>
        <v>0.251</v>
      </c>
    </row>
    <row r="68" spans="1:13" x14ac:dyDescent="0.3">
      <c r="A68" t="s">
        <v>10</v>
      </c>
      <c r="B68">
        <f t="shared" si="7"/>
        <v>5.4800000000000001E-2</v>
      </c>
      <c r="C68">
        <f t="shared" si="7"/>
        <v>0.1095</v>
      </c>
      <c r="D68">
        <f t="shared" si="7"/>
        <v>0.1414</v>
      </c>
      <c r="E68">
        <f t="shared" si="7"/>
        <v>7.0699999999999999E-2</v>
      </c>
      <c r="F68">
        <f t="shared" si="7"/>
        <v>0.1414</v>
      </c>
      <c r="G68">
        <f t="shared" si="7"/>
        <v>7.0699999999999999E-2</v>
      </c>
      <c r="H68">
        <f t="shared" si="7"/>
        <v>5.4800000000000001E-2</v>
      </c>
      <c r="I68">
        <f t="shared" si="7"/>
        <v>7.0699999999999999E-2</v>
      </c>
      <c r="J68">
        <f t="shared" si="7"/>
        <v>5.4800000000000001E-2</v>
      </c>
      <c r="K68">
        <f t="shared" si="7"/>
        <v>7.0699999999999999E-2</v>
      </c>
      <c r="L68">
        <f t="shared" si="7"/>
        <v>0</v>
      </c>
      <c r="M68">
        <f t="shared" si="7"/>
        <v>0.3795</v>
      </c>
    </row>
    <row r="69" spans="1:13" x14ac:dyDescent="0.3">
      <c r="A69" t="s">
        <v>11</v>
      </c>
      <c r="B69">
        <f t="shared" si="7"/>
        <v>5.4800000000000001E-2</v>
      </c>
      <c r="C69">
        <f t="shared" si="7"/>
        <v>7.0699999999999999E-2</v>
      </c>
      <c r="D69">
        <f t="shared" si="7"/>
        <v>0.1414</v>
      </c>
      <c r="E69">
        <f t="shared" si="7"/>
        <v>0.251</v>
      </c>
      <c r="F69">
        <f t="shared" si="7"/>
        <v>7.0699999999999999E-2</v>
      </c>
      <c r="G69">
        <f t="shared" si="7"/>
        <v>0.1095</v>
      </c>
      <c r="H69">
        <f t="shared" si="7"/>
        <v>0.1095</v>
      </c>
      <c r="I69">
        <f t="shared" si="7"/>
        <v>0.1095</v>
      </c>
      <c r="J69">
        <f t="shared" si="7"/>
        <v>6.3200000000000006E-2</v>
      </c>
      <c r="K69">
        <f t="shared" si="7"/>
        <v>5.4800000000000001E-2</v>
      </c>
      <c r="L69">
        <f t="shared" si="7"/>
        <v>0.1673</v>
      </c>
      <c r="M69">
        <f t="shared" si="7"/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3"/>
  <dimension ref="A1:M69"/>
  <sheetViews>
    <sheetView workbookViewId="0">
      <selection activeCell="A15" sqref="A15:M69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13</v>
      </c>
      <c r="D2" t="s">
        <v>13</v>
      </c>
      <c r="E2" t="s">
        <v>16</v>
      </c>
      <c r="F2" t="s">
        <v>23</v>
      </c>
      <c r="G2" t="s">
        <v>15</v>
      </c>
      <c r="H2" t="s">
        <v>24</v>
      </c>
      <c r="I2" t="s">
        <v>16</v>
      </c>
      <c r="J2" t="s">
        <v>13</v>
      </c>
      <c r="K2" t="s">
        <v>17</v>
      </c>
      <c r="L2" t="s">
        <v>15</v>
      </c>
      <c r="M2" t="s">
        <v>20</v>
      </c>
    </row>
    <row r="3" spans="1:13" x14ac:dyDescent="0.3">
      <c r="A3" s="1" t="s">
        <v>1</v>
      </c>
      <c r="B3" t="s">
        <v>15</v>
      </c>
      <c r="C3">
        <v>0</v>
      </c>
      <c r="D3" t="s">
        <v>18</v>
      </c>
      <c r="E3" t="s">
        <v>25</v>
      </c>
      <c r="F3" t="s">
        <v>12</v>
      </c>
      <c r="G3" t="s">
        <v>24</v>
      </c>
      <c r="H3" t="s">
        <v>13</v>
      </c>
      <c r="I3" t="s">
        <v>20</v>
      </c>
      <c r="J3" t="s">
        <v>12</v>
      </c>
      <c r="K3" t="s">
        <v>25</v>
      </c>
      <c r="L3" t="s">
        <v>18</v>
      </c>
      <c r="M3" t="s">
        <v>13</v>
      </c>
    </row>
    <row r="4" spans="1:13" x14ac:dyDescent="0.3">
      <c r="A4" s="1" t="s">
        <v>2</v>
      </c>
      <c r="B4" t="s">
        <v>16</v>
      </c>
      <c r="C4" t="s">
        <v>24</v>
      </c>
      <c r="D4">
        <v>0</v>
      </c>
      <c r="E4" t="s">
        <v>19</v>
      </c>
      <c r="F4" t="s">
        <v>20</v>
      </c>
      <c r="G4" t="s">
        <v>17</v>
      </c>
      <c r="H4" t="s">
        <v>21</v>
      </c>
      <c r="I4" t="s">
        <v>16</v>
      </c>
      <c r="J4" t="s">
        <v>18</v>
      </c>
      <c r="K4" t="s">
        <v>25</v>
      </c>
      <c r="L4" t="s">
        <v>12</v>
      </c>
      <c r="M4" t="s">
        <v>12</v>
      </c>
    </row>
    <row r="5" spans="1:13" x14ac:dyDescent="0.3">
      <c r="A5" s="1" t="s">
        <v>3</v>
      </c>
      <c r="B5" t="s">
        <v>21</v>
      </c>
      <c r="C5" t="s">
        <v>17</v>
      </c>
      <c r="D5" t="s">
        <v>16</v>
      </c>
      <c r="E5">
        <v>0</v>
      </c>
      <c r="F5" t="s">
        <v>16</v>
      </c>
      <c r="G5" t="s">
        <v>16</v>
      </c>
      <c r="H5" t="s">
        <v>12</v>
      </c>
      <c r="I5" t="s">
        <v>22</v>
      </c>
      <c r="J5" t="s">
        <v>25</v>
      </c>
      <c r="K5" t="s">
        <v>22</v>
      </c>
      <c r="L5" t="s">
        <v>13</v>
      </c>
      <c r="M5" t="s">
        <v>13</v>
      </c>
    </row>
    <row r="6" spans="1:13" x14ac:dyDescent="0.3">
      <c r="A6" s="1" t="s">
        <v>4</v>
      </c>
      <c r="B6" t="s">
        <v>15</v>
      </c>
      <c r="C6" t="s">
        <v>23</v>
      </c>
      <c r="D6" t="s">
        <v>20</v>
      </c>
      <c r="E6" t="s">
        <v>16</v>
      </c>
      <c r="F6">
        <v>0</v>
      </c>
      <c r="G6" t="s">
        <v>12</v>
      </c>
      <c r="H6" t="s">
        <v>16</v>
      </c>
      <c r="I6" t="s">
        <v>22</v>
      </c>
      <c r="J6" t="s">
        <v>13</v>
      </c>
      <c r="K6" t="s">
        <v>25</v>
      </c>
      <c r="L6" t="s">
        <v>16</v>
      </c>
      <c r="M6" t="s">
        <v>24</v>
      </c>
    </row>
    <row r="7" spans="1:13" x14ac:dyDescent="0.3">
      <c r="A7" s="1" t="s">
        <v>5</v>
      </c>
      <c r="B7" t="s">
        <v>20</v>
      </c>
      <c r="C7" t="s">
        <v>15</v>
      </c>
      <c r="D7" t="s">
        <v>71</v>
      </c>
      <c r="E7" t="s">
        <v>23</v>
      </c>
      <c r="F7" t="s">
        <v>16</v>
      </c>
      <c r="G7">
        <v>0</v>
      </c>
      <c r="H7" t="s">
        <v>24</v>
      </c>
      <c r="I7" t="s">
        <v>16</v>
      </c>
      <c r="J7" t="s">
        <v>25</v>
      </c>
      <c r="K7" t="s">
        <v>16</v>
      </c>
      <c r="L7" s="6" t="s">
        <v>16</v>
      </c>
      <c r="M7" t="s">
        <v>16</v>
      </c>
    </row>
    <row r="8" spans="1:13" x14ac:dyDescent="0.3">
      <c r="A8" s="1" t="s">
        <v>6</v>
      </c>
      <c r="B8" t="s">
        <v>20</v>
      </c>
      <c r="C8" t="s">
        <v>23</v>
      </c>
      <c r="D8" t="s">
        <v>15</v>
      </c>
      <c r="E8" t="s">
        <v>22</v>
      </c>
      <c r="F8" t="s">
        <v>71</v>
      </c>
      <c r="G8" t="s">
        <v>16</v>
      </c>
      <c r="H8">
        <v>0</v>
      </c>
      <c r="I8" t="s">
        <v>24</v>
      </c>
      <c r="J8" t="s">
        <v>24</v>
      </c>
      <c r="K8" t="s">
        <v>15</v>
      </c>
      <c r="L8" s="6" t="s">
        <v>20</v>
      </c>
      <c r="M8" t="s">
        <v>16</v>
      </c>
    </row>
    <row r="9" spans="1:13" x14ac:dyDescent="0.3">
      <c r="A9" s="1" t="s">
        <v>7</v>
      </c>
      <c r="B9" t="s">
        <v>16</v>
      </c>
      <c r="C9" t="s">
        <v>20</v>
      </c>
      <c r="D9" t="s">
        <v>24</v>
      </c>
      <c r="E9" t="s">
        <v>20</v>
      </c>
      <c r="F9" t="s">
        <v>15</v>
      </c>
      <c r="G9" t="s">
        <v>24</v>
      </c>
      <c r="H9" t="s">
        <v>24</v>
      </c>
      <c r="I9">
        <v>0</v>
      </c>
      <c r="J9" t="s">
        <v>22</v>
      </c>
      <c r="K9" t="s">
        <v>25</v>
      </c>
      <c r="L9" s="6" t="s">
        <v>13</v>
      </c>
      <c r="M9" t="s">
        <v>18</v>
      </c>
    </row>
    <row r="10" spans="1:13" x14ac:dyDescent="0.3">
      <c r="A10" s="1" t="s">
        <v>8</v>
      </c>
      <c r="B10" t="s">
        <v>21</v>
      </c>
      <c r="C10" t="s">
        <v>15</v>
      </c>
      <c r="D10" t="s">
        <v>62</v>
      </c>
      <c r="E10" t="s">
        <v>24</v>
      </c>
      <c r="F10" t="s">
        <v>16</v>
      </c>
      <c r="G10" t="s">
        <v>24</v>
      </c>
      <c r="H10" t="s">
        <v>25</v>
      </c>
      <c r="I10" t="s">
        <v>15</v>
      </c>
      <c r="J10">
        <v>0</v>
      </c>
      <c r="K10" t="s">
        <v>25</v>
      </c>
      <c r="L10" s="6" t="s">
        <v>12</v>
      </c>
      <c r="M10" t="s">
        <v>18</v>
      </c>
    </row>
    <row r="11" spans="1:13" x14ac:dyDescent="0.3">
      <c r="A11" s="1" t="s">
        <v>9</v>
      </c>
      <c r="B11" t="s">
        <v>16</v>
      </c>
      <c r="C11" t="s">
        <v>15</v>
      </c>
      <c r="D11" t="s">
        <v>23</v>
      </c>
      <c r="E11" t="s">
        <v>62</v>
      </c>
      <c r="F11" t="s">
        <v>20</v>
      </c>
      <c r="G11" t="s">
        <v>20</v>
      </c>
      <c r="H11" t="s">
        <v>16</v>
      </c>
      <c r="I11" t="s">
        <v>16</v>
      </c>
      <c r="J11" t="s">
        <v>23</v>
      </c>
      <c r="K11">
        <v>0</v>
      </c>
      <c r="L11" s="6" t="s">
        <v>21</v>
      </c>
      <c r="M11" t="s">
        <v>24</v>
      </c>
    </row>
    <row r="12" spans="1:13" x14ac:dyDescent="0.3">
      <c r="A12" s="1" t="s">
        <v>10</v>
      </c>
      <c r="B12" t="s">
        <v>17</v>
      </c>
      <c r="C12" t="s">
        <v>23</v>
      </c>
      <c r="D12" t="s">
        <v>16</v>
      </c>
      <c r="E12" t="s">
        <v>62</v>
      </c>
      <c r="F12" t="s">
        <v>24</v>
      </c>
      <c r="G12" t="s">
        <v>16</v>
      </c>
      <c r="H12" t="s">
        <v>24</v>
      </c>
      <c r="I12" t="s">
        <v>20</v>
      </c>
      <c r="J12" t="s">
        <v>23</v>
      </c>
      <c r="K12" t="s">
        <v>15</v>
      </c>
      <c r="L12">
        <v>0</v>
      </c>
      <c r="M12" t="s">
        <v>13</v>
      </c>
    </row>
    <row r="13" spans="1:13" x14ac:dyDescent="0.3">
      <c r="A13" s="1" t="s">
        <v>11</v>
      </c>
      <c r="B13" t="s">
        <v>17</v>
      </c>
      <c r="C13" t="s">
        <v>24</v>
      </c>
      <c r="D13" t="s">
        <v>23</v>
      </c>
      <c r="E13" t="s">
        <v>16</v>
      </c>
      <c r="F13" t="s">
        <v>22</v>
      </c>
      <c r="G13" t="s">
        <v>22</v>
      </c>
      <c r="H13" t="s">
        <v>24</v>
      </c>
      <c r="I13" t="s">
        <v>15</v>
      </c>
      <c r="J13" t="s">
        <v>15</v>
      </c>
      <c r="K13" t="s">
        <v>62</v>
      </c>
      <c r="L13" t="s">
        <v>16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(0,1897; 0,2846; 0,3795)</v>
      </c>
      <c r="D16" t="str">
        <f>VLOOKUP(D2,'Thang đánh giá'!$C$2:$D$27,2,FALSE)</f>
        <v>(0,1897; 0,2846; 0,3795)</v>
      </c>
      <c r="E16" t="str">
        <f>VLOOKUP(E2,'Thang đánh giá'!$C$2:$D$27,2,FALSE)</f>
        <v>(0; 0; 0,0707)</v>
      </c>
      <c r="F16" t="str">
        <f>VLOOKUP(F2,'Thang đánh giá'!$C$2:$D$27,2,FALSE)</f>
        <v>(0; 0; 0,0316)</v>
      </c>
      <c r="G16" t="str">
        <f>VLOOKUP(G2,'Thang đánh giá'!$C$2:$D$27,2,FALSE)</f>
        <v>(0; 0,0707; 0,1414)</v>
      </c>
      <c r="H16" t="str">
        <f>VLOOKUP(H2,'Thang đánh giá'!$C$2:$D$27,2,FALSE)</f>
        <v>(0; 0; 0,0548)</v>
      </c>
      <c r="I16" t="str">
        <f>VLOOKUP(I2,'Thang đánh giá'!$C$2:$D$27,2,FALSE)</f>
        <v>(0; 0; 0,0707)</v>
      </c>
      <c r="J16" t="str">
        <f>VLOOKUP(J2,'Thang đánh giá'!$C$2:$D$27,2,FALSE)</f>
        <v>(0,1897; 0,2846; 0,3795)</v>
      </c>
      <c r="K16" t="str">
        <f>VLOOKUP(K2,'Thang đánh giá'!$C$2:$D$27,2,FALSE)</f>
        <v>(0; 0,0316; 0,0632)</v>
      </c>
      <c r="L16" t="str">
        <f>VLOOKUP(L2,'Thang đánh giá'!$C$2:$D$27,2,FALSE)</f>
        <v>(0; 0,0707; 0,1414)</v>
      </c>
      <c r="M16" t="str">
        <f>VLOOKUP(M2,'Thang đánh giá'!$C$2:$D$27,2,FALSE)</f>
        <v>(0; 0,0548; 0,1095)</v>
      </c>
    </row>
    <row r="17" spans="1:13" x14ac:dyDescent="0.3">
      <c r="A17" t="s">
        <v>1</v>
      </c>
      <c r="B17" t="str">
        <f>VLOOKUP(B3,'Thang đánh giá'!$C$2:$D$27,2,FALSE)</f>
        <v>(0; 0,0707; 0,1414)</v>
      </c>
      <c r="C17" t="str">
        <f>VLOOKUP(C3,'Thang đánh giá'!$C$2:$D$27,2,FALSE)</f>
        <v>(0; 0; 0)</v>
      </c>
      <c r="D17" t="str">
        <f>VLOOKUP(D3,'Thang đánh giá'!$C$2:$D$27,2,FALSE)</f>
        <v>(0,2846; 0,3795; 0,3795)</v>
      </c>
      <c r="E17" t="str">
        <f>VLOOKUP(E3,'Thang đánh giá'!$C$2:$D$27,2,FALSE)</f>
        <v>(0,251; 0,3347; 0,3347)</v>
      </c>
      <c r="F17" t="str">
        <f>VLOOKUP(F3,'Thang đánh giá'!$C$2:$D$27,2,FALSE)</f>
        <v>(0,1673; 0,251; 0,3347)</v>
      </c>
      <c r="G17" t="str">
        <f>VLOOKUP(G3,'Thang đánh giá'!$C$2:$D$27,2,FALSE)</f>
        <v>(0; 0; 0,0548)</v>
      </c>
      <c r="H17" t="str">
        <f>VLOOKUP(H3,'Thang đánh giá'!$C$2:$D$27,2,FALSE)</f>
        <v>(0,1897; 0,2846; 0,3795)</v>
      </c>
      <c r="I17" t="str">
        <f>VLOOKUP(I3,'Thang đánh giá'!$C$2:$D$27,2,FALSE)</f>
        <v>(0; 0,0548; 0,1095)</v>
      </c>
      <c r="J17" t="str">
        <f>VLOOKUP(J3,'Thang đánh giá'!$C$2:$D$27,2,FALSE)</f>
        <v>(0,1673; 0,251; 0,3347)</v>
      </c>
      <c r="K17" t="str">
        <f>VLOOKUP(K3,'Thang đánh giá'!$C$2:$D$27,2,FALSE)</f>
        <v>(0,251; 0,3347; 0,3347)</v>
      </c>
      <c r="L17" t="str">
        <f>VLOOKUP(L3,'Thang đánh giá'!$C$2:$D$27,2,FALSE)</f>
        <v>(0,2846; 0,3795; 0,3795)</v>
      </c>
      <c r="M17" t="str">
        <f>VLOOKUP(M3,'Thang đánh giá'!$C$2:$D$27,2,FALSE)</f>
        <v>(0,1897; 0,2846; 0,3795)</v>
      </c>
    </row>
    <row r="18" spans="1:13" x14ac:dyDescent="0.3">
      <c r="A18" t="s">
        <v>2</v>
      </c>
      <c r="B18" t="str">
        <f>VLOOKUP(B4,'Thang đánh giá'!$C$2:$D$27,2,FALSE)</f>
        <v>(0; 0; 0,0707)</v>
      </c>
      <c r="C18" t="str">
        <f>VLOOKUP(C4,'Thang đánh giá'!$C$2:$D$27,2,FALSE)</f>
        <v>(0; 0; 0,0548)</v>
      </c>
      <c r="D18" t="str">
        <f>VLOOKUP(D4,'Thang đánh giá'!$C$2:$D$27,2,FALSE)</f>
        <v>(0; 0; 0)</v>
      </c>
      <c r="E18" t="str">
        <f>VLOOKUP(E4,'Thang đánh giá'!$C$2:$D$27,2,FALSE)</f>
        <v>(0,1414; 0,2121; 0,2828)</v>
      </c>
      <c r="F18" t="str">
        <f>VLOOKUP(F4,'Thang đánh giá'!$C$2:$D$27,2,FALSE)</f>
        <v>(0; 0,0548; 0,1095)</v>
      </c>
      <c r="G18" t="str">
        <f>VLOOKUP(G4,'Thang đánh giá'!$C$2:$D$27,2,FALSE)</f>
        <v>(0; 0,0316; 0,0632)</v>
      </c>
      <c r="H18" t="str">
        <f>VLOOKUP(H4,'Thang đánh giá'!$C$2:$D$27,2,FALSE)</f>
        <v>(0,0837; 0,1673; 0,251)</v>
      </c>
      <c r="I18" t="str">
        <f>VLOOKUP(I4,'Thang đánh giá'!$C$2:$D$27,2,FALSE)</f>
        <v>(0; 0; 0,0707)</v>
      </c>
      <c r="J18" t="str">
        <f>VLOOKUP(J4,'Thang đánh giá'!$C$2:$D$27,2,FALSE)</f>
        <v>(0,2846; 0,3795; 0,3795)</v>
      </c>
      <c r="K18" t="str">
        <f>VLOOKUP(K4,'Thang đánh giá'!$C$2:$D$27,2,FALSE)</f>
        <v>(0,251; 0,3347; 0,3347)</v>
      </c>
      <c r="L18" t="str">
        <f>VLOOKUP(L4,'Thang đánh giá'!$C$2:$D$27,2,FALSE)</f>
        <v>(0,1673; 0,251; 0,3347)</v>
      </c>
      <c r="M18" t="str">
        <f>VLOOKUP(M4,'Thang đánh giá'!$C$2:$D$27,2,FALSE)</f>
        <v>(0,1673; 0,251; 0,3347)</v>
      </c>
    </row>
    <row r="19" spans="1:13" x14ac:dyDescent="0.3">
      <c r="A19" t="s">
        <v>3</v>
      </c>
      <c r="B19" t="str">
        <f>VLOOKUP(B5,'Thang đánh giá'!$C$2:$D$27,2,FALSE)</f>
        <v>(0,0837; 0,1673; 0,251)</v>
      </c>
      <c r="C19" t="str">
        <f>VLOOKUP(C5,'Thang đánh giá'!$C$2:$D$27,2,FALSE)</f>
        <v>(0; 0,0316; 0,0632)</v>
      </c>
      <c r="D19" t="str">
        <f>VLOOKUP(D5,'Thang đánh giá'!$C$2:$D$27,2,FALSE)</f>
        <v>(0; 0; 0,0707)</v>
      </c>
      <c r="E19" t="str">
        <f>VLOOKUP(E5,'Thang đánh giá'!$C$2:$D$27,2,FALSE)</f>
        <v>(0; 0; 0)</v>
      </c>
      <c r="F19" t="str">
        <f>VLOOKUP(F5,'Thang đánh giá'!$C$2:$D$27,2,FALSE)</f>
        <v>(0; 0; 0,0707)</v>
      </c>
      <c r="G19" t="str">
        <f>VLOOKUP(G5,'Thang đánh giá'!$C$2:$D$27,2,FALSE)</f>
        <v>(0; 0; 0,0707)</v>
      </c>
      <c r="H19" t="str">
        <f>VLOOKUP(H5,'Thang đánh giá'!$C$2:$D$27,2,FALSE)</f>
        <v>(0,1673; 0,251; 0,3347)</v>
      </c>
      <c r="I19" t="str">
        <f>VLOOKUP(I5,'Thang đánh giá'!$C$2:$D$27,2,FALSE)</f>
        <v>(0,0707; 0,1414; 0,2121)</v>
      </c>
      <c r="J19" t="str">
        <f>VLOOKUP(J5,'Thang đánh giá'!$C$2:$D$27,2,FALSE)</f>
        <v>(0,251; 0,3347; 0,3347)</v>
      </c>
      <c r="K19" t="str">
        <f>VLOOKUP(K5,'Thang đánh giá'!$C$2:$D$27,2,FALSE)</f>
        <v>(0,0707; 0,1414; 0,2121)</v>
      </c>
      <c r="L19" t="str">
        <f>VLOOKUP(L5,'Thang đánh giá'!$C$2:$D$27,2,FALSE)</f>
        <v>(0,1897; 0,2846; 0,3795)</v>
      </c>
      <c r="M19" t="str">
        <f>VLOOKUP(M5,'Thang đánh giá'!$C$2:$D$27,2,FALSE)</f>
        <v>(0,1897; 0,2846; 0,3795)</v>
      </c>
    </row>
    <row r="20" spans="1:13" x14ac:dyDescent="0.3">
      <c r="A20" t="s">
        <v>4</v>
      </c>
      <c r="B20" t="str">
        <f>VLOOKUP(B6,'Thang đánh giá'!$C$2:$D$27,2,FALSE)</f>
        <v>(0; 0,0707; 0,1414)</v>
      </c>
      <c r="C20" t="str">
        <f>VLOOKUP(C6,'Thang đánh giá'!$C$2:$D$27,2,FALSE)</f>
        <v>(0; 0; 0,0316)</v>
      </c>
      <c r="D20" t="str">
        <f>VLOOKUP(D6,'Thang đánh giá'!$C$2:$D$27,2,FALSE)</f>
        <v>(0; 0,0548; 0,1095)</v>
      </c>
      <c r="E20" t="str">
        <f>VLOOKUP(E6,'Thang đánh giá'!$C$2:$D$27,2,FALSE)</f>
        <v>(0; 0; 0,0707)</v>
      </c>
      <c r="F20" t="str">
        <f>VLOOKUP(F6,'Thang đánh giá'!$C$2:$D$27,2,FALSE)</f>
        <v>(0; 0; 0)</v>
      </c>
      <c r="G20" t="str">
        <f>VLOOKUP(G6,'Thang đánh giá'!$C$2:$D$27,2,FALSE)</f>
        <v>(0,1673; 0,251; 0,3347)</v>
      </c>
      <c r="H20" t="str">
        <f>VLOOKUP(H6,'Thang đánh giá'!$C$2:$D$27,2,FALSE)</f>
        <v>(0; 0; 0,0707)</v>
      </c>
      <c r="I20" t="str">
        <f>VLOOKUP(I6,'Thang đánh giá'!$C$2:$D$27,2,FALSE)</f>
        <v>(0,0707; 0,1414; 0,2121)</v>
      </c>
      <c r="J20" t="str">
        <f>VLOOKUP(J6,'Thang đánh giá'!$C$2:$D$27,2,FALSE)</f>
        <v>(0,1897; 0,2846; 0,3795)</v>
      </c>
      <c r="K20" t="str">
        <f>VLOOKUP(K6,'Thang đánh giá'!$C$2:$D$27,2,FALSE)</f>
        <v>(0,251; 0,3347; 0,3347)</v>
      </c>
      <c r="L20" t="str">
        <f>VLOOKUP(L6,'Thang đánh giá'!$C$2:$D$27,2,FALSE)</f>
        <v>(0; 0; 0,0707)</v>
      </c>
      <c r="M20" t="str">
        <f>VLOOKUP(M6,'Thang đánh giá'!$C$2:$D$27,2,FALSE)</f>
        <v>(0; 0; 0,0548)</v>
      </c>
    </row>
    <row r="21" spans="1:13" x14ac:dyDescent="0.3">
      <c r="A21" t="s">
        <v>5</v>
      </c>
      <c r="B21" t="str">
        <f>VLOOKUP(B7,'Thang đánh giá'!$C$2:$D$27,2,FALSE)</f>
        <v>(0; 0,0548; 0,1095)</v>
      </c>
      <c r="C21" t="str">
        <f>VLOOKUP(C7,'Thang đánh giá'!$C$2:$D$27,2,FALSE)</f>
        <v>(0; 0,0707; 0,1414)</v>
      </c>
      <c r="D21" t="str">
        <f>VLOOKUP(D7,'Thang đánh giá'!$C$2:$D$27,2,FALSE)</f>
        <v>(0; 0; 0,0837)</v>
      </c>
      <c r="E21" t="str">
        <f>VLOOKUP(E7,'Thang đánh giá'!$C$2:$D$27,2,FALSE)</f>
        <v>(0; 0; 0,0316)</v>
      </c>
      <c r="F21" t="str">
        <f>VLOOKUP(F7,'Thang đánh giá'!$C$2:$D$27,2,FALSE)</f>
        <v>(0; 0; 0,0707)</v>
      </c>
      <c r="G21" t="str">
        <f>VLOOKUP(G7,'Thang đánh giá'!$C$2:$D$27,2,FALSE)</f>
        <v>(0; 0; 0)</v>
      </c>
      <c r="H21" t="str">
        <f>VLOOKUP(H7,'Thang đánh giá'!$C$2:$D$27,2,FALSE)</f>
        <v>(0; 0; 0,0548)</v>
      </c>
      <c r="I21" t="str">
        <f>VLOOKUP(I7,'Thang đánh giá'!$C$2:$D$27,2,FALSE)</f>
        <v>(0; 0; 0,0707)</v>
      </c>
      <c r="J21" t="str">
        <f>VLOOKUP(J7,'Thang đánh giá'!$C$2:$D$27,2,FALSE)</f>
        <v>(0,251; 0,3347; 0,3347)</v>
      </c>
      <c r="K21" t="str">
        <f>VLOOKUP(K7,'Thang đánh giá'!$C$2:$D$27,2,FALSE)</f>
        <v>(0; 0; 0,0707)</v>
      </c>
      <c r="L21" t="str">
        <f>VLOOKUP(L7,'Thang đánh giá'!$C$2:$D$27,2,FALSE)</f>
        <v>(0; 0; 0,0707)</v>
      </c>
      <c r="M21" t="str">
        <f>VLOOKUP(M7,'Thang đánh giá'!$C$2:$D$27,2,FALSE)</f>
        <v>(0; 0; 0,0707)</v>
      </c>
    </row>
    <row r="22" spans="1:13" x14ac:dyDescent="0.3">
      <c r="A22" t="s">
        <v>6</v>
      </c>
      <c r="B22" t="str">
        <f>VLOOKUP(B8,'Thang đánh giá'!$C$2:$D$27,2,FALSE)</f>
        <v>(0; 0,0548; 0,1095)</v>
      </c>
      <c r="C22" t="str">
        <f>VLOOKUP(C8,'Thang đánh giá'!$C$2:$D$27,2,FALSE)</f>
        <v>(0; 0; 0,0316)</v>
      </c>
      <c r="D22" t="str">
        <f>VLOOKUP(D8,'Thang đánh giá'!$C$2:$D$27,2,FALSE)</f>
        <v>(0; 0,0707; 0,1414)</v>
      </c>
      <c r="E22" t="str">
        <f>VLOOKUP(E8,'Thang đánh giá'!$C$2:$D$27,2,FALSE)</f>
        <v>(0,0707; 0,1414; 0,2121)</v>
      </c>
      <c r="F22" t="str">
        <f>VLOOKUP(F8,'Thang đánh giá'!$C$2:$D$27,2,FALSE)</f>
        <v>(0; 0; 0,0837)</v>
      </c>
      <c r="G22" t="str">
        <f>VLOOKUP(G8,'Thang đánh giá'!$C$2:$D$27,2,FALSE)</f>
        <v>(0; 0; 0,0707)</v>
      </c>
      <c r="H22" t="str">
        <f>VLOOKUP(H8,'Thang đánh giá'!$C$2:$D$27,2,FALSE)</f>
        <v>(0; 0; 0)</v>
      </c>
      <c r="I22" t="str">
        <f>VLOOKUP(I8,'Thang đánh giá'!$C$2:$D$27,2,FALSE)</f>
        <v>(0; 0; 0,0548)</v>
      </c>
      <c r="J22" t="str">
        <f>VLOOKUP(J8,'Thang đánh giá'!$C$2:$D$27,2,FALSE)</f>
        <v>(0; 0; 0,0548)</v>
      </c>
      <c r="K22" t="str">
        <f>VLOOKUP(K8,'Thang đánh giá'!$C$2:$D$27,2,FALSE)</f>
        <v>(0; 0,0707; 0,1414)</v>
      </c>
      <c r="L22" t="str">
        <f>VLOOKUP(L8,'Thang đánh giá'!$C$2:$D$27,2,FALSE)</f>
        <v>(0; 0,0548; 0,1095)</v>
      </c>
      <c r="M22" t="str">
        <f>VLOOKUP(M8,'Thang đánh giá'!$C$2:$D$27,2,FALSE)</f>
        <v>(0; 0; 0,0707)</v>
      </c>
    </row>
    <row r="23" spans="1:13" x14ac:dyDescent="0.3">
      <c r="A23" t="s">
        <v>7</v>
      </c>
      <c r="B23" t="str">
        <f>VLOOKUP(B9,'Thang đánh giá'!$C$2:$D$27,2,FALSE)</f>
        <v>(0; 0; 0,0707)</v>
      </c>
      <c r="C23" t="str">
        <f>VLOOKUP(C9,'Thang đánh giá'!$C$2:$D$27,2,FALSE)</f>
        <v>(0; 0,0548; 0,1095)</v>
      </c>
      <c r="D23" t="str">
        <f>VLOOKUP(D9,'Thang đánh giá'!$C$2:$D$27,2,FALSE)</f>
        <v>(0; 0; 0,0548)</v>
      </c>
      <c r="E23" t="str">
        <f>VLOOKUP(E9,'Thang đánh giá'!$C$2:$D$27,2,FALSE)</f>
        <v>(0; 0,0548; 0,1095)</v>
      </c>
      <c r="F23" t="str">
        <f>VLOOKUP(F9,'Thang đánh giá'!$C$2:$D$27,2,FALSE)</f>
        <v>(0; 0,0707; 0,1414)</v>
      </c>
      <c r="G23" t="str">
        <f>VLOOKUP(G9,'Thang đánh giá'!$C$2:$D$27,2,FALSE)</f>
        <v>(0; 0; 0,0548)</v>
      </c>
      <c r="H23" t="str">
        <f>VLOOKUP(H9,'Thang đánh giá'!$C$2:$D$27,2,FALSE)</f>
        <v>(0; 0; 0,0548)</v>
      </c>
      <c r="I23" t="str">
        <f>VLOOKUP(I9,'Thang đánh giá'!$C$2:$D$27,2,FALSE)</f>
        <v>(0; 0; 0)</v>
      </c>
      <c r="J23" t="str">
        <f>VLOOKUP(J9,'Thang đánh giá'!$C$2:$D$27,2,FALSE)</f>
        <v>(0,0707; 0,1414; 0,2121)</v>
      </c>
      <c r="K23" t="str">
        <f>VLOOKUP(K9,'Thang đánh giá'!$C$2:$D$27,2,FALSE)</f>
        <v>(0,251; 0,3347; 0,3347)</v>
      </c>
      <c r="L23" t="str">
        <f>VLOOKUP(L9,'Thang đánh giá'!$C$2:$D$27,2,FALSE)</f>
        <v>(0,1897; 0,2846; 0,3795)</v>
      </c>
      <c r="M23" t="str">
        <f>VLOOKUP(M9,'Thang đánh giá'!$C$2:$D$27,2,FALSE)</f>
        <v>(0,2846; 0,3795; 0,3795)</v>
      </c>
    </row>
    <row r="24" spans="1:13" x14ac:dyDescent="0.3">
      <c r="A24" t="s">
        <v>8</v>
      </c>
      <c r="B24" t="str">
        <f>VLOOKUP(B10,'Thang đánh giá'!$C$2:$D$27,2,FALSE)</f>
        <v>(0,0837; 0,1673; 0,251)</v>
      </c>
      <c r="C24" t="str">
        <f>VLOOKUP(C10,'Thang đánh giá'!$C$2:$D$27,2,FALSE)</f>
        <v>(0; 0,0707; 0,1414)</v>
      </c>
      <c r="D24" t="str">
        <f>VLOOKUP(D10,'Thang đánh giá'!$C$2:$D$27,2,FALSE)</f>
        <v>(0; 0,0837; 0,1673)</v>
      </c>
      <c r="E24" t="str">
        <f>VLOOKUP(E10,'Thang đánh giá'!$C$2:$D$27,2,FALSE)</f>
        <v>(0; 0; 0,0548)</v>
      </c>
      <c r="F24" t="str">
        <f>VLOOKUP(F10,'Thang đánh giá'!$C$2:$D$27,2,FALSE)</f>
        <v>(0; 0; 0,0707)</v>
      </c>
      <c r="G24" t="str">
        <f>VLOOKUP(G10,'Thang đánh giá'!$C$2:$D$27,2,FALSE)</f>
        <v>(0; 0; 0,0548)</v>
      </c>
      <c r="H24" t="str">
        <f>VLOOKUP(H10,'Thang đánh giá'!$C$2:$D$27,2,FALSE)</f>
        <v>(0,251; 0,3347; 0,3347)</v>
      </c>
      <c r="I24" t="str">
        <f>VLOOKUP(I10,'Thang đánh giá'!$C$2:$D$27,2,FALSE)</f>
        <v>(0; 0,0707; 0,1414)</v>
      </c>
      <c r="J24" t="str">
        <f>VLOOKUP(J10,'Thang đánh giá'!$C$2:$D$27,2,FALSE)</f>
        <v>(0; 0; 0)</v>
      </c>
      <c r="K24" t="str">
        <f>VLOOKUP(K10,'Thang đánh giá'!$C$2:$D$27,2,FALSE)</f>
        <v>(0,251; 0,3347; 0,3347)</v>
      </c>
      <c r="L24" t="str">
        <f>VLOOKUP(L10,'Thang đánh giá'!$C$2:$D$27,2,FALSE)</f>
        <v>(0,1673; 0,251; 0,3347)</v>
      </c>
      <c r="M24" t="str">
        <f>VLOOKUP(M10,'Thang đánh giá'!$C$2:$D$27,2,FALSE)</f>
        <v>(0,2846; 0,3795; 0,3795)</v>
      </c>
    </row>
    <row r="25" spans="1:13" x14ac:dyDescent="0.3">
      <c r="A25" t="s">
        <v>9</v>
      </c>
      <c r="B25" t="str">
        <f>VLOOKUP(B11,'Thang đánh giá'!$C$2:$D$27,2,FALSE)</f>
        <v>(0; 0; 0,0707)</v>
      </c>
      <c r="C25" t="str">
        <f>VLOOKUP(C11,'Thang đánh giá'!$C$2:$D$27,2,FALSE)</f>
        <v>(0; 0,0707; 0,1414)</v>
      </c>
      <c r="D25" t="str">
        <f>VLOOKUP(D11,'Thang đánh giá'!$C$2:$D$27,2,FALSE)</f>
        <v>(0; 0; 0,0316)</v>
      </c>
      <c r="E25" t="str">
        <f>VLOOKUP(E11,'Thang đánh giá'!$C$2:$D$27,2,FALSE)</f>
        <v>(0; 0,0837; 0,1673)</v>
      </c>
      <c r="F25" t="str">
        <f>VLOOKUP(F11,'Thang đánh giá'!$C$2:$D$27,2,FALSE)</f>
        <v>(0; 0,0548; 0,1095)</v>
      </c>
      <c r="G25" t="str">
        <f>VLOOKUP(G11,'Thang đánh giá'!$C$2:$D$27,2,FALSE)</f>
        <v>(0; 0,0548; 0,1095)</v>
      </c>
      <c r="H25" t="str">
        <f>VLOOKUP(H11,'Thang đánh giá'!$C$2:$D$27,2,FALSE)</f>
        <v>(0; 0; 0,0707)</v>
      </c>
      <c r="I25" t="str">
        <f>VLOOKUP(I11,'Thang đánh giá'!$C$2:$D$27,2,FALSE)</f>
        <v>(0; 0; 0,0707)</v>
      </c>
      <c r="J25" t="str">
        <f>VLOOKUP(J11,'Thang đánh giá'!$C$2:$D$27,2,FALSE)</f>
        <v>(0; 0; 0,0316)</v>
      </c>
      <c r="K25" t="str">
        <f>VLOOKUP(K11,'Thang đánh giá'!$C$2:$D$27,2,FALSE)</f>
        <v>(0; 0; 0)</v>
      </c>
      <c r="L25" t="str">
        <f>VLOOKUP(L11,'Thang đánh giá'!$C$2:$D$27,2,FALSE)</f>
        <v>(0,0837; 0,1673; 0,251)</v>
      </c>
      <c r="M25" t="str">
        <f>VLOOKUP(M11,'Thang đánh giá'!$C$2:$D$27,2,FALSE)</f>
        <v>(0; 0; 0,0548)</v>
      </c>
    </row>
    <row r="26" spans="1:13" x14ac:dyDescent="0.3">
      <c r="A26" t="s">
        <v>10</v>
      </c>
      <c r="B26" t="str">
        <f>VLOOKUP(B12,'Thang đánh giá'!$C$2:$D$27,2,FALSE)</f>
        <v>(0; 0,0316; 0,0632)</v>
      </c>
      <c r="C26" t="str">
        <f>VLOOKUP(C12,'Thang đánh giá'!$C$2:$D$27,2,FALSE)</f>
        <v>(0; 0; 0,0316)</v>
      </c>
      <c r="D26" t="str">
        <f>VLOOKUP(D12,'Thang đánh giá'!$C$2:$D$27,2,FALSE)</f>
        <v>(0; 0; 0,0707)</v>
      </c>
      <c r="E26" t="str">
        <f>VLOOKUP(E12,'Thang đánh giá'!$C$2:$D$27,2,FALSE)</f>
        <v>(0; 0,0837; 0,1673)</v>
      </c>
      <c r="F26" t="str">
        <f>VLOOKUP(F12,'Thang đánh giá'!$C$2:$D$27,2,FALSE)</f>
        <v>(0; 0; 0,0548)</v>
      </c>
      <c r="G26" t="str">
        <f>VLOOKUP(G12,'Thang đánh giá'!$C$2:$D$27,2,FALSE)</f>
        <v>(0; 0; 0,0707)</v>
      </c>
      <c r="H26" t="str">
        <f>VLOOKUP(H12,'Thang đánh giá'!$C$2:$D$27,2,FALSE)</f>
        <v>(0; 0; 0,0548)</v>
      </c>
      <c r="I26" t="str">
        <f>VLOOKUP(I12,'Thang đánh giá'!$C$2:$D$27,2,FALSE)</f>
        <v>(0; 0,0548; 0,1095)</v>
      </c>
      <c r="J26" t="str">
        <f>VLOOKUP(J12,'Thang đánh giá'!$C$2:$D$27,2,FALSE)</f>
        <v>(0; 0; 0,0316)</v>
      </c>
      <c r="K26" t="str">
        <f>VLOOKUP(K12,'Thang đánh giá'!$C$2:$D$27,2,FALSE)</f>
        <v>(0; 0,0707; 0,1414)</v>
      </c>
      <c r="L26" t="str">
        <f>VLOOKUP(L12,'Thang đánh giá'!$C$2:$D$27,2,FALSE)</f>
        <v>(0; 0; 0)</v>
      </c>
      <c r="M26" t="str">
        <f>VLOOKUP(M12,'Thang đánh giá'!$C$2:$D$27,2,FALSE)</f>
        <v>(0,1897; 0,2846; 0,3795)</v>
      </c>
    </row>
    <row r="27" spans="1:13" x14ac:dyDescent="0.3">
      <c r="A27" t="s">
        <v>11</v>
      </c>
      <c r="B27" t="str">
        <f>VLOOKUP(B13,'Thang đánh giá'!$C$2:$D$27,2,FALSE)</f>
        <v>(0; 0,0316; 0,0632)</v>
      </c>
      <c r="C27" t="str">
        <f>VLOOKUP(C13,'Thang đánh giá'!$C$2:$D$27,2,FALSE)</f>
        <v>(0; 0; 0,0548)</v>
      </c>
      <c r="D27" t="str">
        <f>VLOOKUP(D13,'Thang đánh giá'!$C$2:$D$27,2,FALSE)</f>
        <v>(0; 0; 0,0316)</v>
      </c>
      <c r="E27" t="str">
        <f>VLOOKUP(E13,'Thang đánh giá'!$C$2:$D$27,2,FALSE)</f>
        <v>(0; 0; 0,0707)</v>
      </c>
      <c r="F27" t="str">
        <f>VLOOKUP(F13,'Thang đánh giá'!$C$2:$D$27,2,FALSE)</f>
        <v>(0,0707; 0,1414; 0,2121)</v>
      </c>
      <c r="G27" t="str">
        <f>VLOOKUP(G13,'Thang đánh giá'!$C$2:$D$27,2,FALSE)</f>
        <v>(0,0707; 0,1414; 0,2121)</v>
      </c>
      <c r="H27" t="str">
        <f>VLOOKUP(H13,'Thang đánh giá'!$C$2:$D$27,2,FALSE)</f>
        <v>(0; 0; 0,0548)</v>
      </c>
      <c r="I27" t="str">
        <f>VLOOKUP(I13,'Thang đánh giá'!$C$2:$D$27,2,FALSE)</f>
        <v>(0; 0,0707; 0,1414)</v>
      </c>
      <c r="J27" t="str">
        <f>VLOOKUP(J13,'Thang đánh giá'!$C$2:$D$27,2,FALSE)</f>
        <v>(0; 0,0707; 0,1414)</v>
      </c>
      <c r="K27" t="str">
        <f>VLOOKUP(K13,'Thang đánh giá'!$C$2:$D$27,2,FALSE)</f>
        <v>(0; 0,0837; 0,1673)</v>
      </c>
      <c r="L27" t="str">
        <f>VLOOKUP(L13,'Thang đánh giá'!$C$2:$D$27,2,FALSE)</f>
        <v>(0; 0; 0,0707)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0.18970000000000001</v>
      </c>
      <c r="D30">
        <f t="shared" si="0"/>
        <v>0.18970000000000001</v>
      </c>
      <c r="E30">
        <f t="shared" si="0"/>
        <v>0</v>
      </c>
      <c r="F30">
        <f t="shared" si="0"/>
        <v>0</v>
      </c>
      <c r="G30">
        <f t="shared" si="0"/>
        <v>0</v>
      </c>
      <c r="H30">
        <f t="shared" si="0"/>
        <v>0</v>
      </c>
      <c r="I30">
        <f t="shared" si="0"/>
        <v>0</v>
      </c>
      <c r="J30">
        <f t="shared" si="0"/>
        <v>0.18970000000000001</v>
      </c>
      <c r="K30">
        <f t="shared" si="0"/>
        <v>0</v>
      </c>
      <c r="L30">
        <f t="shared" si="0"/>
        <v>0</v>
      </c>
      <c r="M30">
        <f t="shared" si="0"/>
        <v>0</v>
      </c>
    </row>
    <row r="31" spans="1:13" x14ac:dyDescent="0.3">
      <c r="A31" t="s">
        <v>1</v>
      </c>
      <c r="B31">
        <f t="shared" ref="B31:M41" si="1">_xlfn.NUMBERVALUE(MID(B17,2,FIND(";",B17,1)-2))</f>
        <v>0</v>
      </c>
      <c r="C31">
        <f t="shared" si="1"/>
        <v>0</v>
      </c>
      <c r="D31">
        <f t="shared" si="1"/>
        <v>0.28460000000000002</v>
      </c>
      <c r="E31">
        <f t="shared" si="1"/>
        <v>0.251</v>
      </c>
      <c r="F31">
        <f t="shared" si="1"/>
        <v>0.1673</v>
      </c>
      <c r="G31">
        <f t="shared" si="1"/>
        <v>0</v>
      </c>
      <c r="H31">
        <f t="shared" si="1"/>
        <v>0.18970000000000001</v>
      </c>
      <c r="I31">
        <f t="shared" si="1"/>
        <v>0</v>
      </c>
      <c r="J31">
        <f t="shared" si="1"/>
        <v>0.1673</v>
      </c>
      <c r="K31">
        <f t="shared" si="1"/>
        <v>0.251</v>
      </c>
      <c r="L31">
        <f t="shared" si="1"/>
        <v>0.28460000000000002</v>
      </c>
      <c r="M31">
        <f t="shared" si="1"/>
        <v>0.18970000000000001</v>
      </c>
    </row>
    <row r="32" spans="1:13" x14ac:dyDescent="0.3">
      <c r="A32" t="s">
        <v>2</v>
      </c>
      <c r="B32">
        <f t="shared" si="1"/>
        <v>0</v>
      </c>
      <c r="C32">
        <f t="shared" si="1"/>
        <v>0</v>
      </c>
      <c r="D32">
        <f t="shared" si="1"/>
        <v>0</v>
      </c>
      <c r="E32">
        <f t="shared" si="1"/>
        <v>0.1414</v>
      </c>
      <c r="F32">
        <f t="shared" si="1"/>
        <v>0</v>
      </c>
      <c r="G32">
        <f t="shared" si="1"/>
        <v>0</v>
      </c>
      <c r="H32">
        <f t="shared" si="1"/>
        <v>8.3699999999999997E-2</v>
      </c>
      <c r="I32">
        <f t="shared" si="1"/>
        <v>0</v>
      </c>
      <c r="J32">
        <f t="shared" si="1"/>
        <v>0.28460000000000002</v>
      </c>
      <c r="K32">
        <f t="shared" si="1"/>
        <v>0.251</v>
      </c>
      <c r="L32">
        <f t="shared" si="1"/>
        <v>0.1673</v>
      </c>
      <c r="M32">
        <f t="shared" si="1"/>
        <v>0.1673</v>
      </c>
    </row>
    <row r="33" spans="1:13" x14ac:dyDescent="0.3">
      <c r="A33" t="s">
        <v>3</v>
      </c>
      <c r="B33">
        <f t="shared" si="1"/>
        <v>8.3699999999999997E-2</v>
      </c>
      <c r="C33">
        <f t="shared" si="1"/>
        <v>0</v>
      </c>
      <c r="D33">
        <f t="shared" si="1"/>
        <v>0</v>
      </c>
      <c r="E33">
        <f t="shared" si="1"/>
        <v>0</v>
      </c>
      <c r="F33">
        <f t="shared" si="1"/>
        <v>0</v>
      </c>
      <c r="G33">
        <f t="shared" si="1"/>
        <v>0</v>
      </c>
      <c r="H33">
        <f t="shared" si="1"/>
        <v>0.1673</v>
      </c>
      <c r="I33">
        <f t="shared" si="1"/>
        <v>7.0699999999999999E-2</v>
      </c>
      <c r="J33">
        <f t="shared" si="1"/>
        <v>0.251</v>
      </c>
      <c r="K33">
        <f t="shared" si="1"/>
        <v>7.0699999999999999E-2</v>
      </c>
      <c r="L33">
        <f t="shared" si="1"/>
        <v>0.18970000000000001</v>
      </c>
      <c r="M33">
        <f t="shared" si="1"/>
        <v>0.18970000000000001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0</v>
      </c>
      <c r="D34">
        <f t="shared" si="2"/>
        <v>0</v>
      </c>
      <c r="E34">
        <f t="shared" si="2"/>
        <v>0</v>
      </c>
      <c r="F34">
        <f t="shared" si="2"/>
        <v>0</v>
      </c>
      <c r="G34">
        <f t="shared" si="2"/>
        <v>0.1673</v>
      </c>
      <c r="H34">
        <f t="shared" si="2"/>
        <v>0</v>
      </c>
      <c r="I34">
        <f t="shared" si="2"/>
        <v>7.0699999999999999E-2</v>
      </c>
      <c r="J34">
        <f t="shared" si="2"/>
        <v>0.18970000000000001</v>
      </c>
      <c r="K34">
        <f t="shared" si="2"/>
        <v>0.251</v>
      </c>
      <c r="L34">
        <f t="shared" si="2"/>
        <v>0</v>
      </c>
      <c r="M34">
        <f t="shared" si="2"/>
        <v>0</v>
      </c>
    </row>
    <row r="35" spans="1:13" x14ac:dyDescent="0.3">
      <c r="A35" t="s">
        <v>5</v>
      </c>
      <c r="B35">
        <f t="shared" si="1"/>
        <v>0</v>
      </c>
      <c r="C35">
        <f t="shared" si="1"/>
        <v>0</v>
      </c>
      <c r="D35">
        <f t="shared" si="1"/>
        <v>0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0</v>
      </c>
      <c r="J35">
        <f t="shared" si="1"/>
        <v>0.251</v>
      </c>
      <c r="K35">
        <f t="shared" si="1"/>
        <v>0</v>
      </c>
      <c r="L35">
        <f t="shared" si="1"/>
        <v>0</v>
      </c>
      <c r="M35">
        <f t="shared" si="1"/>
        <v>0</v>
      </c>
    </row>
    <row r="36" spans="1:13" x14ac:dyDescent="0.3">
      <c r="A36" t="s">
        <v>6</v>
      </c>
      <c r="B36">
        <f t="shared" si="1"/>
        <v>0</v>
      </c>
      <c r="C36">
        <f t="shared" si="1"/>
        <v>0</v>
      </c>
      <c r="D36">
        <f t="shared" si="1"/>
        <v>0</v>
      </c>
      <c r="E36">
        <f t="shared" si="1"/>
        <v>7.0699999999999999E-2</v>
      </c>
      <c r="F36">
        <f t="shared" si="1"/>
        <v>0</v>
      </c>
      <c r="G36">
        <f t="shared" si="1"/>
        <v>0</v>
      </c>
      <c r="H36">
        <f t="shared" si="1"/>
        <v>0</v>
      </c>
      <c r="I36">
        <f t="shared" si="1"/>
        <v>0</v>
      </c>
      <c r="J36">
        <f t="shared" si="1"/>
        <v>0</v>
      </c>
      <c r="K36">
        <f t="shared" si="1"/>
        <v>0</v>
      </c>
      <c r="L36">
        <f t="shared" si="1"/>
        <v>0</v>
      </c>
      <c r="M36">
        <f t="shared" si="1"/>
        <v>0</v>
      </c>
    </row>
    <row r="37" spans="1:13" x14ac:dyDescent="0.3">
      <c r="A37" t="s">
        <v>7</v>
      </c>
      <c r="B37">
        <f t="shared" si="1"/>
        <v>0</v>
      </c>
      <c r="C37">
        <f t="shared" si="1"/>
        <v>0</v>
      </c>
      <c r="D37">
        <f t="shared" si="1"/>
        <v>0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7.0699999999999999E-2</v>
      </c>
      <c r="K37">
        <f t="shared" si="1"/>
        <v>0.251</v>
      </c>
      <c r="L37">
        <f t="shared" si="1"/>
        <v>0.18970000000000001</v>
      </c>
      <c r="M37">
        <f t="shared" si="1"/>
        <v>0.28460000000000002</v>
      </c>
    </row>
    <row r="38" spans="1:13" x14ac:dyDescent="0.3">
      <c r="A38" t="s">
        <v>8</v>
      </c>
      <c r="B38">
        <f t="shared" si="1"/>
        <v>8.3699999999999997E-2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0.251</v>
      </c>
      <c r="I38">
        <f t="shared" si="1"/>
        <v>0</v>
      </c>
      <c r="J38">
        <f t="shared" si="1"/>
        <v>0</v>
      </c>
      <c r="K38">
        <f t="shared" si="1"/>
        <v>0.251</v>
      </c>
      <c r="L38">
        <f t="shared" si="1"/>
        <v>0.1673</v>
      </c>
      <c r="M38">
        <f t="shared" si="1"/>
        <v>0.28460000000000002</v>
      </c>
    </row>
    <row r="39" spans="1:13" x14ac:dyDescent="0.3">
      <c r="A39" t="s">
        <v>9</v>
      </c>
      <c r="B39">
        <f t="shared" si="1"/>
        <v>0</v>
      </c>
      <c r="C39">
        <f t="shared" si="1"/>
        <v>0</v>
      </c>
      <c r="D39">
        <f t="shared" si="1"/>
        <v>0</v>
      </c>
      <c r="E39">
        <f t="shared" si="1"/>
        <v>0</v>
      </c>
      <c r="F39">
        <f t="shared" si="1"/>
        <v>0</v>
      </c>
      <c r="G39">
        <f t="shared" si="1"/>
        <v>0</v>
      </c>
      <c r="H39">
        <f t="shared" si="1"/>
        <v>0</v>
      </c>
      <c r="I39">
        <f t="shared" si="1"/>
        <v>0</v>
      </c>
      <c r="J39">
        <f t="shared" si="1"/>
        <v>0</v>
      </c>
      <c r="K39">
        <f t="shared" si="1"/>
        <v>0</v>
      </c>
      <c r="L39">
        <f t="shared" si="1"/>
        <v>8.3699999999999997E-2</v>
      </c>
      <c r="M39">
        <f t="shared" si="1"/>
        <v>0</v>
      </c>
    </row>
    <row r="40" spans="1:13" x14ac:dyDescent="0.3">
      <c r="A40" t="s">
        <v>10</v>
      </c>
      <c r="B40">
        <f t="shared" si="1"/>
        <v>0</v>
      </c>
      <c r="C40">
        <f t="shared" si="1"/>
        <v>0</v>
      </c>
      <c r="D40">
        <f t="shared" si="1"/>
        <v>0</v>
      </c>
      <c r="E40">
        <f t="shared" si="1"/>
        <v>0</v>
      </c>
      <c r="F40">
        <f t="shared" si="1"/>
        <v>0</v>
      </c>
      <c r="G40">
        <f t="shared" si="1"/>
        <v>0</v>
      </c>
      <c r="H40">
        <f t="shared" si="1"/>
        <v>0</v>
      </c>
      <c r="I40">
        <f t="shared" si="1"/>
        <v>0</v>
      </c>
      <c r="J40">
        <f t="shared" si="1"/>
        <v>0</v>
      </c>
      <c r="K40">
        <f t="shared" si="1"/>
        <v>0</v>
      </c>
      <c r="L40">
        <f t="shared" si="1"/>
        <v>0</v>
      </c>
      <c r="M40">
        <f t="shared" si="1"/>
        <v>0.18970000000000001</v>
      </c>
    </row>
    <row r="41" spans="1:13" x14ac:dyDescent="0.3">
      <c r="A41" t="s">
        <v>11</v>
      </c>
      <c r="B41">
        <f t="shared" si="1"/>
        <v>0</v>
      </c>
      <c r="C41">
        <f t="shared" si="1"/>
        <v>0</v>
      </c>
      <c r="D41">
        <f t="shared" si="1"/>
        <v>0</v>
      </c>
      <c r="E41">
        <f t="shared" si="1"/>
        <v>0</v>
      </c>
      <c r="F41">
        <f t="shared" si="1"/>
        <v>7.0699999999999999E-2</v>
      </c>
      <c r="G41">
        <f t="shared" si="1"/>
        <v>7.0699999999999999E-2</v>
      </c>
      <c r="H41">
        <f t="shared" si="1"/>
        <v>0</v>
      </c>
      <c r="I41">
        <f t="shared" si="1"/>
        <v>0</v>
      </c>
      <c r="J41">
        <f t="shared" si="1"/>
        <v>0</v>
      </c>
      <c r="K41">
        <f t="shared" si="1"/>
        <v>0</v>
      </c>
      <c r="L41">
        <f t="shared" si="1"/>
        <v>0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0.28460000000000002</v>
      </c>
      <c r="D44">
        <f t="shared" si="3"/>
        <v>0.28460000000000002</v>
      </c>
      <c r="E44">
        <f t="shared" si="3"/>
        <v>0</v>
      </c>
      <c r="F44">
        <f t="shared" si="3"/>
        <v>0</v>
      </c>
      <c r="G44">
        <f t="shared" si="3"/>
        <v>7.0699999999999999E-2</v>
      </c>
      <c r="H44">
        <f t="shared" si="3"/>
        <v>0</v>
      </c>
      <c r="I44">
        <f t="shared" si="3"/>
        <v>0</v>
      </c>
      <c r="J44">
        <f t="shared" si="3"/>
        <v>0.28460000000000002</v>
      </c>
      <c r="K44">
        <f t="shared" si="3"/>
        <v>3.1600000000000003E-2</v>
      </c>
      <c r="L44">
        <f t="shared" si="3"/>
        <v>7.0699999999999999E-2</v>
      </c>
      <c r="M44">
        <f t="shared" si="3"/>
        <v>5.4800000000000001E-2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7.0699999999999999E-2</v>
      </c>
      <c r="C45">
        <f t="shared" si="4"/>
        <v>0</v>
      </c>
      <c r="D45">
        <f t="shared" si="4"/>
        <v>0.3795</v>
      </c>
      <c r="E45">
        <f t="shared" si="4"/>
        <v>0.3347</v>
      </c>
      <c r="F45">
        <f t="shared" si="4"/>
        <v>0.251</v>
      </c>
      <c r="G45">
        <f t="shared" si="4"/>
        <v>0</v>
      </c>
      <c r="H45">
        <f t="shared" si="4"/>
        <v>0.28460000000000002</v>
      </c>
      <c r="I45">
        <f t="shared" si="4"/>
        <v>5.4800000000000001E-2</v>
      </c>
      <c r="J45">
        <f t="shared" si="4"/>
        <v>0.251</v>
      </c>
      <c r="K45">
        <f t="shared" si="4"/>
        <v>0.3347</v>
      </c>
      <c r="L45">
        <f t="shared" si="4"/>
        <v>0.3795</v>
      </c>
      <c r="M45">
        <f t="shared" si="4"/>
        <v>0.28460000000000002</v>
      </c>
    </row>
    <row r="46" spans="1:13" x14ac:dyDescent="0.3">
      <c r="A46" t="s">
        <v>2</v>
      </c>
      <c r="B46">
        <f t="shared" si="4"/>
        <v>0</v>
      </c>
      <c r="C46">
        <f t="shared" si="4"/>
        <v>0</v>
      </c>
      <c r="D46">
        <f t="shared" si="4"/>
        <v>0</v>
      </c>
      <c r="E46">
        <f t="shared" si="4"/>
        <v>0.21210000000000001</v>
      </c>
      <c r="F46">
        <f t="shared" si="4"/>
        <v>5.4800000000000001E-2</v>
      </c>
      <c r="G46">
        <f t="shared" si="4"/>
        <v>3.1600000000000003E-2</v>
      </c>
      <c r="H46">
        <f t="shared" si="4"/>
        <v>0.1673</v>
      </c>
      <c r="I46">
        <f t="shared" si="4"/>
        <v>0</v>
      </c>
      <c r="J46">
        <f t="shared" si="4"/>
        <v>0.3795</v>
      </c>
      <c r="K46">
        <f t="shared" si="4"/>
        <v>0.3347</v>
      </c>
      <c r="L46">
        <f t="shared" si="4"/>
        <v>0.251</v>
      </c>
      <c r="M46">
        <f t="shared" si="4"/>
        <v>0.251</v>
      </c>
    </row>
    <row r="47" spans="1:13" x14ac:dyDescent="0.3">
      <c r="A47" t="s">
        <v>3</v>
      </c>
      <c r="B47">
        <f t="shared" si="4"/>
        <v>0.1673</v>
      </c>
      <c r="C47">
        <f t="shared" si="4"/>
        <v>3.1600000000000003E-2</v>
      </c>
      <c r="D47">
        <f t="shared" si="4"/>
        <v>0</v>
      </c>
      <c r="E47">
        <f t="shared" si="4"/>
        <v>0</v>
      </c>
      <c r="F47">
        <f t="shared" si="4"/>
        <v>0</v>
      </c>
      <c r="G47">
        <f t="shared" si="4"/>
        <v>0</v>
      </c>
      <c r="H47">
        <f t="shared" si="4"/>
        <v>0.251</v>
      </c>
      <c r="I47">
        <f t="shared" si="4"/>
        <v>0.1414</v>
      </c>
      <c r="J47">
        <f t="shared" si="4"/>
        <v>0.3347</v>
      </c>
      <c r="K47">
        <f t="shared" si="4"/>
        <v>0.1414</v>
      </c>
      <c r="L47">
        <f t="shared" si="4"/>
        <v>0.28460000000000002</v>
      </c>
      <c r="M47">
        <f t="shared" si="4"/>
        <v>0.28460000000000002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7.0699999999999999E-2</v>
      </c>
      <c r="C48">
        <f t="shared" si="5"/>
        <v>0</v>
      </c>
      <c r="D48">
        <f t="shared" si="5"/>
        <v>5.4800000000000001E-2</v>
      </c>
      <c r="E48">
        <f t="shared" si="5"/>
        <v>0</v>
      </c>
      <c r="F48">
        <f t="shared" si="5"/>
        <v>0</v>
      </c>
      <c r="G48">
        <f t="shared" si="5"/>
        <v>0.251</v>
      </c>
      <c r="H48">
        <f t="shared" si="5"/>
        <v>0</v>
      </c>
      <c r="I48">
        <f t="shared" si="5"/>
        <v>0.1414</v>
      </c>
      <c r="J48">
        <f t="shared" si="5"/>
        <v>0.28460000000000002</v>
      </c>
      <c r="K48">
        <f t="shared" si="5"/>
        <v>0.3347</v>
      </c>
      <c r="L48">
        <f t="shared" si="5"/>
        <v>0</v>
      </c>
      <c r="M48">
        <f t="shared" si="5"/>
        <v>0</v>
      </c>
    </row>
    <row r="49" spans="1:13" x14ac:dyDescent="0.3">
      <c r="A49" t="s">
        <v>5</v>
      </c>
      <c r="B49">
        <f t="shared" si="4"/>
        <v>5.4800000000000001E-2</v>
      </c>
      <c r="C49">
        <f t="shared" si="4"/>
        <v>7.0699999999999999E-2</v>
      </c>
      <c r="D49">
        <f t="shared" si="4"/>
        <v>0</v>
      </c>
      <c r="E49">
        <f t="shared" si="4"/>
        <v>0</v>
      </c>
      <c r="F49">
        <f t="shared" si="4"/>
        <v>0</v>
      </c>
      <c r="G49">
        <f t="shared" si="4"/>
        <v>0</v>
      </c>
      <c r="H49">
        <f t="shared" si="4"/>
        <v>0</v>
      </c>
      <c r="I49">
        <f t="shared" si="4"/>
        <v>0</v>
      </c>
      <c r="J49">
        <f t="shared" si="4"/>
        <v>0.3347</v>
      </c>
      <c r="K49">
        <f t="shared" si="4"/>
        <v>0</v>
      </c>
      <c r="L49">
        <f t="shared" si="4"/>
        <v>0</v>
      </c>
      <c r="M49">
        <f t="shared" si="4"/>
        <v>0</v>
      </c>
    </row>
    <row r="50" spans="1:13" x14ac:dyDescent="0.3">
      <c r="A50" t="s">
        <v>6</v>
      </c>
      <c r="B50">
        <f t="shared" si="4"/>
        <v>5.4800000000000001E-2</v>
      </c>
      <c r="C50">
        <f t="shared" si="4"/>
        <v>0</v>
      </c>
      <c r="D50">
        <f t="shared" si="4"/>
        <v>7.0699999999999999E-2</v>
      </c>
      <c r="E50">
        <f t="shared" si="4"/>
        <v>0.1414</v>
      </c>
      <c r="F50">
        <f t="shared" si="4"/>
        <v>0</v>
      </c>
      <c r="G50">
        <f t="shared" si="4"/>
        <v>0</v>
      </c>
      <c r="H50">
        <f t="shared" si="4"/>
        <v>0</v>
      </c>
      <c r="I50">
        <f t="shared" si="4"/>
        <v>0</v>
      </c>
      <c r="J50">
        <f t="shared" si="4"/>
        <v>0</v>
      </c>
      <c r="K50">
        <f t="shared" si="4"/>
        <v>7.0699999999999999E-2</v>
      </c>
      <c r="L50">
        <f t="shared" si="4"/>
        <v>5.4800000000000001E-2</v>
      </c>
      <c r="M50">
        <f t="shared" si="4"/>
        <v>0</v>
      </c>
    </row>
    <row r="51" spans="1:13" x14ac:dyDescent="0.3">
      <c r="A51" t="s">
        <v>7</v>
      </c>
      <c r="B51">
        <f t="shared" si="4"/>
        <v>0</v>
      </c>
      <c r="C51">
        <f t="shared" si="4"/>
        <v>5.4800000000000001E-2</v>
      </c>
      <c r="D51">
        <f t="shared" si="4"/>
        <v>0</v>
      </c>
      <c r="E51">
        <f t="shared" si="4"/>
        <v>5.4800000000000001E-2</v>
      </c>
      <c r="F51">
        <f t="shared" si="4"/>
        <v>7.0699999999999999E-2</v>
      </c>
      <c r="G51">
        <f t="shared" si="4"/>
        <v>0</v>
      </c>
      <c r="H51">
        <f t="shared" si="4"/>
        <v>0</v>
      </c>
      <c r="I51">
        <f t="shared" si="4"/>
        <v>0</v>
      </c>
      <c r="J51">
        <f t="shared" si="4"/>
        <v>0.1414</v>
      </c>
      <c r="K51">
        <f t="shared" si="4"/>
        <v>0.3347</v>
      </c>
      <c r="L51">
        <f t="shared" si="4"/>
        <v>0.28460000000000002</v>
      </c>
      <c r="M51">
        <f t="shared" si="4"/>
        <v>0.3795</v>
      </c>
    </row>
    <row r="52" spans="1:13" x14ac:dyDescent="0.3">
      <c r="A52" t="s">
        <v>8</v>
      </c>
      <c r="B52">
        <f t="shared" si="4"/>
        <v>0.1673</v>
      </c>
      <c r="C52">
        <f t="shared" si="4"/>
        <v>7.0699999999999999E-2</v>
      </c>
      <c r="D52">
        <f t="shared" si="4"/>
        <v>8.3699999999999997E-2</v>
      </c>
      <c r="E52">
        <f t="shared" si="4"/>
        <v>0</v>
      </c>
      <c r="F52">
        <f t="shared" si="4"/>
        <v>0</v>
      </c>
      <c r="G52">
        <f t="shared" si="4"/>
        <v>0</v>
      </c>
      <c r="H52">
        <f t="shared" si="4"/>
        <v>0.3347</v>
      </c>
      <c r="I52">
        <f t="shared" si="4"/>
        <v>7.0699999999999999E-2</v>
      </c>
      <c r="J52">
        <f t="shared" si="4"/>
        <v>0</v>
      </c>
      <c r="K52">
        <f t="shared" si="4"/>
        <v>0.3347</v>
      </c>
      <c r="L52">
        <f t="shared" si="4"/>
        <v>0.251</v>
      </c>
      <c r="M52">
        <f t="shared" si="4"/>
        <v>0.3795</v>
      </c>
    </row>
    <row r="53" spans="1:13" x14ac:dyDescent="0.3">
      <c r="A53" t="s">
        <v>9</v>
      </c>
      <c r="B53">
        <f t="shared" si="4"/>
        <v>0</v>
      </c>
      <c r="C53">
        <f t="shared" si="4"/>
        <v>7.0699999999999999E-2</v>
      </c>
      <c r="D53">
        <f t="shared" si="4"/>
        <v>0</v>
      </c>
      <c r="E53">
        <f t="shared" si="4"/>
        <v>8.3699999999999997E-2</v>
      </c>
      <c r="F53">
        <f t="shared" si="4"/>
        <v>5.4800000000000001E-2</v>
      </c>
      <c r="G53">
        <f t="shared" si="4"/>
        <v>5.4800000000000001E-2</v>
      </c>
      <c r="H53">
        <f t="shared" si="4"/>
        <v>0</v>
      </c>
      <c r="I53">
        <f t="shared" si="4"/>
        <v>0</v>
      </c>
      <c r="J53">
        <f t="shared" si="4"/>
        <v>0</v>
      </c>
      <c r="K53">
        <f t="shared" si="4"/>
        <v>0</v>
      </c>
      <c r="L53">
        <f t="shared" si="4"/>
        <v>0.1673</v>
      </c>
      <c r="M53">
        <f t="shared" si="4"/>
        <v>0</v>
      </c>
    </row>
    <row r="54" spans="1:13" x14ac:dyDescent="0.3">
      <c r="A54" t="s">
        <v>10</v>
      </c>
      <c r="B54">
        <f t="shared" si="4"/>
        <v>3.1600000000000003E-2</v>
      </c>
      <c r="C54">
        <f t="shared" si="4"/>
        <v>0</v>
      </c>
      <c r="D54">
        <f t="shared" si="4"/>
        <v>0</v>
      </c>
      <c r="E54">
        <f t="shared" si="4"/>
        <v>8.3699999999999997E-2</v>
      </c>
      <c r="F54">
        <f t="shared" si="4"/>
        <v>0</v>
      </c>
      <c r="G54">
        <f t="shared" si="4"/>
        <v>0</v>
      </c>
      <c r="H54">
        <f t="shared" si="4"/>
        <v>0</v>
      </c>
      <c r="I54">
        <f t="shared" si="4"/>
        <v>5.4800000000000001E-2</v>
      </c>
      <c r="J54">
        <f t="shared" si="4"/>
        <v>0</v>
      </c>
      <c r="K54">
        <f t="shared" si="4"/>
        <v>7.0699999999999999E-2</v>
      </c>
      <c r="L54">
        <f t="shared" si="4"/>
        <v>0</v>
      </c>
      <c r="M54">
        <f t="shared" si="4"/>
        <v>0.28460000000000002</v>
      </c>
    </row>
    <row r="55" spans="1:13" x14ac:dyDescent="0.3">
      <c r="A55" t="s">
        <v>11</v>
      </c>
      <c r="B55">
        <f t="shared" si="4"/>
        <v>3.1600000000000003E-2</v>
      </c>
      <c r="C55">
        <f t="shared" si="4"/>
        <v>0</v>
      </c>
      <c r="D55">
        <f t="shared" si="4"/>
        <v>0</v>
      </c>
      <c r="E55">
        <f t="shared" si="4"/>
        <v>0</v>
      </c>
      <c r="F55">
        <f t="shared" si="4"/>
        <v>0.1414</v>
      </c>
      <c r="G55">
        <f t="shared" si="4"/>
        <v>0.1414</v>
      </c>
      <c r="H55">
        <f t="shared" si="4"/>
        <v>0</v>
      </c>
      <c r="I55">
        <f t="shared" si="4"/>
        <v>7.0699999999999999E-2</v>
      </c>
      <c r="J55">
        <f t="shared" si="4"/>
        <v>7.0699999999999999E-2</v>
      </c>
      <c r="K55">
        <f t="shared" si="4"/>
        <v>8.3699999999999997E-2</v>
      </c>
      <c r="L55">
        <f t="shared" si="4"/>
        <v>0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0.3795</v>
      </c>
      <c r="D58">
        <f t="shared" si="6"/>
        <v>0.3795</v>
      </c>
      <c r="E58">
        <f t="shared" si="6"/>
        <v>7.0699999999999999E-2</v>
      </c>
      <c r="F58">
        <f t="shared" si="6"/>
        <v>3.1600000000000003E-2</v>
      </c>
      <c r="G58">
        <f t="shared" si="6"/>
        <v>0.1414</v>
      </c>
      <c r="H58">
        <f t="shared" si="6"/>
        <v>5.4800000000000001E-2</v>
      </c>
      <c r="I58">
        <f t="shared" si="6"/>
        <v>7.0699999999999999E-2</v>
      </c>
      <c r="J58">
        <f t="shared" si="6"/>
        <v>0.3795</v>
      </c>
      <c r="K58">
        <f t="shared" si="6"/>
        <v>6.3200000000000006E-2</v>
      </c>
      <c r="L58">
        <f t="shared" si="6"/>
        <v>0.1414</v>
      </c>
      <c r="M58">
        <f t="shared" si="6"/>
        <v>0.1095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0.1414</v>
      </c>
      <c r="C59">
        <f t="shared" si="7"/>
        <v>0</v>
      </c>
      <c r="D59">
        <f t="shared" si="7"/>
        <v>0.3795</v>
      </c>
      <c r="E59">
        <f t="shared" si="7"/>
        <v>0.3347</v>
      </c>
      <c r="F59">
        <f t="shared" si="7"/>
        <v>0.3347</v>
      </c>
      <c r="G59">
        <f t="shared" si="7"/>
        <v>5.4800000000000001E-2</v>
      </c>
      <c r="H59">
        <f t="shared" si="7"/>
        <v>0.3795</v>
      </c>
      <c r="I59">
        <f t="shared" si="7"/>
        <v>0.1095</v>
      </c>
      <c r="J59">
        <f t="shared" si="7"/>
        <v>0.3347</v>
      </c>
      <c r="K59">
        <f t="shared" si="7"/>
        <v>0.3347</v>
      </c>
      <c r="L59">
        <f t="shared" si="7"/>
        <v>0.3795</v>
      </c>
      <c r="M59">
        <f t="shared" si="7"/>
        <v>0.3795</v>
      </c>
    </row>
    <row r="60" spans="1:13" x14ac:dyDescent="0.3">
      <c r="A60" t="s">
        <v>2</v>
      </c>
      <c r="B60">
        <f t="shared" si="7"/>
        <v>7.0699999999999999E-2</v>
      </c>
      <c r="C60">
        <f t="shared" si="7"/>
        <v>5.4800000000000001E-2</v>
      </c>
      <c r="D60">
        <f t="shared" si="7"/>
        <v>0</v>
      </c>
      <c r="E60">
        <f t="shared" si="7"/>
        <v>0.2828</v>
      </c>
      <c r="F60">
        <f t="shared" si="7"/>
        <v>0.1095</v>
      </c>
      <c r="G60">
        <f t="shared" si="7"/>
        <v>6.3200000000000006E-2</v>
      </c>
      <c r="H60">
        <f t="shared" si="7"/>
        <v>0.251</v>
      </c>
      <c r="I60">
        <f t="shared" si="7"/>
        <v>7.0699999999999999E-2</v>
      </c>
      <c r="J60">
        <f t="shared" si="7"/>
        <v>0.3795</v>
      </c>
      <c r="K60">
        <f t="shared" si="7"/>
        <v>0.3347</v>
      </c>
      <c r="L60">
        <f t="shared" si="7"/>
        <v>0.3347</v>
      </c>
      <c r="M60">
        <f t="shared" si="7"/>
        <v>0.3347</v>
      </c>
    </row>
    <row r="61" spans="1:13" x14ac:dyDescent="0.3">
      <c r="A61" t="s">
        <v>3</v>
      </c>
      <c r="B61">
        <f t="shared" si="7"/>
        <v>0.251</v>
      </c>
      <c r="C61">
        <f t="shared" si="7"/>
        <v>6.3200000000000006E-2</v>
      </c>
      <c r="D61">
        <f t="shared" si="7"/>
        <v>7.0699999999999999E-2</v>
      </c>
      <c r="E61">
        <f t="shared" si="7"/>
        <v>0</v>
      </c>
      <c r="F61">
        <f t="shared" si="7"/>
        <v>7.0699999999999999E-2</v>
      </c>
      <c r="G61">
        <f t="shared" si="7"/>
        <v>7.0699999999999999E-2</v>
      </c>
      <c r="H61">
        <f t="shared" si="7"/>
        <v>0.3347</v>
      </c>
      <c r="I61">
        <f t="shared" si="7"/>
        <v>0.21210000000000001</v>
      </c>
      <c r="J61">
        <f t="shared" si="7"/>
        <v>0.3347</v>
      </c>
      <c r="K61">
        <f t="shared" si="7"/>
        <v>0.21210000000000001</v>
      </c>
      <c r="L61">
        <f t="shared" si="7"/>
        <v>0.3795</v>
      </c>
      <c r="M61">
        <f t="shared" si="7"/>
        <v>0.3795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0.1414</v>
      </c>
      <c r="C62">
        <f t="shared" si="8"/>
        <v>3.1600000000000003E-2</v>
      </c>
      <c r="D62">
        <f t="shared" si="8"/>
        <v>0.1095</v>
      </c>
      <c r="E62">
        <f t="shared" si="8"/>
        <v>7.0699999999999999E-2</v>
      </c>
      <c r="F62">
        <f t="shared" si="8"/>
        <v>0</v>
      </c>
      <c r="G62">
        <f t="shared" si="8"/>
        <v>0.3347</v>
      </c>
      <c r="H62">
        <f t="shared" si="8"/>
        <v>7.0699999999999999E-2</v>
      </c>
      <c r="I62">
        <f t="shared" si="8"/>
        <v>0.21210000000000001</v>
      </c>
      <c r="J62">
        <f t="shared" si="8"/>
        <v>0.3795</v>
      </c>
      <c r="K62">
        <f t="shared" si="8"/>
        <v>0.3347</v>
      </c>
      <c r="L62">
        <f t="shared" si="8"/>
        <v>7.0699999999999999E-2</v>
      </c>
      <c r="M62">
        <f t="shared" si="8"/>
        <v>5.4800000000000001E-2</v>
      </c>
    </row>
    <row r="63" spans="1:13" x14ac:dyDescent="0.3">
      <c r="A63" t="s">
        <v>5</v>
      </c>
      <c r="B63">
        <f t="shared" si="7"/>
        <v>0.1095</v>
      </c>
      <c r="C63">
        <f t="shared" si="7"/>
        <v>0.1414</v>
      </c>
      <c r="D63">
        <f t="shared" si="7"/>
        <v>8.3699999999999997E-2</v>
      </c>
      <c r="E63">
        <f t="shared" si="7"/>
        <v>3.1600000000000003E-2</v>
      </c>
      <c r="F63">
        <f t="shared" si="7"/>
        <v>7.0699999999999999E-2</v>
      </c>
      <c r="G63">
        <f t="shared" si="7"/>
        <v>0</v>
      </c>
      <c r="H63">
        <f t="shared" si="7"/>
        <v>5.4800000000000001E-2</v>
      </c>
      <c r="I63">
        <f t="shared" si="7"/>
        <v>7.0699999999999999E-2</v>
      </c>
      <c r="J63">
        <f t="shared" si="7"/>
        <v>0.3347</v>
      </c>
      <c r="K63">
        <f t="shared" si="7"/>
        <v>7.0699999999999999E-2</v>
      </c>
      <c r="L63">
        <f t="shared" si="7"/>
        <v>7.0699999999999999E-2</v>
      </c>
      <c r="M63">
        <f t="shared" si="7"/>
        <v>7.0699999999999999E-2</v>
      </c>
    </row>
    <row r="64" spans="1:13" x14ac:dyDescent="0.3">
      <c r="A64" t="s">
        <v>6</v>
      </c>
      <c r="B64">
        <f t="shared" si="7"/>
        <v>0.1095</v>
      </c>
      <c r="C64">
        <f t="shared" si="7"/>
        <v>3.1600000000000003E-2</v>
      </c>
      <c r="D64">
        <f t="shared" si="7"/>
        <v>0.1414</v>
      </c>
      <c r="E64">
        <f t="shared" si="7"/>
        <v>0.21210000000000001</v>
      </c>
      <c r="F64">
        <f t="shared" si="7"/>
        <v>8.3699999999999997E-2</v>
      </c>
      <c r="G64">
        <f t="shared" si="7"/>
        <v>7.0699999999999999E-2</v>
      </c>
      <c r="H64">
        <f t="shared" si="7"/>
        <v>0</v>
      </c>
      <c r="I64">
        <f t="shared" si="7"/>
        <v>5.4800000000000001E-2</v>
      </c>
      <c r="J64">
        <f t="shared" si="7"/>
        <v>5.4800000000000001E-2</v>
      </c>
      <c r="K64">
        <f t="shared" si="7"/>
        <v>0.1414</v>
      </c>
      <c r="L64">
        <f t="shared" si="7"/>
        <v>0.1095</v>
      </c>
      <c r="M64">
        <f t="shared" si="7"/>
        <v>7.0699999999999999E-2</v>
      </c>
    </row>
    <row r="65" spans="1:13" x14ac:dyDescent="0.3">
      <c r="A65" t="s">
        <v>7</v>
      </c>
      <c r="B65">
        <f t="shared" si="7"/>
        <v>7.0699999999999999E-2</v>
      </c>
      <c r="C65">
        <f t="shared" si="7"/>
        <v>0.1095</v>
      </c>
      <c r="D65">
        <f t="shared" si="7"/>
        <v>5.4800000000000001E-2</v>
      </c>
      <c r="E65">
        <f t="shared" si="7"/>
        <v>0.1095</v>
      </c>
      <c r="F65">
        <f t="shared" si="7"/>
        <v>0.1414</v>
      </c>
      <c r="G65">
        <f t="shared" si="7"/>
        <v>5.4800000000000001E-2</v>
      </c>
      <c r="H65">
        <f t="shared" si="7"/>
        <v>5.4800000000000001E-2</v>
      </c>
      <c r="I65">
        <f t="shared" si="7"/>
        <v>0</v>
      </c>
      <c r="J65">
        <f t="shared" si="7"/>
        <v>0.21210000000000001</v>
      </c>
      <c r="K65">
        <f t="shared" si="7"/>
        <v>0.3347</v>
      </c>
      <c r="L65">
        <f t="shared" si="7"/>
        <v>0.3795</v>
      </c>
      <c r="M65">
        <f t="shared" si="7"/>
        <v>0.3795</v>
      </c>
    </row>
    <row r="66" spans="1:13" x14ac:dyDescent="0.3">
      <c r="A66" t="s">
        <v>8</v>
      </c>
      <c r="B66">
        <f t="shared" si="7"/>
        <v>0.251</v>
      </c>
      <c r="C66">
        <f t="shared" si="7"/>
        <v>0.1414</v>
      </c>
      <c r="D66">
        <f t="shared" si="7"/>
        <v>0.1673</v>
      </c>
      <c r="E66">
        <f t="shared" si="7"/>
        <v>5.4800000000000001E-2</v>
      </c>
      <c r="F66">
        <f t="shared" si="7"/>
        <v>7.0699999999999999E-2</v>
      </c>
      <c r="G66">
        <f t="shared" si="7"/>
        <v>5.4800000000000001E-2</v>
      </c>
      <c r="H66">
        <f t="shared" si="7"/>
        <v>0.3347</v>
      </c>
      <c r="I66">
        <f t="shared" si="7"/>
        <v>0.1414</v>
      </c>
      <c r="J66">
        <f t="shared" si="7"/>
        <v>0</v>
      </c>
      <c r="K66">
        <f t="shared" si="7"/>
        <v>0.3347</v>
      </c>
      <c r="L66">
        <f t="shared" si="7"/>
        <v>0.3347</v>
      </c>
      <c r="M66">
        <f t="shared" si="7"/>
        <v>0.3795</v>
      </c>
    </row>
    <row r="67" spans="1:13" x14ac:dyDescent="0.3">
      <c r="A67" t="s">
        <v>9</v>
      </c>
      <c r="B67">
        <f t="shared" si="7"/>
        <v>7.0699999999999999E-2</v>
      </c>
      <c r="C67">
        <f t="shared" si="7"/>
        <v>0.1414</v>
      </c>
      <c r="D67">
        <f t="shared" si="7"/>
        <v>3.1600000000000003E-2</v>
      </c>
      <c r="E67">
        <f t="shared" si="7"/>
        <v>0.1673</v>
      </c>
      <c r="F67">
        <f t="shared" si="7"/>
        <v>0.1095</v>
      </c>
      <c r="G67">
        <f t="shared" si="7"/>
        <v>0.1095</v>
      </c>
      <c r="H67">
        <f t="shared" si="7"/>
        <v>7.0699999999999999E-2</v>
      </c>
      <c r="I67">
        <f t="shared" si="7"/>
        <v>7.0699999999999999E-2</v>
      </c>
      <c r="J67">
        <f t="shared" si="7"/>
        <v>3.1600000000000003E-2</v>
      </c>
      <c r="K67">
        <f t="shared" si="7"/>
        <v>0</v>
      </c>
      <c r="L67">
        <f t="shared" si="7"/>
        <v>0.251</v>
      </c>
      <c r="M67">
        <f t="shared" si="7"/>
        <v>5.4800000000000001E-2</v>
      </c>
    </row>
    <row r="68" spans="1:13" x14ac:dyDescent="0.3">
      <c r="A68" t="s">
        <v>10</v>
      </c>
      <c r="B68">
        <f t="shared" si="7"/>
        <v>6.3200000000000006E-2</v>
      </c>
      <c r="C68">
        <f t="shared" si="7"/>
        <v>3.1600000000000003E-2</v>
      </c>
      <c r="D68">
        <f t="shared" si="7"/>
        <v>7.0699999999999999E-2</v>
      </c>
      <c r="E68">
        <f t="shared" si="7"/>
        <v>0.1673</v>
      </c>
      <c r="F68">
        <f t="shared" si="7"/>
        <v>5.4800000000000001E-2</v>
      </c>
      <c r="G68">
        <f t="shared" si="7"/>
        <v>7.0699999999999999E-2</v>
      </c>
      <c r="H68">
        <f t="shared" si="7"/>
        <v>5.4800000000000001E-2</v>
      </c>
      <c r="I68">
        <f t="shared" si="7"/>
        <v>0.1095</v>
      </c>
      <c r="J68">
        <f t="shared" si="7"/>
        <v>3.1600000000000003E-2</v>
      </c>
      <c r="K68">
        <f t="shared" si="7"/>
        <v>0.1414</v>
      </c>
      <c r="L68">
        <f t="shared" si="7"/>
        <v>0</v>
      </c>
      <c r="M68">
        <f t="shared" si="7"/>
        <v>0.3795</v>
      </c>
    </row>
    <row r="69" spans="1:13" x14ac:dyDescent="0.3">
      <c r="A69" t="s">
        <v>11</v>
      </c>
      <c r="B69">
        <f t="shared" si="7"/>
        <v>6.3200000000000006E-2</v>
      </c>
      <c r="C69">
        <f t="shared" si="7"/>
        <v>5.4800000000000001E-2</v>
      </c>
      <c r="D69">
        <f t="shared" si="7"/>
        <v>3.1600000000000003E-2</v>
      </c>
      <c r="E69">
        <f t="shared" si="7"/>
        <v>7.0699999999999999E-2</v>
      </c>
      <c r="F69">
        <f t="shared" si="7"/>
        <v>0.21210000000000001</v>
      </c>
      <c r="G69">
        <f t="shared" si="7"/>
        <v>0.21210000000000001</v>
      </c>
      <c r="H69">
        <f t="shared" si="7"/>
        <v>5.4800000000000001E-2</v>
      </c>
      <c r="I69">
        <f t="shared" si="7"/>
        <v>0.1414</v>
      </c>
      <c r="J69">
        <f t="shared" si="7"/>
        <v>0.1414</v>
      </c>
      <c r="K69">
        <f t="shared" si="7"/>
        <v>0.1673</v>
      </c>
      <c r="L69">
        <f t="shared" si="7"/>
        <v>7.0699999999999999E-2</v>
      </c>
      <c r="M69">
        <f t="shared" si="7"/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4"/>
  <dimension ref="A1:M69"/>
  <sheetViews>
    <sheetView workbookViewId="0">
      <selection activeCell="A15" sqref="A15:M69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15</v>
      </c>
      <c r="D2" t="s">
        <v>12</v>
      </c>
      <c r="E2" t="s">
        <v>20</v>
      </c>
      <c r="F2" t="s">
        <v>21</v>
      </c>
      <c r="G2" t="s">
        <v>12</v>
      </c>
      <c r="H2" t="s">
        <v>18</v>
      </c>
      <c r="I2" t="s">
        <v>12</v>
      </c>
      <c r="J2" t="s">
        <v>13</v>
      </c>
      <c r="K2" t="s">
        <v>15</v>
      </c>
      <c r="L2" t="s">
        <v>12</v>
      </c>
      <c r="M2" t="s">
        <v>25</v>
      </c>
    </row>
    <row r="3" spans="1:13" x14ac:dyDescent="0.3">
      <c r="A3" s="1" t="s">
        <v>1</v>
      </c>
      <c r="B3" t="s">
        <v>22</v>
      </c>
      <c r="C3">
        <v>0</v>
      </c>
      <c r="D3" t="s">
        <v>25</v>
      </c>
      <c r="E3" t="s">
        <v>21</v>
      </c>
      <c r="F3" t="s">
        <v>15</v>
      </c>
      <c r="G3" t="s">
        <v>71</v>
      </c>
      <c r="H3" t="s">
        <v>16</v>
      </c>
      <c r="I3" t="s">
        <v>22</v>
      </c>
      <c r="J3" t="s">
        <v>16</v>
      </c>
      <c r="K3" t="s">
        <v>25</v>
      </c>
      <c r="L3" t="s">
        <v>20</v>
      </c>
      <c r="M3" t="s">
        <v>13</v>
      </c>
    </row>
    <row r="4" spans="1:13" x14ac:dyDescent="0.3">
      <c r="A4" s="1" t="s">
        <v>2</v>
      </c>
      <c r="B4" t="s">
        <v>24</v>
      </c>
      <c r="C4" t="s">
        <v>71</v>
      </c>
      <c r="D4">
        <v>0</v>
      </c>
      <c r="E4" t="s">
        <v>24</v>
      </c>
      <c r="F4" t="s">
        <v>22</v>
      </c>
      <c r="G4" t="s">
        <v>15</v>
      </c>
      <c r="H4" t="s">
        <v>12</v>
      </c>
      <c r="I4" t="s">
        <v>17</v>
      </c>
      <c r="J4" t="s">
        <v>18</v>
      </c>
      <c r="K4" t="s">
        <v>25</v>
      </c>
      <c r="L4" t="s">
        <v>12</v>
      </c>
      <c r="M4" t="s">
        <v>13</v>
      </c>
    </row>
    <row r="5" spans="1:13" x14ac:dyDescent="0.3">
      <c r="A5" s="1" t="s">
        <v>3</v>
      </c>
      <c r="B5" t="s">
        <v>12</v>
      </c>
      <c r="C5" t="s">
        <v>24</v>
      </c>
      <c r="D5" t="s">
        <v>13</v>
      </c>
      <c r="E5">
        <v>0</v>
      </c>
      <c r="F5" t="s">
        <v>16</v>
      </c>
      <c r="G5" t="s">
        <v>25</v>
      </c>
      <c r="H5" t="s">
        <v>18</v>
      </c>
      <c r="I5" t="s">
        <v>20</v>
      </c>
      <c r="J5" t="s">
        <v>13</v>
      </c>
      <c r="K5" t="s">
        <v>18</v>
      </c>
      <c r="L5" t="s">
        <v>25</v>
      </c>
      <c r="M5" t="s">
        <v>25</v>
      </c>
    </row>
    <row r="6" spans="1:13" x14ac:dyDescent="0.3">
      <c r="A6" s="1" t="s">
        <v>4</v>
      </c>
      <c r="B6" t="s">
        <v>20</v>
      </c>
      <c r="C6" t="s">
        <v>16</v>
      </c>
      <c r="D6" t="s">
        <v>20</v>
      </c>
      <c r="E6" t="s">
        <v>62</v>
      </c>
      <c r="F6">
        <v>0</v>
      </c>
      <c r="G6" t="s">
        <v>21</v>
      </c>
      <c r="H6" t="s">
        <v>62</v>
      </c>
      <c r="I6" t="s">
        <v>15</v>
      </c>
      <c r="J6" t="s">
        <v>13</v>
      </c>
      <c r="K6" t="s">
        <v>13</v>
      </c>
      <c r="L6" t="s">
        <v>16</v>
      </c>
      <c r="M6" t="s">
        <v>16</v>
      </c>
    </row>
    <row r="7" spans="1:13" x14ac:dyDescent="0.3">
      <c r="A7" s="1" t="s">
        <v>5</v>
      </c>
      <c r="B7" t="s">
        <v>16</v>
      </c>
      <c r="C7" t="s">
        <v>71</v>
      </c>
      <c r="D7" t="s">
        <v>62</v>
      </c>
      <c r="E7" t="s">
        <v>16</v>
      </c>
      <c r="F7" t="s">
        <v>15</v>
      </c>
      <c r="G7">
        <v>0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23</v>
      </c>
    </row>
    <row r="8" spans="1:13" x14ac:dyDescent="0.3">
      <c r="A8" s="1" t="s">
        <v>6</v>
      </c>
      <c r="B8" t="s">
        <v>16</v>
      </c>
      <c r="C8" t="s">
        <v>71</v>
      </c>
      <c r="D8" t="s">
        <v>62</v>
      </c>
      <c r="E8" t="s">
        <v>16</v>
      </c>
      <c r="F8" t="s">
        <v>20</v>
      </c>
      <c r="G8" t="s">
        <v>16</v>
      </c>
      <c r="H8">
        <v>0</v>
      </c>
      <c r="I8" t="s">
        <v>15</v>
      </c>
      <c r="J8" t="s">
        <v>16</v>
      </c>
      <c r="K8" t="s">
        <v>12</v>
      </c>
      <c r="L8" t="s">
        <v>17</v>
      </c>
      <c r="M8" t="s">
        <v>20</v>
      </c>
    </row>
    <row r="9" spans="1:13" x14ac:dyDescent="0.3">
      <c r="A9" s="1" t="s">
        <v>7</v>
      </c>
      <c r="B9" t="s">
        <v>16</v>
      </c>
      <c r="C9" t="s">
        <v>15</v>
      </c>
      <c r="D9" t="s">
        <v>23</v>
      </c>
      <c r="E9" t="s">
        <v>15</v>
      </c>
      <c r="F9" t="s">
        <v>15</v>
      </c>
      <c r="G9" t="s">
        <v>15</v>
      </c>
      <c r="H9" t="s">
        <v>15</v>
      </c>
      <c r="I9">
        <v>0</v>
      </c>
      <c r="J9" t="s">
        <v>16</v>
      </c>
      <c r="K9" t="s">
        <v>13</v>
      </c>
      <c r="L9" t="s">
        <v>18</v>
      </c>
      <c r="M9" t="s">
        <v>13</v>
      </c>
    </row>
    <row r="10" spans="1:13" x14ac:dyDescent="0.3">
      <c r="A10" s="1" t="s">
        <v>8</v>
      </c>
      <c r="B10" t="s">
        <v>21</v>
      </c>
      <c r="C10" t="s">
        <v>17</v>
      </c>
      <c r="D10" t="s">
        <v>15</v>
      </c>
      <c r="E10" t="s">
        <v>15</v>
      </c>
      <c r="F10" t="s">
        <v>22</v>
      </c>
      <c r="G10" t="s">
        <v>16</v>
      </c>
      <c r="H10" t="s">
        <v>15</v>
      </c>
      <c r="I10" t="s">
        <v>16</v>
      </c>
      <c r="J10">
        <v>0</v>
      </c>
      <c r="K10" t="s">
        <v>18</v>
      </c>
      <c r="L10" t="s">
        <v>22</v>
      </c>
      <c r="M10" t="s">
        <v>12</v>
      </c>
    </row>
    <row r="11" spans="1:13" x14ac:dyDescent="0.3">
      <c r="A11" s="1" t="s">
        <v>9</v>
      </c>
      <c r="B11" t="s">
        <v>16</v>
      </c>
      <c r="C11" t="s">
        <v>23</v>
      </c>
      <c r="D11" t="s">
        <v>20</v>
      </c>
      <c r="E11" t="s">
        <v>71</v>
      </c>
      <c r="F11" t="s">
        <v>24</v>
      </c>
      <c r="G11" t="s">
        <v>20</v>
      </c>
      <c r="H11" t="s">
        <v>24</v>
      </c>
      <c r="I11" t="s">
        <v>17</v>
      </c>
      <c r="J11" t="s">
        <v>71</v>
      </c>
      <c r="K11">
        <v>0</v>
      </c>
      <c r="L11" t="s">
        <v>16</v>
      </c>
      <c r="M11" t="s">
        <v>15</v>
      </c>
    </row>
    <row r="12" spans="1:13" x14ac:dyDescent="0.3">
      <c r="A12" s="1" t="s">
        <v>10</v>
      </c>
      <c r="B12" t="s">
        <v>16</v>
      </c>
      <c r="C12" t="s">
        <v>15</v>
      </c>
      <c r="D12" t="s">
        <v>62</v>
      </c>
      <c r="E12" t="s">
        <v>16</v>
      </c>
      <c r="F12" t="s">
        <v>17</v>
      </c>
      <c r="G12" t="s">
        <v>16</v>
      </c>
      <c r="H12" t="s">
        <v>16</v>
      </c>
      <c r="I12" t="s">
        <v>23</v>
      </c>
      <c r="J12" t="s">
        <v>16</v>
      </c>
      <c r="K12" t="s">
        <v>23</v>
      </c>
      <c r="L12">
        <v>0</v>
      </c>
      <c r="M12" t="s">
        <v>18</v>
      </c>
    </row>
    <row r="13" spans="1:13" x14ac:dyDescent="0.3">
      <c r="A13" s="1" t="s">
        <v>11</v>
      </c>
      <c r="B13" t="s">
        <v>16</v>
      </c>
      <c r="C13" t="s">
        <v>15</v>
      </c>
      <c r="D13" t="s">
        <v>23</v>
      </c>
      <c r="E13" t="s">
        <v>71</v>
      </c>
      <c r="F13" t="s">
        <v>15</v>
      </c>
      <c r="G13" t="s">
        <v>16</v>
      </c>
      <c r="H13" t="s">
        <v>24</v>
      </c>
      <c r="I13" t="s">
        <v>20</v>
      </c>
      <c r="J13" t="s">
        <v>15</v>
      </c>
      <c r="K13" t="s">
        <v>24</v>
      </c>
      <c r="L13" t="s">
        <v>18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(0; 0,0707; 0,1414)</v>
      </c>
      <c r="D16" t="str">
        <f>VLOOKUP(D2,'Thang đánh giá'!$C$2:$D$27,2,FALSE)</f>
        <v>(0,1673; 0,251; 0,3347)</v>
      </c>
      <c r="E16" t="str">
        <f>VLOOKUP(E2,'Thang đánh giá'!$C$2:$D$27,2,FALSE)</f>
        <v>(0; 0,0548; 0,1095)</v>
      </c>
      <c r="F16" t="str">
        <f>VLOOKUP(F2,'Thang đánh giá'!$C$2:$D$27,2,FALSE)</f>
        <v>(0,0837; 0,1673; 0,251)</v>
      </c>
      <c r="G16" t="str">
        <f>VLOOKUP(G2,'Thang đánh giá'!$C$2:$D$27,2,FALSE)</f>
        <v>(0,1673; 0,251; 0,3347)</v>
      </c>
      <c r="H16" t="str">
        <f>VLOOKUP(H2,'Thang đánh giá'!$C$2:$D$27,2,FALSE)</f>
        <v>(0,2846; 0,3795; 0,3795)</v>
      </c>
      <c r="I16" t="str">
        <f>VLOOKUP(I2,'Thang đánh giá'!$C$2:$D$27,2,FALSE)</f>
        <v>(0,1673; 0,251; 0,3347)</v>
      </c>
      <c r="J16" t="str">
        <f>VLOOKUP(J2,'Thang đánh giá'!$C$2:$D$27,2,FALSE)</f>
        <v>(0,1897; 0,2846; 0,3795)</v>
      </c>
      <c r="K16" t="str">
        <f>VLOOKUP(K2,'Thang đánh giá'!$C$2:$D$27,2,FALSE)</f>
        <v>(0; 0,0707; 0,1414)</v>
      </c>
      <c r="L16" t="str">
        <f>VLOOKUP(L2,'Thang đánh giá'!$C$2:$D$27,2,FALSE)</f>
        <v>(0,1673; 0,251; 0,3347)</v>
      </c>
      <c r="M16" t="str">
        <f>VLOOKUP(M2,'Thang đánh giá'!$C$2:$D$27,2,FALSE)</f>
        <v>(0,251; 0,3347; 0,3347)</v>
      </c>
    </row>
    <row r="17" spans="1:13" x14ac:dyDescent="0.3">
      <c r="A17" t="s">
        <v>1</v>
      </c>
      <c r="B17" t="str">
        <f>VLOOKUP(B3,'Thang đánh giá'!$C$2:$D$27,2,FALSE)</f>
        <v>(0,0707; 0,1414; 0,2121)</v>
      </c>
      <c r="C17" t="str">
        <f>VLOOKUP(C3,'Thang đánh giá'!$C$2:$D$27,2,FALSE)</f>
        <v>(0; 0; 0)</v>
      </c>
      <c r="D17" t="str">
        <f>VLOOKUP(D3,'Thang đánh giá'!$C$2:$D$27,2,FALSE)</f>
        <v>(0,251; 0,3347; 0,3347)</v>
      </c>
      <c r="E17" t="str">
        <f>VLOOKUP(E3,'Thang đánh giá'!$C$2:$D$27,2,FALSE)</f>
        <v>(0,0837; 0,1673; 0,251)</v>
      </c>
      <c r="F17" t="str">
        <f>VLOOKUP(F3,'Thang đánh giá'!$C$2:$D$27,2,FALSE)</f>
        <v>(0; 0,0707; 0,1414)</v>
      </c>
      <c r="G17" t="str">
        <f>VLOOKUP(G3,'Thang đánh giá'!$C$2:$D$27,2,FALSE)</f>
        <v>(0; 0; 0,0837)</v>
      </c>
      <c r="H17" t="str">
        <f>VLOOKUP(H3,'Thang đánh giá'!$C$2:$D$27,2,FALSE)</f>
        <v>(0; 0; 0,0707)</v>
      </c>
      <c r="I17" t="str">
        <f>VLOOKUP(I3,'Thang đánh giá'!$C$2:$D$27,2,FALSE)</f>
        <v>(0,0707; 0,1414; 0,2121)</v>
      </c>
      <c r="J17" t="str">
        <f>VLOOKUP(J3,'Thang đánh giá'!$C$2:$D$27,2,FALSE)</f>
        <v>(0; 0; 0,0707)</v>
      </c>
      <c r="K17" t="str">
        <f>VLOOKUP(K3,'Thang đánh giá'!$C$2:$D$27,2,FALSE)</f>
        <v>(0,251; 0,3347; 0,3347)</v>
      </c>
      <c r="L17" t="str">
        <f>VLOOKUP(L3,'Thang đánh giá'!$C$2:$D$27,2,FALSE)</f>
        <v>(0; 0,0548; 0,1095)</v>
      </c>
      <c r="M17" t="str">
        <f>VLOOKUP(M3,'Thang đánh giá'!$C$2:$D$27,2,FALSE)</f>
        <v>(0,1897; 0,2846; 0,3795)</v>
      </c>
    </row>
    <row r="18" spans="1:13" x14ac:dyDescent="0.3">
      <c r="A18" t="s">
        <v>2</v>
      </c>
      <c r="B18" t="str">
        <f>VLOOKUP(B4,'Thang đánh giá'!$C$2:$D$27,2,FALSE)</f>
        <v>(0; 0; 0,0548)</v>
      </c>
      <c r="C18" t="str">
        <f>VLOOKUP(C4,'Thang đánh giá'!$C$2:$D$27,2,FALSE)</f>
        <v>(0; 0; 0,0837)</v>
      </c>
      <c r="D18" t="str">
        <f>VLOOKUP(D4,'Thang đánh giá'!$C$2:$D$27,2,FALSE)</f>
        <v>(0; 0; 0)</v>
      </c>
      <c r="E18" t="str">
        <f>VLOOKUP(E4,'Thang đánh giá'!$C$2:$D$27,2,FALSE)</f>
        <v>(0; 0; 0,0548)</v>
      </c>
      <c r="F18" t="str">
        <f>VLOOKUP(F4,'Thang đánh giá'!$C$2:$D$27,2,FALSE)</f>
        <v>(0,0707; 0,1414; 0,2121)</v>
      </c>
      <c r="G18" t="str">
        <f>VLOOKUP(G4,'Thang đánh giá'!$C$2:$D$27,2,FALSE)</f>
        <v>(0; 0,0707; 0,1414)</v>
      </c>
      <c r="H18" t="str">
        <f>VLOOKUP(H4,'Thang đánh giá'!$C$2:$D$27,2,FALSE)</f>
        <v>(0,1673; 0,251; 0,3347)</v>
      </c>
      <c r="I18" t="str">
        <f>VLOOKUP(I4,'Thang đánh giá'!$C$2:$D$27,2,FALSE)</f>
        <v>(0; 0,0316; 0,0632)</v>
      </c>
      <c r="J18" t="str">
        <f>VLOOKUP(J4,'Thang đánh giá'!$C$2:$D$27,2,FALSE)</f>
        <v>(0,2846; 0,3795; 0,3795)</v>
      </c>
      <c r="K18" t="str">
        <f>VLOOKUP(K4,'Thang đánh giá'!$C$2:$D$27,2,FALSE)</f>
        <v>(0,251; 0,3347; 0,3347)</v>
      </c>
      <c r="L18" t="str">
        <f>VLOOKUP(L4,'Thang đánh giá'!$C$2:$D$27,2,FALSE)</f>
        <v>(0,1673; 0,251; 0,3347)</v>
      </c>
      <c r="M18" t="str">
        <f>VLOOKUP(M4,'Thang đánh giá'!$C$2:$D$27,2,FALSE)</f>
        <v>(0,1897; 0,2846; 0,3795)</v>
      </c>
    </row>
    <row r="19" spans="1:13" x14ac:dyDescent="0.3">
      <c r="A19" t="s">
        <v>3</v>
      </c>
      <c r="B19" t="str">
        <f>VLOOKUP(B5,'Thang đánh giá'!$C$2:$D$27,2,FALSE)</f>
        <v>(0,1673; 0,251; 0,3347)</v>
      </c>
      <c r="C19" t="str">
        <f>VLOOKUP(C5,'Thang đánh giá'!$C$2:$D$27,2,FALSE)</f>
        <v>(0; 0; 0,0548)</v>
      </c>
      <c r="D19" t="str">
        <f>VLOOKUP(D5,'Thang đánh giá'!$C$2:$D$27,2,FALSE)</f>
        <v>(0,1897; 0,2846; 0,3795)</v>
      </c>
      <c r="E19" t="str">
        <f>VLOOKUP(E5,'Thang đánh giá'!$C$2:$D$27,2,FALSE)</f>
        <v>(0; 0; 0)</v>
      </c>
      <c r="F19" t="str">
        <f>VLOOKUP(F5,'Thang đánh giá'!$C$2:$D$27,2,FALSE)</f>
        <v>(0; 0; 0,0707)</v>
      </c>
      <c r="G19" t="str">
        <f>VLOOKUP(G5,'Thang đánh giá'!$C$2:$D$27,2,FALSE)</f>
        <v>(0,251; 0,3347; 0,3347)</v>
      </c>
      <c r="H19" t="str">
        <f>VLOOKUP(H5,'Thang đánh giá'!$C$2:$D$27,2,FALSE)</f>
        <v>(0,2846; 0,3795; 0,3795)</v>
      </c>
      <c r="I19" t="str">
        <f>VLOOKUP(I5,'Thang đánh giá'!$C$2:$D$27,2,FALSE)</f>
        <v>(0; 0,0548; 0,1095)</v>
      </c>
      <c r="J19" t="str">
        <f>VLOOKUP(J5,'Thang đánh giá'!$C$2:$D$27,2,FALSE)</f>
        <v>(0,1897; 0,2846; 0,3795)</v>
      </c>
      <c r="K19" t="str">
        <f>VLOOKUP(K5,'Thang đánh giá'!$C$2:$D$27,2,FALSE)</f>
        <v>(0,2846; 0,3795; 0,3795)</v>
      </c>
      <c r="L19" t="str">
        <f>VLOOKUP(L5,'Thang đánh giá'!$C$2:$D$27,2,FALSE)</f>
        <v>(0,251; 0,3347; 0,3347)</v>
      </c>
      <c r="M19" t="str">
        <f>VLOOKUP(M5,'Thang đánh giá'!$C$2:$D$27,2,FALSE)</f>
        <v>(0,251; 0,3347; 0,3347)</v>
      </c>
    </row>
    <row r="20" spans="1:13" x14ac:dyDescent="0.3">
      <c r="A20" t="s">
        <v>4</v>
      </c>
      <c r="B20" t="str">
        <f>VLOOKUP(B6,'Thang đánh giá'!$C$2:$D$27,2,FALSE)</f>
        <v>(0; 0,0548; 0,1095)</v>
      </c>
      <c r="C20" t="str">
        <f>VLOOKUP(C6,'Thang đánh giá'!$C$2:$D$27,2,FALSE)</f>
        <v>(0; 0; 0,0707)</v>
      </c>
      <c r="D20" t="str">
        <f>VLOOKUP(D6,'Thang đánh giá'!$C$2:$D$27,2,FALSE)</f>
        <v>(0; 0,0548; 0,1095)</v>
      </c>
      <c r="E20" t="str">
        <f>VLOOKUP(E6,'Thang đánh giá'!$C$2:$D$27,2,FALSE)</f>
        <v>(0; 0,0837; 0,1673)</v>
      </c>
      <c r="F20" t="str">
        <f>VLOOKUP(F6,'Thang đánh giá'!$C$2:$D$27,2,FALSE)</f>
        <v>(0; 0; 0)</v>
      </c>
      <c r="G20" t="str">
        <f>VLOOKUP(G6,'Thang đánh giá'!$C$2:$D$27,2,FALSE)</f>
        <v>(0,0837; 0,1673; 0,251)</v>
      </c>
      <c r="H20" t="str">
        <f>VLOOKUP(H6,'Thang đánh giá'!$C$2:$D$27,2,FALSE)</f>
        <v>(0; 0,0837; 0,1673)</v>
      </c>
      <c r="I20" t="str">
        <f>VLOOKUP(I6,'Thang đánh giá'!$C$2:$D$27,2,FALSE)</f>
        <v>(0; 0,0707; 0,1414)</v>
      </c>
      <c r="J20" t="str">
        <f>VLOOKUP(J6,'Thang đánh giá'!$C$2:$D$27,2,FALSE)</f>
        <v>(0,1897; 0,2846; 0,3795)</v>
      </c>
      <c r="K20" t="str">
        <f>VLOOKUP(K6,'Thang đánh giá'!$C$2:$D$27,2,FALSE)</f>
        <v>(0,1897; 0,2846; 0,3795)</v>
      </c>
      <c r="L20" t="str">
        <f>VLOOKUP(L6,'Thang đánh giá'!$C$2:$D$27,2,FALSE)</f>
        <v>(0; 0; 0,0707)</v>
      </c>
      <c r="M20" t="str">
        <f>VLOOKUP(M6,'Thang đánh giá'!$C$2:$D$27,2,FALSE)</f>
        <v>(0; 0; 0,0707)</v>
      </c>
    </row>
    <row r="21" spans="1:13" x14ac:dyDescent="0.3">
      <c r="A21" t="s">
        <v>5</v>
      </c>
      <c r="B21" t="str">
        <f>VLOOKUP(B7,'Thang đánh giá'!$C$2:$D$27,2,FALSE)</f>
        <v>(0; 0; 0,0707)</v>
      </c>
      <c r="C21" t="str">
        <f>VLOOKUP(C7,'Thang đánh giá'!$C$2:$D$27,2,FALSE)</f>
        <v>(0; 0; 0,0837)</v>
      </c>
      <c r="D21" t="str">
        <f>VLOOKUP(D7,'Thang đánh giá'!$C$2:$D$27,2,FALSE)</f>
        <v>(0; 0,0837; 0,1673)</v>
      </c>
      <c r="E21" t="str">
        <f>VLOOKUP(E7,'Thang đánh giá'!$C$2:$D$27,2,FALSE)</f>
        <v>(0; 0; 0,0707)</v>
      </c>
      <c r="F21" t="str">
        <f>VLOOKUP(F7,'Thang đánh giá'!$C$2:$D$27,2,FALSE)</f>
        <v>(0; 0,0707; 0,1414)</v>
      </c>
      <c r="G21" t="str">
        <f>VLOOKUP(G7,'Thang đánh giá'!$C$2:$D$27,2,FALSE)</f>
        <v>(0; 0; 0)</v>
      </c>
      <c r="H21" t="str">
        <f>VLOOKUP(H7,'Thang đánh giá'!$C$2:$D$27,2,FALSE)</f>
        <v>(0; 0; 0,0707)</v>
      </c>
      <c r="I21" t="str">
        <f>VLOOKUP(I7,'Thang đánh giá'!$C$2:$D$27,2,FALSE)</f>
        <v>(0; 0; 0,0707)</v>
      </c>
      <c r="J21" t="str">
        <f>VLOOKUP(J7,'Thang đánh giá'!$C$2:$D$27,2,FALSE)</f>
        <v>(0; 0; 0,0707)</v>
      </c>
      <c r="K21" t="str">
        <f>VLOOKUP(K7,'Thang đánh giá'!$C$2:$D$27,2,FALSE)</f>
        <v>(0; 0; 0,0707)</v>
      </c>
      <c r="L21" t="str">
        <f>VLOOKUP(L7,'Thang đánh giá'!$C$2:$D$27,2,FALSE)</f>
        <v>(0; 0; 0,0707)</v>
      </c>
      <c r="M21" t="str">
        <f>VLOOKUP(M7,'Thang đánh giá'!$C$2:$D$27,2,FALSE)</f>
        <v>(0; 0; 0,0316)</v>
      </c>
    </row>
    <row r="22" spans="1:13" x14ac:dyDescent="0.3">
      <c r="A22" t="s">
        <v>6</v>
      </c>
      <c r="B22" t="str">
        <f>VLOOKUP(B8,'Thang đánh giá'!$C$2:$D$27,2,FALSE)</f>
        <v>(0; 0; 0,0707)</v>
      </c>
      <c r="C22" t="str">
        <f>VLOOKUP(C8,'Thang đánh giá'!$C$2:$D$27,2,FALSE)</f>
        <v>(0; 0; 0,0837)</v>
      </c>
      <c r="D22" t="str">
        <f>VLOOKUP(D8,'Thang đánh giá'!$C$2:$D$27,2,FALSE)</f>
        <v>(0; 0,0837; 0,1673)</v>
      </c>
      <c r="E22" t="str">
        <f>VLOOKUP(E8,'Thang đánh giá'!$C$2:$D$27,2,FALSE)</f>
        <v>(0; 0; 0,0707)</v>
      </c>
      <c r="F22" t="str">
        <f>VLOOKUP(F8,'Thang đánh giá'!$C$2:$D$27,2,FALSE)</f>
        <v>(0; 0,0548; 0,1095)</v>
      </c>
      <c r="G22" t="str">
        <f>VLOOKUP(G8,'Thang đánh giá'!$C$2:$D$27,2,FALSE)</f>
        <v>(0; 0; 0,0707)</v>
      </c>
      <c r="H22" t="str">
        <f>VLOOKUP(H8,'Thang đánh giá'!$C$2:$D$27,2,FALSE)</f>
        <v>(0; 0; 0)</v>
      </c>
      <c r="I22" t="str">
        <f>VLOOKUP(I8,'Thang đánh giá'!$C$2:$D$27,2,FALSE)</f>
        <v>(0; 0,0707; 0,1414)</v>
      </c>
      <c r="J22" t="str">
        <f>VLOOKUP(J8,'Thang đánh giá'!$C$2:$D$27,2,FALSE)</f>
        <v>(0; 0; 0,0707)</v>
      </c>
      <c r="K22" t="str">
        <f>VLOOKUP(K8,'Thang đánh giá'!$C$2:$D$27,2,FALSE)</f>
        <v>(0,1673; 0,251; 0,3347)</v>
      </c>
      <c r="L22" t="str">
        <f>VLOOKUP(L8,'Thang đánh giá'!$C$2:$D$27,2,FALSE)</f>
        <v>(0; 0,0316; 0,0632)</v>
      </c>
      <c r="M22" t="str">
        <f>VLOOKUP(M8,'Thang đánh giá'!$C$2:$D$27,2,FALSE)</f>
        <v>(0; 0,0548; 0,1095)</v>
      </c>
    </row>
    <row r="23" spans="1:13" x14ac:dyDescent="0.3">
      <c r="A23" t="s">
        <v>7</v>
      </c>
      <c r="B23" t="str">
        <f>VLOOKUP(B9,'Thang đánh giá'!$C$2:$D$27,2,FALSE)</f>
        <v>(0; 0; 0,0707)</v>
      </c>
      <c r="C23" t="str">
        <f>VLOOKUP(C9,'Thang đánh giá'!$C$2:$D$27,2,FALSE)</f>
        <v>(0; 0,0707; 0,1414)</v>
      </c>
      <c r="D23" t="str">
        <f>VLOOKUP(D9,'Thang đánh giá'!$C$2:$D$27,2,FALSE)</f>
        <v>(0; 0; 0,0316)</v>
      </c>
      <c r="E23" t="str">
        <f>VLOOKUP(E9,'Thang đánh giá'!$C$2:$D$27,2,FALSE)</f>
        <v>(0; 0,0707; 0,1414)</v>
      </c>
      <c r="F23" t="str">
        <f>VLOOKUP(F9,'Thang đánh giá'!$C$2:$D$27,2,FALSE)</f>
        <v>(0; 0,0707; 0,1414)</v>
      </c>
      <c r="G23" t="str">
        <f>VLOOKUP(G9,'Thang đánh giá'!$C$2:$D$27,2,FALSE)</f>
        <v>(0; 0,0707; 0,1414)</v>
      </c>
      <c r="H23" t="str">
        <f>VLOOKUP(H9,'Thang đánh giá'!$C$2:$D$27,2,FALSE)</f>
        <v>(0; 0,0707; 0,1414)</v>
      </c>
      <c r="I23" t="str">
        <f>VLOOKUP(I9,'Thang đánh giá'!$C$2:$D$27,2,FALSE)</f>
        <v>(0; 0; 0)</v>
      </c>
      <c r="J23" t="str">
        <f>VLOOKUP(J9,'Thang đánh giá'!$C$2:$D$27,2,FALSE)</f>
        <v>(0; 0; 0,0707)</v>
      </c>
      <c r="K23" t="str">
        <f>VLOOKUP(K9,'Thang đánh giá'!$C$2:$D$27,2,FALSE)</f>
        <v>(0,1897; 0,2846; 0,3795)</v>
      </c>
      <c r="L23" t="str">
        <f>VLOOKUP(L9,'Thang đánh giá'!$C$2:$D$27,2,FALSE)</f>
        <v>(0,2846; 0,3795; 0,3795)</v>
      </c>
      <c r="M23" t="str">
        <f>VLOOKUP(M9,'Thang đánh giá'!$C$2:$D$27,2,FALSE)</f>
        <v>(0,1897; 0,2846; 0,3795)</v>
      </c>
    </row>
    <row r="24" spans="1:13" x14ac:dyDescent="0.3">
      <c r="A24" t="s">
        <v>8</v>
      </c>
      <c r="B24" t="str">
        <f>VLOOKUP(B10,'Thang đánh giá'!$C$2:$D$27,2,FALSE)</f>
        <v>(0,0837; 0,1673; 0,251)</v>
      </c>
      <c r="C24" t="str">
        <f>VLOOKUP(C10,'Thang đánh giá'!$C$2:$D$27,2,FALSE)</f>
        <v>(0; 0,0316; 0,0632)</v>
      </c>
      <c r="D24" t="str">
        <f>VLOOKUP(D10,'Thang đánh giá'!$C$2:$D$27,2,FALSE)</f>
        <v>(0; 0,0707; 0,1414)</v>
      </c>
      <c r="E24" t="str">
        <f>VLOOKUP(E10,'Thang đánh giá'!$C$2:$D$27,2,FALSE)</f>
        <v>(0; 0,0707; 0,1414)</v>
      </c>
      <c r="F24" t="str">
        <f>VLOOKUP(F10,'Thang đánh giá'!$C$2:$D$27,2,FALSE)</f>
        <v>(0,0707; 0,1414; 0,2121)</v>
      </c>
      <c r="G24" t="str">
        <f>VLOOKUP(G10,'Thang đánh giá'!$C$2:$D$27,2,FALSE)</f>
        <v>(0; 0; 0,0707)</v>
      </c>
      <c r="H24" t="str">
        <f>VLOOKUP(H10,'Thang đánh giá'!$C$2:$D$27,2,FALSE)</f>
        <v>(0; 0,0707; 0,1414)</v>
      </c>
      <c r="I24" t="str">
        <f>VLOOKUP(I10,'Thang đánh giá'!$C$2:$D$27,2,FALSE)</f>
        <v>(0; 0; 0,0707)</v>
      </c>
      <c r="J24" t="str">
        <f>VLOOKUP(J10,'Thang đánh giá'!$C$2:$D$27,2,FALSE)</f>
        <v>(0; 0; 0)</v>
      </c>
      <c r="K24" t="str">
        <f>VLOOKUP(K10,'Thang đánh giá'!$C$2:$D$27,2,FALSE)</f>
        <v>(0,2846; 0,3795; 0,3795)</v>
      </c>
      <c r="L24" t="str">
        <f>VLOOKUP(L10,'Thang đánh giá'!$C$2:$D$27,2,FALSE)</f>
        <v>(0,0707; 0,1414; 0,2121)</v>
      </c>
      <c r="M24" t="str">
        <f>VLOOKUP(M10,'Thang đánh giá'!$C$2:$D$27,2,FALSE)</f>
        <v>(0,1673; 0,251; 0,3347)</v>
      </c>
    </row>
    <row r="25" spans="1:13" x14ac:dyDescent="0.3">
      <c r="A25" t="s">
        <v>9</v>
      </c>
      <c r="B25" t="str">
        <f>VLOOKUP(B11,'Thang đánh giá'!$C$2:$D$27,2,FALSE)</f>
        <v>(0; 0; 0,0707)</v>
      </c>
      <c r="C25" t="str">
        <f>VLOOKUP(C11,'Thang đánh giá'!$C$2:$D$27,2,FALSE)</f>
        <v>(0; 0; 0,0316)</v>
      </c>
      <c r="D25" t="str">
        <f>VLOOKUP(D11,'Thang đánh giá'!$C$2:$D$27,2,FALSE)</f>
        <v>(0; 0,0548; 0,1095)</v>
      </c>
      <c r="E25" t="str">
        <f>VLOOKUP(E11,'Thang đánh giá'!$C$2:$D$27,2,FALSE)</f>
        <v>(0; 0; 0,0837)</v>
      </c>
      <c r="F25" t="str">
        <f>VLOOKUP(F11,'Thang đánh giá'!$C$2:$D$27,2,FALSE)</f>
        <v>(0; 0; 0,0548)</v>
      </c>
      <c r="G25" t="str">
        <f>VLOOKUP(G11,'Thang đánh giá'!$C$2:$D$27,2,FALSE)</f>
        <v>(0; 0,0548; 0,1095)</v>
      </c>
      <c r="H25" t="str">
        <f>VLOOKUP(H11,'Thang đánh giá'!$C$2:$D$27,2,FALSE)</f>
        <v>(0; 0; 0,0548)</v>
      </c>
      <c r="I25" t="str">
        <f>VLOOKUP(I11,'Thang đánh giá'!$C$2:$D$27,2,FALSE)</f>
        <v>(0; 0,0316; 0,0632)</v>
      </c>
      <c r="J25" t="str">
        <f>VLOOKUP(J11,'Thang đánh giá'!$C$2:$D$27,2,FALSE)</f>
        <v>(0; 0; 0,0837)</v>
      </c>
      <c r="K25" t="str">
        <f>VLOOKUP(K11,'Thang đánh giá'!$C$2:$D$27,2,FALSE)</f>
        <v>(0; 0; 0)</v>
      </c>
      <c r="L25" t="str">
        <f>VLOOKUP(L11,'Thang đánh giá'!$C$2:$D$27,2,FALSE)</f>
        <v>(0; 0; 0,0707)</v>
      </c>
      <c r="M25" t="str">
        <f>VLOOKUP(M11,'Thang đánh giá'!$C$2:$D$27,2,FALSE)</f>
        <v>(0; 0,0707; 0,1414)</v>
      </c>
    </row>
    <row r="26" spans="1:13" x14ac:dyDescent="0.3">
      <c r="A26" t="s">
        <v>10</v>
      </c>
      <c r="B26" t="str">
        <f>VLOOKUP(B12,'Thang đánh giá'!$C$2:$D$27,2,FALSE)</f>
        <v>(0; 0; 0,0707)</v>
      </c>
      <c r="C26" t="str">
        <f>VLOOKUP(C12,'Thang đánh giá'!$C$2:$D$27,2,FALSE)</f>
        <v>(0; 0,0707; 0,1414)</v>
      </c>
      <c r="D26" t="str">
        <f>VLOOKUP(D12,'Thang đánh giá'!$C$2:$D$27,2,FALSE)</f>
        <v>(0; 0,0837; 0,1673)</v>
      </c>
      <c r="E26" t="str">
        <f>VLOOKUP(E12,'Thang đánh giá'!$C$2:$D$27,2,FALSE)</f>
        <v>(0; 0; 0,0707)</v>
      </c>
      <c r="F26" t="str">
        <f>VLOOKUP(F12,'Thang đánh giá'!$C$2:$D$27,2,FALSE)</f>
        <v>(0; 0,0316; 0,0632)</v>
      </c>
      <c r="G26" t="str">
        <f>VLOOKUP(G12,'Thang đánh giá'!$C$2:$D$27,2,FALSE)</f>
        <v>(0; 0; 0,0707)</v>
      </c>
      <c r="H26" t="str">
        <f>VLOOKUP(H12,'Thang đánh giá'!$C$2:$D$27,2,FALSE)</f>
        <v>(0; 0; 0,0707)</v>
      </c>
      <c r="I26" t="str">
        <f>VLOOKUP(I12,'Thang đánh giá'!$C$2:$D$27,2,FALSE)</f>
        <v>(0; 0; 0,0316)</v>
      </c>
      <c r="J26" t="str">
        <f>VLOOKUP(J12,'Thang đánh giá'!$C$2:$D$27,2,FALSE)</f>
        <v>(0; 0; 0,0707)</v>
      </c>
      <c r="K26" t="str">
        <f>VLOOKUP(K12,'Thang đánh giá'!$C$2:$D$27,2,FALSE)</f>
        <v>(0; 0; 0,0316)</v>
      </c>
      <c r="L26" t="str">
        <f>VLOOKUP(L12,'Thang đánh giá'!$C$2:$D$27,2,FALSE)</f>
        <v>(0; 0; 0)</v>
      </c>
      <c r="M26" t="str">
        <f>VLOOKUP(M12,'Thang đánh giá'!$C$2:$D$27,2,FALSE)</f>
        <v>(0,2846; 0,3795; 0,3795)</v>
      </c>
    </row>
    <row r="27" spans="1:13" x14ac:dyDescent="0.3">
      <c r="A27" t="s">
        <v>11</v>
      </c>
      <c r="B27" t="str">
        <f>VLOOKUP(B13,'Thang đánh giá'!$C$2:$D$27,2,FALSE)</f>
        <v>(0; 0; 0,0707)</v>
      </c>
      <c r="C27" t="str">
        <f>VLOOKUP(C13,'Thang đánh giá'!$C$2:$D$27,2,FALSE)</f>
        <v>(0; 0,0707; 0,1414)</v>
      </c>
      <c r="D27" t="str">
        <f>VLOOKUP(D13,'Thang đánh giá'!$C$2:$D$27,2,FALSE)</f>
        <v>(0; 0; 0,0316)</v>
      </c>
      <c r="E27" t="str">
        <f>VLOOKUP(E13,'Thang đánh giá'!$C$2:$D$27,2,FALSE)</f>
        <v>(0; 0; 0,0837)</v>
      </c>
      <c r="F27" t="str">
        <f>VLOOKUP(F13,'Thang đánh giá'!$C$2:$D$27,2,FALSE)</f>
        <v>(0; 0,0707; 0,1414)</v>
      </c>
      <c r="G27" t="str">
        <f>VLOOKUP(G13,'Thang đánh giá'!$C$2:$D$27,2,FALSE)</f>
        <v>(0; 0; 0,0707)</v>
      </c>
      <c r="H27" t="str">
        <f>VLOOKUP(H13,'Thang đánh giá'!$C$2:$D$27,2,FALSE)</f>
        <v>(0; 0; 0,0548)</v>
      </c>
      <c r="I27" t="str">
        <f>VLOOKUP(I13,'Thang đánh giá'!$C$2:$D$27,2,FALSE)</f>
        <v>(0; 0,0548; 0,1095)</v>
      </c>
      <c r="J27" t="str">
        <f>VLOOKUP(J13,'Thang đánh giá'!$C$2:$D$27,2,FALSE)</f>
        <v>(0; 0,0707; 0,1414)</v>
      </c>
      <c r="K27" t="str">
        <f>VLOOKUP(K13,'Thang đánh giá'!$C$2:$D$27,2,FALSE)</f>
        <v>(0; 0; 0,0548)</v>
      </c>
      <c r="L27" t="str">
        <f>VLOOKUP(L13,'Thang đánh giá'!$C$2:$D$27,2,FALSE)</f>
        <v>(0,2846; 0,3795; 0,3795)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0</v>
      </c>
      <c r="D30">
        <f t="shared" si="0"/>
        <v>0.1673</v>
      </c>
      <c r="E30">
        <f t="shared" si="0"/>
        <v>0</v>
      </c>
      <c r="F30">
        <f t="shared" si="0"/>
        <v>8.3699999999999997E-2</v>
      </c>
      <c r="G30">
        <f t="shared" si="0"/>
        <v>0.1673</v>
      </c>
      <c r="H30">
        <f t="shared" si="0"/>
        <v>0.28460000000000002</v>
      </c>
      <c r="I30">
        <f t="shared" si="0"/>
        <v>0.1673</v>
      </c>
      <c r="J30">
        <f t="shared" si="0"/>
        <v>0.18970000000000001</v>
      </c>
      <c r="K30">
        <f t="shared" si="0"/>
        <v>0</v>
      </c>
      <c r="L30">
        <f t="shared" si="0"/>
        <v>0.1673</v>
      </c>
      <c r="M30">
        <f t="shared" si="0"/>
        <v>0.251</v>
      </c>
    </row>
    <row r="31" spans="1:13" x14ac:dyDescent="0.3">
      <c r="A31" t="s">
        <v>1</v>
      </c>
      <c r="B31">
        <f t="shared" ref="B31:M41" si="1">_xlfn.NUMBERVALUE(MID(B17,2,FIND(";",B17,1)-2))</f>
        <v>7.0699999999999999E-2</v>
      </c>
      <c r="C31">
        <f t="shared" si="1"/>
        <v>0</v>
      </c>
      <c r="D31">
        <f t="shared" si="1"/>
        <v>0.251</v>
      </c>
      <c r="E31">
        <f t="shared" si="1"/>
        <v>8.3699999999999997E-2</v>
      </c>
      <c r="F31">
        <f t="shared" si="1"/>
        <v>0</v>
      </c>
      <c r="G31">
        <f t="shared" si="1"/>
        <v>0</v>
      </c>
      <c r="H31">
        <f t="shared" si="1"/>
        <v>0</v>
      </c>
      <c r="I31">
        <f t="shared" si="1"/>
        <v>7.0699999999999999E-2</v>
      </c>
      <c r="J31">
        <f t="shared" si="1"/>
        <v>0</v>
      </c>
      <c r="K31">
        <f t="shared" si="1"/>
        <v>0.251</v>
      </c>
      <c r="L31">
        <f t="shared" si="1"/>
        <v>0</v>
      </c>
      <c r="M31">
        <f t="shared" si="1"/>
        <v>0.18970000000000001</v>
      </c>
    </row>
    <row r="32" spans="1:13" x14ac:dyDescent="0.3">
      <c r="A32" t="s">
        <v>2</v>
      </c>
      <c r="B32">
        <f t="shared" si="1"/>
        <v>0</v>
      </c>
      <c r="C32">
        <f t="shared" si="1"/>
        <v>0</v>
      </c>
      <c r="D32">
        <f t="shared" si="1"/>
        <v>0</v>
      </c>
      <c r="E32">
        <f t="shared" si="1"/>
        <v>0</v>
      </c>
      <c r="F32">
        <f t="shared" si="1"/>
        <v>7.0699999999999999E-2</v>
      </c>
      <c r="G32">
        <f t="shared" si="1"/>
        <v>0</v>
      </c>
      <c r="H32">
        <f t="shared" si="1"/>
        <v>0.1673</v>
      </c>
      <c r="I32">
        <f t="shared" si="1"/>
        <v>0</v>
      </c>
      <c r="J32">
        <f t="shared" si="1"/>
        <v>0.28460000000000002</v>
      </c>
      <c r="K32">
        <f t="shared" si="1"/>
        <v>0.251</v>
      </c>
      <c r="L32">
        <f t="shared" si="1"/>
        <v>0.1673</v>
      </c>
      <c r="M32">
        <f t="shared" si="1"/>
        <v>0.18970000000000001</v>
      </c>
    </row>
    <row r="33" spans="1:13" x14ac:dyDescent="0.3">
      <c r="A33" t="s">
        <v>3</v>
      </c>
      <c r="B33">
        <f t="shared" si="1"/>
        <v>0.1673</v>
      </c>
      <c r="C33">
        <f t="shared" si="1"/>
        <v>0</v>
      </c>
      <c r="D33">
        <f t="shared" si="1"/>
        <v>0.18970000000000001</v>
      </c>
      <c r="E33">
        <f t="shared" si="1"/>
        <v>0</v>
      </c>
      <c r="F33">
        <f t="shared" si="1"/>
        <v>0</v>
      </c>
      <c r="G33">
        <f t="shared" si="1"/>
        <v>0.251</v>
      </c>
      <c r="H33">
        <f t="shared" si="1"/>
        <v>0.28460000000000002</v>
      </c>
      <c r="I33">
        <f t="shared" si="1"/>
        <v>0</v>
      </c>
      <c r="J33">
        <f t="shared" si="1"/>
        <v>0.18970000000000001</v>
      </c>
      <c r="K33">
        <f t="shared" si="1"/>
        <v>0.28460000000000002</v>
      </c>
      <c r="L33">
        <f t="shared" si="1"/>
        <v>0.251</v>
      </c>
      <c r="M33">
        <f t="shared" si="1"/>
        <v>0.251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0</v>
      </c>
      <c r="D34">
        <f t="shared" si="2"/>
        <v>0</v>
      </c>
      <c r="E34">
        <f t="shared" si="2"/>
        <v>0</v>
      </c>
      <c r="F34">
        <f t="shared" si="2"/>
        <v>0</v>
      </c>
      <c r="G34">
        <f t="shared" si="2"/>
        <v>8.3699999999999997E-2</v>
      </c>
      <c r="H34">
        <f t="shared" si="2"/>
        <v>0</v>
      </c>
      <c r="I34">
        <f t="shared" si="2"/>
        <v>0</v>
      </c>
      <c r="J34">
        <f t="shared" si="2"/>
        <v>0.18970000000000001</v>
      </c>
      <c r="K34">
        <f t="shared" si="2"/>
        <v>0.18970000000000001</v>
      </c>
      <c r="L34">
        <f t="shared" si="2"/>
        <v>0</v>
      </c>
      <c r="M34">
        <f t="shared" si="2"/>
        <v>0</v>
      </c>
    </row>
    <row r="35" spans="1:13" x14ac:dyDescent="0.3">
      <c r="A35" t="s">
        <v>5</v>
      </c>
      <c r="B35">
        <f t="shared" si="1"/>
        <v>0</v>
      </c>
      <c r="C35">
        <f t="shared" si="1"/>
        <v>0</v>
      </c>
      <c r="D35">
        <f t="shared" si="1"/>
        <v>0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0</v>
      </c>
      <c r="J35">
        <f t="shared" si="1"/>
        <v>0</v>
      </c>
      <c r="K35">
        <f t="shared" si="1"/>
        <v>0</v>
      </c>
      <c r="L35">
        <f t="shared" si="1"/>
        <v>0</v>
      </c>
      <c r="M35">
        <f t="shared" si="1"/>
        <v>0</v>
      </c>
    </row>
    <row r="36" spans="1:13" x14ac:dyDescent="0.3">
      <c r="A36" t="s">
        <v>6</v>
      </c>
      <c r="B36">
        <f t="shared" si="1"/>
        <v>0</v>
      </c>
      <c r="C36">
        <f t="shared" si="1"/>
        <v>0</v>
      </c>
      <c r="D36">
        <f t="shared" si="1"/>
        <v>0</v>
      </c>
      <c r="E36">
        <f t="shared" si="1"/>
        <v>0</v>
      </c>
      <c r="F36">
        <f t="shared" si="1"/>
        <v>0</v>
      </c>
      <c r="G36">
        <f t="shared" si="1"/>
        <v>0</v>
      </c>
      <c r="H36">
        <f t="shared" si="1"/>
        <v>0</v>
      </c>
      <c r="I36">
        <f t="shared" si="1"/>
        <v>0</v>
      </c>
      <c r="J36">
        <f t="shared" si="1"/>
        <v>0</v>
      </c>
      <c r="K36">
        <f t="shared" si="1"/>
        <v>0.1673</v>
      </c>
      <c r="L36">
        <f t="shared" si="1"/>
        <v>0</v>
      </c>
      <c r="M36">
        <f t="shared" si="1"/>
        <v>0</v>
      </c>
    </row>
    <row r="37" spans="1:13" x14ac:dyDescent="0.3">
      <c r="A37" t="s">
        <v>7</v>
      </c>
      <c r="B37">
        <f t="shared" si="1"/>
        <v>0</v>
      </c>
      <c r="C37">
        <f t="shared" si="1"/>
        <v>0</v>
      </c>
      <c r="D37">
        <f t="shared" si="1"/>
        <v>0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0</v>
      </c>
      <c r="K37">
        <f t="shared" si="1"/>
        <v>0.18970000000000001</v>
      </c>
      <c r="L37">
        <f t="shared" si="1"/>
        <v>0.28460000000000002</v>
      </c>
      <c r="M37">
        <f t="shared" si="1"/>
        <v>0.18970000000000001</v>
      </c>
    </row>
    <row r="38" spans="1:13" x14ac:dyDescent="0.3">
      <c r="A38" t="s">
        <v>8</v>
      </c>
      <c r="B38">
        <f t="shared" si="1"/>
        <v>8.3699999999999997E-2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7.0699999999999999E-2</v>
      </c>
      <c r="G38">
        <f t="shared" si="1"/>
        <v>0</v>
      </c>
      <c r="H38">
        <f t="shared" si="1"/>
        <v>0</v>
      </c>
      <c r="I38">
        <f t="shared" si="1"/>
        <v>0</v>
      </c>
      <c r="J38">
        <f t="shared" si="1"/>
        <v>0</v>
      </c>
      <c r="K38">
        <f t="shared" si="1"/>
        <v>0.28460000000000002</v>
      </c>
      <c r="L38">
        <f t="shared" si="1"/>
        <v>7.0699999999999999E-2</v>
      </c>
      <c r="M38">
        <f t="shared" si="1"/>
        <v>0.1673</v>
      </c>
    </row>
    <row r="39" spans="1:13" x14ac:dyDescent="0.3">
      <c r="A39" t="s">
        <v>9</v>
      </c>
      <c r="B39">
        <f t="shared" si="1"/>
        <v>0</v>
      </c>
      <c r="C39">
        <f t="shared" si="1"/>
        <v>0</v>
      </c>
      <c r="D39">
        <f t="shared" si="1"/>
        <v>0</v>
      </c>
      <c r="E39">
        <f t="shared" si="1"/>
        <v>0</v>
      </c>
      <c r="F39">
        <f t="shared" si="1"/>
        <v>0</v>
      </c>
      <c r="G39">
        <f t="shared" si="1"/>
        <v>0</v>
      </c>
      <c r="H39">
        <f t="shared" si="1"/>
        <v>0</v>
      </c>
      <c r="I39">
        <f t="shared" si="1"/>
        <v>0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0</v>
      </c>
    </row>
    <row r="40" spans="1:13" x14ac:dyDescent="0.3">
      <c r="A40" t="s">
        <v>10</v>
      </c>
      <c r="B40">
        <f t="shared" si="1"/>
        <v>0</v>
      </c>
      <c r="C40">
        <f t="shared" si="1"/>
        <v>0</v>
      </c>
      <c r="D40">
        <f t="shared" si="1"/>
        <v>0</v>
      </c>
      <c r="E40">
        <f t="shared" si="1"/>
        <v>0</v>
      </c>
      <c r="F40">
        <f t="shared" si="1"/>
        <v>0</v>
      </c>
      <c r="G40">
        <f t="shared" si="1"/>
        <v>0</v>
      </c>
      <c r="H40">
        <f t="shared" si="1"/>
        <v>0</v>
      </c>
      <c r="I40">
        <f t="shared" si="1"/>
        <v>0</v>
      </c>
      <c r="J40">
        <f t="shared" si="1"/>
        <v>0</v>
      </c>
      <c r="K40">
        <f t="shared" si="1"/>
        <v>0</v>
      </c>
      <c r="L40">
        <f t="shared" si="1"/>
        <v>0</v>
      </c>
      <c r="M40">
        <f t="shared" si="1"/>
        <v>0.28460000000000002</v>
      </c>
    </row>
    <row r="41" spans="1:13" x14ac:dyDescent="0.3">
      <c r="A41" t="s">
        <v>11</v>
      </c>
      <c r="B41">
        <f t="shared" si="1"/>
        <v>0</v>
      </c>
      <c r="C41">
        <f t="shared" si="1"/>
        <v>0</v>
      </c>
      <c r="D41">
        <f t="shared" si="1"/>
        <v>0</v>
      </c>
      <c r="E41">
        <f t="shared" si="1"/>
        <v>0</v>
      </c>
      <c r="F41">
        <f t="shared" si="1"/>
        <v>0</v>
      </c>
      <c r="G41">
        <f t="shared" si="1"/>
        <v>0</v>
      </c>
      <c r="H41">
        <f t="shared" si="1"/>
        <v>0</v>
      </c>
      <c r="I41">
        <f t="shared" si="1"/>
        <v>0</v>
      </c>
      <c r="J41">
        <f t="shared" si="1"/>
        <v>0</v>
      </c>
      <c r="K41">
        <f t="shared" si="1"/>
        <v>0</v>
      </c>
      <c r="L41">
        <f t="shared" si="1"/>
        <v>0.28460000000000002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7.0699999999999999E-2</v>
      </c>
      <c r="D44">
        <f t="shared" si="3"/>
        <v>0.251</v>
      </c>
      <c r="E44">
        <f t="shared" si="3"/>
        <v>5.4800000000000001E-2</v>
      </c>
      <c r="F44">
        <f t="shared" si="3"/>
        <v>0.1673</v>
      </c>
      <c r="G44">
        <f t="shared" si="3"/>
        <v>0.251</v>
      </c>
      <c r="H44">
        <f t="shared" si="3"/>
        <v>0.3795</v>
      </c>
      <c r="I44">
        <f t="shared" si="3"/>
        <v>0.251</v>
      </c>
      <c r="J44">
        <f t="shared" si="3"/>
        <v>0.28460000000000002</v>
      </c>
      <c r="K44">
        <f t="shared" si="3"/>
        <v>7.0699999999999999E-2</v>
      </c>
      <c r="L44">
        <f t="shared" si="3"/>
        <v>0.251</v>
      </c>
      <c r="M44">
        <f t="shared" si="3"/>
        <v>0.3347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0.1414</v>
      </c>
      <c r="C45">
        <f t="shared" si="4"/>
        <v>0</v>
      </c>
      <c r="D45">
        <f t="shared" si="4"/>
        <v>0.3347</v>
      </c>
      <c r="E45">
        <f t="shared" si="4"/>
        <v>0.1673</v>
      </c>
      <c r="F45">
        <f t="shared" si="4"/>
        <v>7.0699999999999999E-2</v>
      </c>
      <c r="G45">
        <f t="shared" si="4"/>
        <v>0</v>
      </c>
      <c r="H45">
        <f t="shared" si="4"/>
        <v>0</v>
      </c>
      <c r="I45">
        <f t="shared" si="4"/>
        <v>0.1414</v>
      </c>
      <c r="J45">
        <f t="shared" si="4"/>
        <v>0</v>
      </c>
      <c r="K45">
        <f t="shared" si="4"/>
        <v>0.3347</v>
      </c>
      <c r="L45">
        <f t="shared" si="4"/>
        <v>5.4800000000000001E-2</v>
      </c>
      <c r="M45">
        <f t="shared" si="4"/>
        <v>0.28460000000000002</v>
      </c>
    </row>
    <row r="46" spans="1:13" x14ac:dyDescent="0.3">
      <c r="A46" t="s">
        <v>2</v>
      </c>
      <c r="B46">
        <f t="shared" si="4"/>
        <v>0</v>
      </c>
      <c r="C46">
        <f t="shared" si="4"/>
        <v>0</v>
      </c>
      <c r="D46">
        <f t="shared" si="4"/>
        <v>0</v>
      </c>
      <c r="E46">
        <f t="shared" si="4"/>
        <v>0</v>
      </c>
      <c r="F46">
        <f t="shared" si="4"/>
        <v>0.1414</v>
      </c>
      <c r="G46">
        <f t="shared" si="4"/>
        <v>7.0699999999999999E-2</v>
      </c>
      <c r="H46">
        <f t="shared" si="4"/>
        <v>0.251</v>
      </c>
      <c r="I46">
        <f t="shared" si="4"/>
        <v>3.1600000000000003E-2</v>
      </c>
      <c r="J46">
        <f t="shared" si="4"/>
        <v>0.3795</v>
      </c>
      <c r="K46">
        <f t="shared" si="4"/>
        <v>0.3347</v>
      </c>
      <c r="L46">
        <f t="shared" si="4"/>
        <v>0.251</v>
      </c>
      <c r="M46">
        <f t="shared" si="4"/>
        <v>0.28460000000000002</v>
      </c>
    </row>
    <row r="47" spans="1:13" x14ac:dyDescent="0.3">
      <c r="A47" t="s">
        <v>3</v>
      </c>
      <c r="B47">
        <f t="shared" si="4"/>
        <v>0.251</v>
      </c>
      <c r="C47">
        <f t="shared" si="4"/>
        <v>0</v>
      </c>
      <c r="D47">
        <f t="shared" si="4"/>
        <v>0.28460000000000002</v>
      </c>
      <c r="E47">
        <f t="shared" si="4"/>
        <v>0</v>
      </c>
      <c r="F47">
        <f t="shared" si="4"/>
        <v>0</v>
      </c>
      <c r="G47">
        <f t="shared" si="4"/>
        <v>0.3347</v>
      </c>
      <c r="H47">
        <f t="shared" si="4"/>
        <v>0.3795</v>
      </c>
      <c r="I47">
        <f t="shared" si="4"/>
        <v>5.4800000000000001E-2</v>
      </c>
      <c r="J47">
        <f t="shared" si="4"/>
        <v>0.28460000000000002</v>
      </c>
      <c r="K47">
        <f t="shared" si="4"/>
        <v>0.3795</v>
      </c>
      <c r="L47">
        <f t="shared" si="4"/>
        <v>0.3347</v>
      </c>
      <c r="M47">
        <f t="shared" si="4"/>
        <v>0.3347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5.4800000000000001E-2</v>
      </c>
      <c r="C48">
        <f t="shared" si="5"/>
        <v>0</v>
      </c>
      <c r="D48">
        <f t="shared" si="5"/>
        <v>5.4800000000000001E-2</v>
      </c>
      <c r="E48">
        <f t="shared" si="5"/>
        <v>8.3699999999999997E-2</v>
      </c>
      <c r="F48">
        <f t="shared" si="5"/>
        <v>0</v>
      </c>
      <c r="G48">
        <f t="shared" si="5"/>
        <v>0.1673</v>
      </c>
      <c r="H48">
        <f t="shared" si="5"/>
        <v>8.3699999999999997E-2</v>
      </c>
      <c r="I48">
        <f t="shared" si="5"/>
        <v>7.0699999999999999E-2</v>
      </c>
      <c r="J48">
        <f t="shared" si="5"/>
        <v>0.28460000000000002</v>
      </c>
      <c r="K48">
        <f t="shared" si="5"/>
        <v>0.28460000000000002</v>
      </c>
      <c r="L48">
        <f t="shared" si="5"/>
        <v>0</v>
      </c>
      <c r="M48">
        <f t="shared" si="5"/>
        <v>0</v>
      </c>
    </row>
    <row r="49" spans="1:13" x14ac:dyDescent="0.3">
      <c r="A49" t="s">
        <v>5</v>
      </c>
      <c r="B49">
        <f t="shared" si="4"/>
        <v>0</v>
      </c>
      <c r="C49">
        <f t="shared" si="4"/>
        <v>0</v>
      </c>
      <c r="D49">
        <f t="shared" si="4"/>
        <v>8.3699999999999997E-2</v>
      </c>
      <c r="E49">
        <f t="shared" si="4"/>
        <v>0</v>
      </c>
      <c r="F49">
        <f t="shared" si="4"/>
        <v>7.0699999999999999E-2</v>
      </c>
      <c r="G49">
        <f t="shared" si="4"/>
        <v>0</v>
      </c>
      <c r="H49">
        <f t="shared" si="4"/>
        <v>0</v>
      </c>
      <c r="I49">
        <f t="shared" si="4"/>
        <v>0</v>
      </c>
      <c r="J49">
        <f t="shared" si="4"/>
        <v>0</v>
      </c>
      <c r="K49">
        <f t="shared" si="4"/>
        <v>0</v>
      </c>
      <c r="L49">
        <f t="shared" si="4"/>
        <v>0</v>
      </c>
      <c r="M49">
        <f t="shared" si="4"/>
        <v>0</v>
      </c>
    </row>
    <row r="50" spans="1:13" x14ac:dyDescent="0.3">
      <c r="A50" t="s">
        <v>6</v>
      </c>
      <c r="B50">
        <f t="shared" si="4"/>
        <v>0</v>
      </c>
      <c r="C50">
        <f t="shared" si="4"/>
        <v>0</v>
      </c>
      <c r="D50">
        <f t="shared" si="4"/>
        <v>8.3699999999999997E-2</v>
      </c>
      <c r="E50">
        <f t="shared" si="4"/>
        <v>0</v>
      </c>
      <c r="F50">
        <f t="shared" si="4"/>
        <v>5.4800000000000001E-2</v>
      </c>
      <c r="G50">
        <f t="shared" si="4"/>
        <v>0</v>
      </c>
      <c r="H50">
        <f t="shared" si="4"/>
        <v>0</v>
      </c>
      <c r="I50">
        <f t="shared" si="4"/>
        <v>7.0699999999999999E-2</v>
      </c>
      <c r="J50">
        <f t="shared" si="4"/>
        <v>0</v>
      </c>
      <c r="K50">
        <f t="shared" si="4"/>
        <v>0.251</v>
      </c>
      <c r="L50">
        <f t="shared" si="4"/>
        <v>3.1600000000000003E-2</v>
      </c>
      <c r="M50">
        <f t="shared" si="4"/>
        <v>5.4800000000000001E-2</v>
      </c>
    </row>
    <row r="51" spans="1:13" x14ac:dyDescent="0.3">
      <c r="A51" t="s">
        <v>7</v>
      </c>
      <c r="B51">
        <f t="shared" si="4"/>
        <v>0</v>
      </c>
      <c r="C51">
        <f t="shared" si="4"/>
        <v>7.0699999999999999E-2</v>
      </c>
      <c r="D51">
        <f t="shared" si="4"/>
        <v>0</v>
      </c>
      <c r="E51">
        <f t="shared" si="4"/>
        <v>7.0699999999999999E-2</v>
      </c>
      <c r="F51">
        <f t="shared" si="4"/>
        <v>7.0699999999999999E-2</v>
      </c>
      <c r="G51">
        <f t="shared" si="4"/>
        <v>7.0699999999999999E-2</v>
      </c>
      <c r="H51">
        <f t="shared" si="4"/>
        <v>7.0699999999999999E-2</v>
      </c>
      <c r="I51">
        <f t="shared" si="4"/>
        <v>0</v>
      </c>
      <c r="J51">
        <f t="shared" si="4"/>
        <v>0</v>
      </c>
      <c r="K51">
        <f t="shared" si="4"/>
        <v>0.28460000000000002</v>
      </c>
      <c r="L51">
        <f t="shared" si="4"/>
        <v>0.3795</v>
      </c>
      <c r="M51">
        <f t="shared" si="4"/>
        <v>0.28460000000000002</v>
      </c>
    </row>
    <row r="52" spans="1:13" x14ac:dyDescent="0.3">
      <c r="A52" t="s">
        <v>8</v>
      </c>
      <c r="B52">
        <f t="shared" si="4"/>
        <v>0.1673</v>
      </c>
      <c r="C52">
        <f t="shared" si="4"/>
        <v>3.1600000000000003E-2</v>
      </c>
      <c r="D52">
        <f t="shared" si="4"/>
        <v>7.0699999999999999E-2</v>
      </c>
      <c r="E52">
        <f t="shared" si="4"/>
        <v>7.0699999999999999E-2</v>
      </c>
      <c r="F52">
        <f t="shared" si="4"/>
        <v>0.1414</v>
      </c>
      <c r="G52">
        <f t="shared" si="4"/>
        <v>0</v>
      </c>
      <c r="H52">
        <f t="shared" si="4"/>
        <v>7.0699999999999999E-2</v>
      </c>
      <c r="I52">
        <f t="shared" si="4"/>
        <v>0</v>
      </c>
      <c r="J52">
        <f t="shared" si="4"/>
        <v>0</v>
      </c>
      <c r="K52">
        <f t="shared" si="4"/>
        <v>0.3795</v>
      </c>
      <c r="L52">
        <f t="shared" si="4"/>
        <v>0.1414</v>
      </c>
      <c r="M52">
        <f t="shared" si="4"/>
        <v>0.251</v>
      </c>
    </row>
    <row r="53" spans="1:13" x14ac:dyDescent="0.3">
      <c r="A53" t="s">
        <v>9</v>
      </c>
      <c r="B53">
        <f t="shared" si="4"/>
        <v>0</v>
      </c>
      <c r="C53">
        <f t="shared" si="4"/>
        <v>0</v>
      </c>
      <c r="D53">
        <f t="shared" si="4"/>
        <v>5.4800000000000001E-2</v>
      </c>
      <c r="E53">
        <f t="shared" si="4"/>
        <v>0</v>
      </c>
      <c r="F53">
        <f t="shared" si="4"/>
        <v>0</v>
      </c>
      <c r="G53">
        <f t="shared" si="4"/>
        <v>5.4800000000000001E-2</v>
      </c>
      <c r="H53">
        <f t="shared" si="4"/>
        <v>0</v>
      </c>
      <c r="I53">
        <f t="shared" si="4"/>
        <v>3.1600000000000003E-2</v>
      </c>
      <c r="J53">
        <f t="shared" si="4"/>
        <v>0</v>
      </c>
      <c r="K53">
        <f t="shared" si="4"/>
        <v>0</v>
      </c>
      <c r="L53">
        <f t="shared" si="4"/>
        <v>0</v>
      </c>
      <c r="M53">
        <f t="shared" si="4"/>
        <v>7.0699999999999999E-2</v>
      </c>
    </row>
    <row r="54" spans="1:13" x14ac:dyDescent="0.3">
      <c r="A54" t="s">
        <v>10</v>
      </c>
      <c r="B54">
        <f t="shared" si="4"/>
        <v>0</v>
      </c>
      <c r="C54">
        <f t="shared" si="4"/>
        <v>7.0699999999999999E-2</v>
      </c>
      <c r="D54">
        <f t="shared" si="4"/>
        <v>8.3699999999999997E-2</v>
      </c>
      <c r="E54">
        <f t="shared" si="4"/>
        <v>0</v>
      </c>
      <c r="F54">
        <f t="shared" si="4"/>
        <v>3.1600000000000003E-2</v>
      </c>
      <c r="G54">
        <f t="shared" si="4"/>
        <v>0</v>
      </c>
      <c r="H54">
        <f t="shared" si="4"/>
        <v>0</v>
      </c>
      <c r="I54">
        <f t="shared" si="4"/>
        <v>0</v>
      </c>
      <c r="J54">
        <f t="shared" si="4"/>
        <v>0</v>
      </c>
      <c r="K54">
        <f t="shared" si="4"/>
        <v>0</v>
      </c>
      <c r="L54">
        <f t="shared" si="4"/>
        <v>0</v>
      </c>
      <c r="M54">
        <f t="shared" si="4"/>
        <v>0.3795</v>
      </c>
    </row>
    <row r="55" spans="1:13" x14ac:dyDescent="0.3">
      <c r="A55" t="s">
        <v>11</v>
      </c>
      <c r="B55">
        <f t="shared" si="4"/>
        <v>0</v>
      </c>
      <c r="C55">
        <f t="shared" si="4"/>
        <v>7.0699999999999999E-2</v>
      </c>
      <c r="D55">
        <f t="shared" si="4"/>
        <v>0</v>
      </c>
      <c r="E55">
        <f t="shared" si="4"/>
        <v>0</v>
      </c>
      <c r="F55">
        <f t="shared" si="4"/>
        <v>7.0699999999999999E-2</v>
      </c>
      <c r="G55">
        <f t="shared" si="4"/>
        <v>0</v>
      </c>
      <c r="H55">
        <f t="shared" si="4"/>
        <v>0</v>
      </c>
      <c r="I55">
        <f t="shared" si="4"/>
        <v>5.4800000000000001E-2</v>
      </c>
      <c r="J55">
        <f t="shared" si="4"/>
        <v>7.0699999999999999E-2</v>
      </c>
      <c r="K55">
        <f t="shared" si="4"/>
        <v>0</v>
      </c>
      <c r="L55">
        <f t="shared" si="4"/>
        <v>0.3795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0.1414</v>
      </c>
      <c r="D58">
        <f t="shared" si="6"/>
        <v>0.3347</v>
      </c>
      <c r="E58">
        <f t="shared" si="6"/>
        <v>0.1095</v>
      </c>
      <c r="F58">
        <f t="shared" si="6"/>
        <v>0.251</v>
      </c>
      <c r="G58">
        <f t="shared" si="6"/>
        <v>0.3347</v>
      </c>
      <c r="H58">
        <f t="shared" si="6"/>
        <v>0.3795</v>
      </c>
      <c r="I58">
        <f t="shared" si="6"/>
        <v>0.3347</v>
      </c>
      <c r="J58">
        <f t="shared" si="6"/>
        <v>0.3795</v>
      </c>
      <c r="K58">
        <f t="shared" si="6"/>
        <v>0.1414</v>
      </c>
      <c r="L58">
        <f t="shared" si="6"/>
        <v>0.3347</v>
      </c>
      <c r="M58">
        <f t="shared" si="6"/>
        <v>0.3347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0.21210000000000001</v>
      </c>
      <c r="C59">
        <f t="shared" si="7"/>
        <v>0</v>
      </c>
      <c r="D59">
        <f t="shared" si="7"/>
        <v>0.3347</v>
      </c>
      <c r="E59">
        <f t="shared" si="7"/>
        <v>0.251</v>
      </c>
      <c r="F59">
        <f t="shared" si="7"/>
        <v>0.1414</v>
      </c>
      <c r="G59">
        <f t="shared" si="7"/>
        <v>8.3699999999999997E-2</v>
      </c>
      <c r="H59">
        <f t="shared" si="7"/>
        <v>7.0699999999999999E-2</v>
      </c>
      <c r="I59">
        <f t="shared" si="7"/>
        <v>0.21210000000000001</v>
      </c>
      <c r="J59">
        <f t="shared" si="7"/>
        <v>7.0699999999999999E-2</v>
      </c>
      <c r="K59">
        <f t="shared" si="7"/>
        <v>0.3347</v>
      </c>
      <c r="L59">
        <f t="shared" si="7"/>
        <v>0.1095</v>
      </c>
      <c r="M59">
        <f t="shared" si="7"/>
        <v>0.3795</v>
      </c>
    </row>
    <row r="60" spans="1:13" x14ac:dyDescent="0.3">
      <c r="A60" t="s">
        <v>2</v>
      </c>
      <c r="B60">
        <f t="shared" si="7"/>
        <v>5.4800000000000001E-2</v>
      </c>
      <c r="C60">
        <f t="shared" si="7"/>
        <v>8.3699999999999997E-2</v>
      </c>
      <c r="D60">
        <f t="shared" si="7"/>
        <v>0</v>
      </c>
      <c r="E60">
        <f t="shared" si="7"/>
        <v>5.4800000000000001E-2</v>
      </c>
      <c r="F60">
        <f t="shared" si="7"/>
        <v>0.21210000000000001</v>
      </c>
      <c r="G60">
        <f t="shared" si="7"/>
        <v>0.1414</v>
      </c>
      <c r="H60">
        <f t="shared" si="7"/>
        <v>0.3347</v>
      </c>
      <c r="I60">
        <f t="shared" si="7"/>
        <v>6.3200000000000006E-2</v>
      </c>
      <c r="J60">
        <f t="shared" si="7"/>
        <v>0.3795</v>
      </c>
      <c r="K60">
        <f t="shared" si="7"/>
        <v>0.3347</v>
      </c>
      <c r="L60">
        <f t="shared" si="7"/>
        <v>0.3347</v>
      </c>
      <c r="M60">
        <f t="shared" si="7"/>
        <v>0.3795</v>
      </c>
    </row>
    <row r="61" spans="1:13" x14ac:dyDescent="0.3">
      <c r="A61" t="s">
        <v>3</v>
      </c>
      <c r="B61">
        <f t="shared" si="7"/>
        <v>0.3347</v>
      </c>
      <c r="C61">
        <f t="shared" si="7"/>
        <v>5.4800000000000001E-2</v>
      </c>
      <c r="D61">
        <f t="shared" si="7"/>
        <v>0.3795</v>
      </c>
      <c r="E61">
        <f t="shared" si="7"/>
        <v>0</v>
      </c>
      <c r="F61">
        <f t="shared" si="7"/>
        <v>7.0699999999999999E-2</v>
      </c>
      <c r="G61">
        <f t="shared" si="7"/>
        <v>0.3347</v>
      </c>
      <c r="H61">
        <f t="shared" si="7"/>
        <v>0.3795</v>
      </c>
      <c r="I61">
        <f t="shared" si="7"/>
        <v>0.1095</v>
      </c>
      <c r="J61">
        <f t="shared" si="7"/>
        <v>0.3795</v>
      </c>
      <c r="K61">
        <f t="shared" si="7"/>
        <v>0.3795</v>
      </c>
      <c r="L61">
        <f t="shared" si="7"/>
        <v>0.3347</v>
      </c>
      <c r="M61">
        <f t="shared" si="7"/>
        <v>0.3347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0.1095</v>
      </c>
      <c r="C62">
        <f t="shared" si="8"/>
        <v>7.0699999999999999E-2</v>
      </c>
      <c r="D62">
        <f t="shared" si="8"/>
        <v>0.1095</v>
      </c>
      <c r="E62">
        <f t="shared" si="8"/>
        <v>0.1673</v>
      </c>
      <c r="F62">
        <f t="shared" si="8"/>
        <v>0</v>
      </c>
      <c r="G62">
        <f t="shared" si="8"/>
        <v>0.251</v>
      </c>
      <c r="H62">
        <f t="shared" si="8"/>
        <v>0.1673</v>
      </c>
      <c r="I62">
        <f t="shared" si="8"/>
        <v>0.1414</v>
      </c>
      <c r="J62">
        <f t="shared" si="8"/>
        <v>0.3795</v>
      </c>
      <c r="K62">
        <f t="shared" si="8"/>
        <v>0.3795</v>
      </c>
      <c r="L62">
        <f t="shared" si="8"/>
        <v>7.0699999999999999E-2</v>
      </c>
      <c r="M62">
        <f t="shared" si="8"/>
        <v>7.0699999999999999E-2</v>
      </c>
    </row>
    <row r="63" spans="1:13" x14ac:dyDescent="0.3">
      <c r="A63" t="s">
        <v>5</v>
      </c>
      <c r="B63">
        <f t="shared" si="7"/>
        <v>7.0699999999999999E-2</v>
      </c>
      <c r="C63">
        <f t="shared" si="7"/>
        <v>8.3699999999999997E-2</v>
      </c>
      <c r="D63">
        <f t="shared" si="7"/>
        <v>0.1673</v>
      </c>
      <c r="E63">
        <f t="shared" si="7"/>
        <v>7.0699999999999999E-2</v>
      </c>
      <c r="F63">
        <f t="shared" si="7"/>
        <v>0.1414</v>
      </c>
      <c r="G63">
        <f t="shared" si="7"/>
        <v>0</v>
      </c>
      <c r="H63">
        <f t="shared" si="7"/>
        <v>7.0699999999999999E-2</v>
      </c>
      <c r="I63">
        <f t="shared" si="7"/>
        <v>7.0699999999999999E-2</v>
      </c>
      <c r="J63">
        <f t="shared" si="7"/>
        <v>7.0699999999999999E-2</v>
      </c>
      <c r="K63">
        <f t="shared" si="7"/>
        <v>7.0699999999999999E-2</v>
      </c>
      <c r="L63">
        <f t="shared" si="7"/>
        <v>7.0699999999999999E-2</v>
      </c>
      <c r="M63">
        <f t="shared" si="7"/>
        <v>3.1600000000000003E-2</v>
      </c>
    </row>
    <row r="64" spans="1:13" x14ac:dyDescent="0.3">
      <c r="A64" t="s">
        <v>6</v>
      </c>
      <c r="B64">
        <f t="shared" si="7"/>
        <v>7.0699999999999999E-2</v>
      </c>
      <c r="C64">
        <f t="shared" si="7"/>
        <v>8.3699999999999997E-2</v>
      </c>
      <c r="D64">
        <f t="shared" si="7"/>
        <v>0.1673</v>
      </c>
      <c r="E64">
        <f t="shared" si="7"/>
        <v>7.0699999999999999E-2</v>
      </c>
      <c r="F64">
        <f t="shared" si="7"/>
        <v>0.1095</v>
      </c>
      <c r="G64">
        <f t="shared" si="7"/>
        <v>7.0699999999999999E-2</v>
      </c>
      <c r="H64">
        <f t="shared" si="7"/>
        <v>0</v>
      </c>
      <c r="I64">
        <f t="shared" si="7"/>
        <v>0.1414</v>
      </c>
      <c r="J64">
        <f t="shared" si="7"/>
        <v>7.0699999999999999E-2</v>
      </c>
      <c r="K64">
        <f t="shared" si="7"/>
        <v>0.3347</v>
      </c>
      <c r="L64">
        <f t="shared" si="7"/>
        <v>6.3200000000000006E-2</v>
      </c>
      <c r="M64">
        <f t="shared" si="7"/>
        <v>0.1095</v>
      </c>
    </row>
    <row r="65" spans="1:13" x14ac:dyDescent="0.3">
      <c r="A65" t="s">
        <v>7</v>
      </c>
      <c r="B65">
        <f t="shared" si="7"/>
        <v>7.0699999999999999E-2</v>
      </c>
      <c r="C65">
        <f t="shared" si="7"/>
        <v>0.1414</v>
      </c>
      <c r="D65">
        <f t="shared" si="7"/>
        <v>3.1600000000000003E-2</v>
      </c>
      <c r="E65">
        <f t="shared" si="7"/>
        <v>0.1414</v>
      </c>
      <c r="F65">
        <f t="shared" si="7"/>
        <v>0.1414</v>
      </c>
      <c r="G65">
        <f t="shared" si="7"/>
        <v>0.1414</v>
      </c>
      <c r="H65">
        <f t="shared" si="7"/>
        <v>0.1414</v>
      </c>
      <c r="I65">
        <f t="shared" si="7"/>
        <v>0</v>
      </c>
      <c r="J65">
        <f t="shared" si="7"/>
        <v>7.0699999999999999E-2</v>
      </c>
      <c r="K65">
        <f t="shared" si="7"/>
        <v>0.3795</v>
      </c>
      <c r="L65">
        <f t="shared" si="7"/>
        <v>0.3795</v>
      </c>
      <c r="M65">
        <f t="shared" si="7"/>
        <v>0.3795</v>
      </c>
    </row>
    <row r="66" spans="1:13" x14ac:dyDescent="0.3">
      <c r="A66" t="s">
        <v>8</v>
      </c>
      <c r="B66">
        <f t="shared" si="7"/>
        <v>0.251</v>
      </c>
      <c r="C66">
        <f t="shared" si="7"/>
        <v>6.3200000000000006E-2</v>
      </c>
      <c r="D66">
        <f t="shared" si="7"/>
        <v>0.1414</v>
      </c>
      <c r="E66">
        <f t="shared" si="7"/>
        <v>0.1414</v>
      </c>
      <c r="F66">
        <f t="shared" si="7"/>
        <v>0.21210000000000001</v>
      </c>
      <c r="G66">
        <f t="shared" si="7"/>
        <v>7.0699999999999999E-2</v>
      </c>
      <c r="H66">
        <f t="shared" si="7"/>
        <v>0.1414</v>
      </c>
      <c r="I66">
        <f t="shared" si="7"/>
        <v>7.0699999999999999E-2</v>
      </c>
      <c r="J66">
        <f t="shared" si="7"/>
        <v>0</v>
      </c>
      <c r="K66">
        <f t="shared" si="7"/>
        <v>0.3795</v>
      </c>
      <c r="L66">
        <f t="shared" si="7"/>
        <v>0.21210000000000001</v>
      </c>
      <c r="M66">
        <f t="shared" si="7"/>
        <v>0.3347</v>
      </c>
    </row>
    <row r="67" spans="1:13" x14ac:dyDescent="0.3">
      <c r="A67" t="s">
        <v>9</v>
      </c>
      <c r="B67">
        <f t="shared" si="7"/>
        <v>7.0699999999999999E-2</v>
      </c>
      <c r="C67">
        <f t="shared" si="7"/>
        <v>3.1600000000000003E-2</v>
      </c>
      <c r="D67">
        <f t="shared" si="7"/>
        <v>0.1095</v>
      </c>
      <c r="E67">
        <f t="shared" si="7"/>
        <v>8.3699999999999997E-2</v>
      </c>
      <c r="F67">
        <f t="shared" si="7"/>
        <v>5.4800000000000001E-2</v>
      </c>
      <c r="G67">
        <f t="shared" si="7"/>
        <v>0.1095</v>
      </c>
      <c r="H67">
        <f t="shared" si="7"/>
        <v>5.4800000000000001E-2</v>
      </c>
      <c r="I67">
        <f t="shared" si="7"/>
        <v>6.3200000000000006E-2</v>
      </c>
      <c r="J67">
        <f t="shared" si="7"/>
        <v>8.3699999999999997E-2</v>
      </c>
      <c r="K67">
        <f t="shared" si="7"/>
        <v>0</v>
      </c>
      <c r="L67">
        <f t="shared" si="7"/>
        <v>7.0699999999999999E-2</v>
      </c>
      <c r="M67">
        <f t="shared" si="7"/>
        <v>0.1414</v>
      </c>
    </row>
    <row r="68" spans="1:13" x14ac:dyDescent="0.3">
      <c r="A68" t="s">
        <v>10</v>
      </c>
      <c r="B68">
        <f t="shared" si="7"/>
        <v>7.0699999999999999E-2</v>
      </c>
      <c r="C68">
        <f t="shared" si="7"/>
        <v>0.1414</v>
      </c>
      <c r="D68">
        <f t="shared" si="7"/>
        <v>0.1673</v>
      </c>
      <c r="E68">
        <f t="shared" si="7"/>
        <v>7.0699999999999999E-2</v>
      </c>
      <c r="F68">
        <f t="shared" si="7"/>
        <v>6.3200000000000006E-2</v>
      </c>
      <c r="G68">
        <f t="shared" si="7"/>
        <v>7.0699999999999999E-2</v>
      </c>
      <c r="H68">
        <f t="shared" si="7"/>
        <v>7.0699999999999999E-2</v>
      </c>
      <c r="I68">
        <f t="shared" si="7"/>
        <v>3.1600000000000003E-2</v>
      </c>
      <c r="J68">
        <f t="shared" si="7"/>
        <v>7.0699999999999999E-2</v>
      </c>
      <c r="K68">
        <f t="shared" si="7"/>
        <v>3.1600000000000003E-2</v>
      </c>
      <c r="L68">
        <f t="shared" si="7"/>
        <v>0</v>
      </c>
      <c r="M68">
        <f t="shared" si="7"/>
        <v>0.3795</v>
      </c>
    </row>
    <row r="69" spans="1:13" x14ac:dyDescent="0.3">
      <c r="A69" t="s">
        <v>11</v>
      </c>
      <c r="B69">
        <f t="shared" si="7"/>
        <v>7.0699999999999999E-2</v>
      </c>
      <c r="C69">
        <f t="shared" si="7"/>
        <v>0.1414</v>
      </c>
      <c r="D69">
        <f t="shared" si="7"/>
        <v>3.1600000000000003E-2</v>
      </c>
      <c r="E69">
        <f t="shared" si="7"/>
        <v>8.3699999999999997E-2</v>
      </c>
      <c r="F69">
        <f t="shared" si="7"/>
        <v>0.1414</v>
      </c>
      <c r="G69">
        <f t="shared" si="7"/>
        <v>7.0699999999999999E-2</v>
      </c>
      <c r="H69">
        <f t="shared" si="7"/>
        <v>5.4800000000000001E-2</v>
      </c>
      <c r="I69">
        <f t="shared" si="7"/>
        <v>0.1095</v>
      </c>
      <c r="J69">
        <f t="shared" si="7"/>
        <v>0.1414</v>
      </c>
      <c r="K69">
        <f t="shared" si="7"/>
        <v>5.4800000000000001E-2</v>
      </c>
      <c r="L69">
        <f t="shared" si="7"/>
        <v>0.3795</v>
      </c>
      <c r="M69">
        <f t="shared" si="7"/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5"/>
  <dimension ref="A1:M69"/>
  <sheetViews>
    <sheetView workbookViewId="0">
      <selection activeCell="A15" sqref="A15:M69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12</v>
      </c>
      <c r="D2" t="s">
        <v>21</v>
      </c>
      <c r="E2" t="s">
        <v>71</v>
      </c>
      <c r="F2" t="s">
        <v>16</v>
      </c>
      <c r="G2" t="s">
        <v>25</v>
      </c>
      <c r="H2" t="s">
        <v>18</v>
      </c>
      <c r="I2" t="s">
        <v>71</v>
      </c>
      <c r="J2" t="s">
        <v>12</v>
      </c>
      <c r="K2" t="s">
        <v>25</v>
      </c>
      <c r="L2" t="s">
        <v>71</v>
      </c>
      <c r="M2" t="s">
        <v>13</v>
      </c>
    </row>
    <row r="3" spans="1:13" x14ac:dyDescent="0.3">
      <c r="A3" s="1" t="s">
        <v>1</v>
      </c>
      <c r="B3" t="s">
        <v>22</v>
      </c>
      <c r="C3">
        <v>0</v>
      </c>
      <c r="D3" t="s">
        <v>18</v>
      </c>
      <c r="E3" t="s">
        <v>71</v>
      </c>
      <c r="F3" t="s">
        <v>21</v>
      </c>
      <c r="G3" t="s">
        <v>16</v>
      </c>
      <c r="H3" t="s">
        <v>24</v>
      </c>
      <c r="I3" t="s">
        <v>20</v>
      </c>
      <c r="J3" t="s">
        <v>16</v>
      </c>
      <c r="K3" t="s">
        <v>25</v>
      </c>
      <c r="L3" t="s">
        <v>22</v>
      </c>
      <c r="M3" t="s">
        <v>13</v>
      </c>
    </row>
    <row r="4" spans="1:13" x14ac:dyDescent="0.3">
      <c r="A4" s="1" t="s">
        <v>2</v>
      </c>
      <c r="B4" t="s">
        <v>24</v>
      </c>
      <c r="C4" t="s">
        <v>16</v>
      </c>
      <c r="D4">
        <v>0</v>
      </c>
      <c r="E4" t="s">
        <v>15</v>
      </c>
      <c r="F4" t="s">
        <v>16</v>
      </c>
      <c r="G4" t="s">
        <v>12</v>
      </c>
      <c r="H4" t="s">
        <v>24</v>
      </c>
      <c r="I4" t="s">
        <v>16</v>
      </c>
      <c r="J4" t="s">
        <v>13</v>
      </c>
      <c r="K4" t="s">
        <v>25</v>
      </c>
      <c r="L4" t="s">
        <v>13</v>
      </c>
      <c r="M4" t="s">
        <v>13</v>
      </c>
    </row>
    <row r="5" spans="1:13" x14ac:dyDescent="0.3">
      <c r="A5" s="1" t="s">
        <v>3</v>
      </c>
      <c r="B5" t="s">
        <v>13</v>
      </c>
      <c r="C5" t="s">
        <v>25</v>
      </c>
      <c r="D5" t="s">
        <v>13</v>
      </c>
      <c r="E5">
        <v>0</v>
      </c>
      <c r="F5" t="s">
        <v>12</v>
      </c>
      <c r="G5" t="s">
        <v>13</v>
      </c>
      <c r="H5" t="s">
        <v>16</v>
      </c>
      <c r="I5" t="s">
        <v>13</v>
      </c>
      <c r="J5" t="s">
        <v>13</v>
      </c>
      <c r="K5" t="s">
        <v>23</v>
      </c>
      <c r="L5" t="s">
        <v>18</v>
      </c>
      <c r="M5" t="s">
        <v>18</v>
      </c>
    </row>
    <row r="6" spans="1:13" x14ac:dyDescent="0.3">
      <c r="A6" s="1" t="s">
        <v>4</v>
      </c>
      <c r="B6" t="s">
        <v>20</v>
      </c>
      <c r="C6" t="s">
        <v>15</v>
      </c>
      <c r="D6" t="s">
        <v>16</v>
      </c>
      <c r="E6" t="s">
        <v>71</v>
      </c>
      <c r="F6">
        <v>0</v>
      </c>
      <c r="G6" t="s">
        <v>12</v>
      </c>
      <c r="H6" t="s">
        <v>16</v>
      </c>
      <c r="I6" t="s">
        <v>16</v>
      </c>
      <c r="J6" t="s">
        <v>12</v>
      </c>
      <c r="K6" t="s">
        <v>25</v>
      </c>
      <c r="L6" t="s">
        <v>23</v>
      </c>
      <c r="M6" t="s">
        <v>15</v>
      </c>
    </row>
    <row r="7" spans="1:13" x14ac:dyDescent="0.3">
      <c r="A7" s="1" t="s">
        <v>5</v>
      </c>
      <c r="B7" t="s">
        <v>16</v>
      </c>
      <c r="C7" t="s">
        <v>16</v>
      </c>
      <c r="D7" t="s">
        <v>24</v>
      </c>
      <c r="E7" t="s">
        <v>71</v>
      </c>
      <c r="F7" t="s">
        <v>24</v>
      </c>
      <c r="G7">
        <v>0</v>
      </c>
      <c r="H7" t="s">
        <v>24</v>
      </c>
      <c r="I7" t="s">
        <v>16</v>
      </c>
      <c r="J7" t="s">
        <v>62</v>
      </c>
      <c r="K7" t="s">
        <v>16</v>
      </c>
      <c r="L7" t="s">
        <v>24</v>
      </c>
      <c r="M7" t="s">
        <v>24</v>
      </c>
    </row>
    <row r="8" spans="1:13" x14ac:dyDescent="0.3">
      <c r="A8" s="1" t="s">
        <v>6</v>
      </c>
      <c r="B8" t="s">
        <v>18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>
        <v>0</v>
      </c>
      <c r="I8" t="s">
        <v>20</v>
      </c>
      <c r="J8" t="s">
        <v>18</v>
      </c>
      <c r="K8" t="s">
        <v>18</v>
      </c>
      <c r="L8" t="s">
        <v>18</v>
      </c>
      <c r="M8" t="s">
        <v>18</v>
      </c>
    </row>
    <row r="9" spans="1:13" x14ac:dyDescent="0.3">
      <c r="A9" s="1" t="s">
        <v>7</v>
      </c>
      <c r="B9" t="s">
        <v>16</v>
      </c>
      <c r="C9" t="s">
        <v>71</v>
      </c>
      <c r="D9" t="s">
        <v>24</v>
      </c>
      <c r="E9" t="s">
        <v>71</v>
      </c>
      <c r="F9" t="s">
        <v>16</v>
      </c>
      <c r="G9" t="s">
        <v>16</v>
      </c>
      <c r="H9" t="s">
        <v>16</v>
      </c>
      <c r="I9">
        <v>0</v>
      </c>
      <c r="J9" t="s">
        <v>13</v>
      </c>
      <c r="K9" t="s">
        <v>25</v>
      </c>
      <c r="L9" t="s">
        <v>18</v>
      </c>
      <c r="M9" t="s">
        <v>21</v>
      </c>
    </row>
    <row r="10" spans="1:13" x14ac:dyDescent="0.3">
      <c r="A10" s="1" t="s">
        <v>8</v>
      </c>
      <c r="B10" t="s">
        <v>12</v>
      </c>
      <c r="C10" t="s">
        <v>23</v>
      </c>
      <c r="D10" t="s">
        <v>24</v>
      </c>
      <c r="E10" t="s">
        <v>24</v>
      </c>
      <c r="F10" t="s">
        <v>24</v>
      </c>
      <c r="G10" t="s">
        <v>15</v>
      </c>
      <c r="H10" t="s">
        <v>16</v>
      </c>
      <c r="I10" t="s">
        <v>15</v>
      </c>
      <c r="J10">
        <v>0</v>
      </c>
      <c r="K10" t="s">
        <v>18</v>
      </c>
      <c r="L10" t="s">
        <v>13</v>
      </c>
      <c r="M10" t="s">
        <v>18</v>
      </c>
    </row>
    <row r="11" spans="1:13" x14ac:dyDescent="0.3">
      <c r="A11" s="1" t="s">
        <v>9</v>
      </c>
      <c r="B11" t="s">
        <v>23</v>
      </c>
      <c r="C11" t="s">
        <v>24</v>
      </c>
      <c r="D11" t="s">
        <v>17</v>
      </c>
      <c r="E11" t="s">
        <v>62</v>
      </c>
      <c r="F11" t="s">
        <v>16</v>
      </c>
      <c r="G11" t="s">
        <v>16</v>
      </c>
      <c r="H11" t="s">
        <v>15</v>
      </c>
      <c r="I11" t="s">
        <v>62</v>
      </c>
      <c r="J11" t="s">
        <v>20</v>
      </c>
      <c r="K11">
        <v>0</v>
      </c>
      <c r="L11" t="s">
        <v>15</v>
      </c>
      <c r="M11" t="s">
        <v>24</v>
      </c>
    </row>
    <row r="12" spans="1:13" x14ac:dyDescent="0.3">
      <c r="A12" s="1" t="s">
        <v>10</v>
      </c>
      <c r="B12" t="s">
        <v>16</v>
      </c>
      <c r="C12" t="s">
        <v>15</v>
      </c>
      <c r="D12" t="s">
        <v>24</v>
      </c>
      <c r="E12" t="s">
        <v>15</v>
      </c>
      <c r="F12" t="s">
        <v>24</v>
      </c>
      <c r="G12" t="s">
        <v>24</v>
      </c>
      <c r="H12" t="s">
        <v>24</v>
      </c>
      <c r="I12" t="s">
        <v>71</v>
      </c>
      <c r="J12" t="s">
        <v>23</v>
      </c>
      <c r="K12" t="s">
        <v>23</v>
      </c>
      <c r="L12">
        <v>0</v>
      </c>
      <c r="M12" t="s">
        <v>13</v>
      </c>
    </row>
    <row r="13" spans="1:13" x14ac:dyDescent="0.3">
      <c r="A13" s="1" t="s">
        <v>11</v>
      </c>
      <c r="B13" t="s">
        <v>16</v>
      </c>
      <c r="C13" t="s">
        <v>62</v>
      </c>
      <c r="D13" t="s">
        <v>24</v>
      </c>
      <c r="E13" t="s">
        <v>15</v>
      </c>
      <c r="F13" t="s">
        <v>16</v>
      </c>
      <c r="G13" t="s">
        <v>71</v>
      </c>
      <c r="H13" t="s">
        <v>15</v>
      </c>
      <c r="I13" t="s">
        <v>62</v>
      </c>
      <c r="J13" t="s">
        <v>17</v>
      </c>
      <c r="K13" t="s">
        <v>15</v>
      </c>
      <c r="L13" t="s">
        <v>20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(0,1673; 0,251; 0,3347)</v>
      </c>
      <c r="D16" t="str">
        <f>VLOOKUP(D2,'Thang đánh giá'!$C$2:$D$27,2,FALSE)</f>
        <v>(0,0837; 0,1673; 0,251)</v>
      </c>
      <c r="E16" t="str">
        <f>VLOOKUP(E2,'Thang đánh giá'!$C$2:$D$27,2,FALSE)</f>
        <v>(0; 0; 0,0837)</v>
      </c>
      <c r="F16" t="str">
        <f>VLOOKUP(F2,'Thang đánh giá'!$C$2:$D$27,2,FALSE)</f>
        <v>(0; 0; 0,0707)</v>
      </c>
      <c r="G16" t="str">
        <f>VLOOKUP(G2,'Thang đánh giá'!$C$2:$D$27,2,FALSE)</f>
        <v>(0,251; 0,3347; 0,3347)</v>
      </c>
      <c r="H16" t="str">
        <f>VLOOKUP(H2,'Thang đánh giá'!$C$2:$D$27,2,FALSE)</f>
        <v>(0,2846; 0,3795; 0,3795)</v>
      </c>
      <c r="I16" t="str">
        <f>VLOOKUP(I2,'Thang đánh giá'!$C$2:$D$27,2,FALSE)</f>
        <v>(0; 0; 0,0837)</v>
      </c>
      <c r="J16" t="str">
        <f>VLOOKUP(J2,'Thang đánh giá'!$C$2:$D$27,2,FALSE)</f>
        <v>(0,1673; 0,251; 0,3347)</v>
      </c>
      <c r="K16" t="str">
        <f>VLOOKUP(K2,'Thang đánh giá'!$C$2:$D$27,2,FALSE)</f>
        <v>(0,251; 0,3347; 0,3347)</v>
      </c>
      <c r="L16" t="str">
        <f>VLOOKUP(L2,'Thang đánh giá'!$C$2:$D$27,2,FALSE)</f>
        <v>(0; 0; 0,0837)</v>
      </c>
      <c r="M16" t="str">
        <f>VLOOKUP(M2,'Thang đánh giá'!$C$2:$D$27,2,FALSE)</f>
        <v>(0,1897; 0,2846; 0,3795)</v>
      </c>
    </row>
    <row r="17" spans="1:13" x14ac:dyDescent="0.3">
      <c r="A17" t="s">
        <v>1</v>
      </c>
      <c r="B17" t="str">
        <f>VLOOKUP(B3,'Thang đánh giá'!$C$2:$D$27,2,FALSE)</f>
        <v>(0,0707; 0,1414; 0,2121)</v>
      </c>
      <c r="C17" t="str">
        <f>VLOOKUP(C3,'Thang đánh giá'!$C$2:$D$27,2,FALSE)</f>
        <v>(0; 0; 0)</v>
      </c>
      <c r="D17" t="str">
        <f>VLOOKUP(D3,'Thang đánh giá'!$C$2:$D$27,2,FALSE)</f>
        <v>(0,2846; 0,3795; 0,3795)</v>
      </c>
      <c r="E17" t="str">
        <f>VLOOKUP(E3,'Thang đánh giá'!$C$2:$D$27,2,FALSE)</f>
        <v>(0; 0; 0,0837)</v>
      </c>
      <c r="F17" t="str">
        <f>VLOOKUP(F3,'Thang đánh giá'!$C$2:$D$27,2,FALSE)</f>
        <v>(0,0837; 0,1673; 0,251)</v>
      </c>
      <c r="G17" t="str">
        <f>VLOOKUP(G3,'Thang đánh giá'!$C$2:$D$27,2,FALSE)</f>
        <v>(0; 0; 0,0707)</v>
      </c>
      <c r="H17" t="str">
        <f>VLOOKUP(H3,'Thang đánh giá'!$C$2:$D$27,2,FALSE)</f>
        <v>(0; 0; 0,0548)</v>
      </c>
      <c r="I17" t="str">
        <f>VLOOKUP(I3,'Thang đánh giá'!$C$2:$D$27,2,FALSE)</f>
        <v>(0; 0,0548; 0,1095)</v>
      </c>
      <c r="J17" t="str">
        <f>VLOOKUP(J3,'Thang đánh giá'!$C$2:$D$27,2,FALSE)</f>
        <v>(0; 0; 0,0707)</v>
      </c>
      <c r="K17" t="str">
        <f>VLOOKUP(K3,'Thang đánh giá'!$C$2:$D$27,2,FALSE)</f>
        <v>(0,251; 0,3347; 0,3347)</v>
      </c>
      <c r="L17" t="str">
        <f>VLOOKUP(L3,'Thang đánh giá'!$C$2:$D$27,2,FALSE)</f>
        <v>(0,0707; 0,1414; 0,2121)</v>
      </c>
      <c r="M17" t="str">
        <f>VLOOKUP(M3,'Thang đánh giá'!$C$2:$D$27,2,FALSE)</f>
        <v>(0,1897; 0,2846; 0,3795)</v>
      </c>
    </row>
    <row r="18" spans="1:13" x14ac:dyDescent="0.3">
      <c r="A18" t="s">
        <v>2</v>
      </c>
      <c r="B18" t="str">
        <f>VLOOKUP(B4,'Thang đánh giá'!$C$2:$D$27,2,FALSE)</f>
        <v>(0; 0; 0,0548)</v>
      </c>
      <c r="C18" t="str">
        <f>VLOOKUP(C4,'Thang đánh giá'!$C$2:$D$27,2,FALSE)</f>
        <v>(0; 0; 0,0707)</v>
      </c>
      <c r="D18" t="str">
        <f>VLOOKUP(D4,'Thang đánh giá'!$C$2:$D$27,2,FALSE)</f>
        <v>(0; 0; 0)</v>
      </c>
      <c r="E18" t="str">
        <f>VLOOKUP(E4,'Thang đánh giá'!$C$2:$D$27,2,FALSE)</f>
        <v>(0; 0,0707; 0,1414)</v>
      </c>
      <c r="F18" t="str">
        <f>VLOOKUP(F4,'Thang đánh giá'!$C$2:$D$27,2,FALSE)</f>
        <v>(0; 0; 0,0707)</v>
      </c>
      <c r="G18" t="str">
        <f>VLOOKUP(G4,'Thang đánh giá'!$C$2:$D$27,2,FALSE)</f>
        <v>(0,1673; 0,251; 0,3347)</v>
      </c>
      <c r="H18" t="str">
        <f>VLOOKUP(H4,'Thang đánh giá'!$C$2:$D$27,2,FALSE)</f>
        <v>(0; 0; 0,0548)</v>
      </c>
      <c r="I18" t="str">
        <f>VLOOKUP(I4,'Thang đánh giá'!$C$2:$D$27,2,FALSE)</f>
        <v>(0; 0; 0,0707)</v>
      </c>
      <c r="J18" t="str">
        <f>VLOOKUP(J4,'Thang đánh giá'!$C$2:$D$27,2,FALSE)</f>
        <v>(0,1897; 0,2846; 0,3795)</v>
      </c>
      <c r="K18" t="str">
        <f>VLOOKUP(K4,'Thang đánh giá'!$C$2:$D$27,2,FALSE)</f>
        <v>(0,251; 0,3347; 0,3347)</v>
      </c>
      <c r="L18" t="str">
        <f>VLOOKUP(L4,'Thang đánh giá'!$C$2:$D$27,2,FALSE)</f>
        <v>(0,1897; 0,2846; 0,3795)</v>
      </c>
      <c r="M18" t="str">
        <f>VLOOKUP(M4,'Thang đánh giá'!$C$2:$D$27,2,FALSE)</f>
        <v>(0,1897; 0,2846; 0,3795)</v>
      </c>
    </row>
    <row r="19" spans="1:13" x14ac:dyDescent="0.3">
      <c r="A19" t="s">
        <v>3</v>
      </c>
      <c r="B19" t="str">
        <f>VLOOKUP(B5,'Thang đánh giá'!$C$2:$D$27,2,FALSE)</f>
        <v>(0,1897; 0,2846; 0,3795)</v>
      </c>
      <c r="C19" t="str">
        <f>VLOOKUP(C5,'Thang đánh giá'!$C$2:$D$27,2,FALSE)</f>
        <v>(0,251; 0,3347; 0,3347)</v>
      </c>
      <c r="D19" t="str">
        <f>VLOOKUP(D5,'Thang đánh giá'!$C$2:$D$27,2,FALSE)</f>
        <v>(0,1897; 0,2846; 0,3795)</v>
      </c>
      <c r="E19" t="str">
        <f>VLOOKUP(E5,'Thang đánh giá'!$C$2:$D$27,2,FALSE)</f>
        <v>(0; 0; 0)</v>
      </c>
      <c r="F19" t="str">
        <f>VLOOKUP(F5,'Thang đánh giá'!$C$2:$D$27,2,FALSE)</f>
        <v>(0,1673; 0,251; 0,3347)</v>
      </c>
      <c r="G19" t="str">
        <f>VLOOKUP(G5,'Thang đánh giá'!$C$2:$D$27,2,FALSE)</f>
        <v>(0,1897; 0,2846; 0,3795)</v>
      </c>
      <c r="H19" t="str">
        <f>VLOOKUP(H5,'Thang đánh giá'!$C$2:$D$27,2,FALSE)</f>
        <v>(0; 0; 0,0707)</v>
      </c>
      <c r="I19" t="str">
        <f>VLOOKUP(I5,'Thang đánh giá'!$C$2:$D$27,2,FALSE)</f>
        <v>(0,1897; 0,2846; 0,3795)</v>
      </c>
      <c r="J19" t="str">
        <f>VLOOKUP(J5,'Thang đánh giá'!$C$2:$D$27,2,FALSE)</f>
        <v>(0,1897; 0,2846; 0,3795)</v>
      </c>
      <c r="K19" t="str">
        <f>VLOOKUP(K5,'Thang đánh giá'!$C$2:$D$27,2,FALSE)</f>
        <v>(0; 0; 0,0316)</v>
      </c>
      <c r="L19" t="str">
        <f>VLOOKUP(L5,'Thang đánh giá'!$C$2:$D$27,2,FALSE)</f>
        <v>(0,2846; 0,3795; 0,3795)</v>
      </c>
      <c r="M19" t="str">
        <f>VLOOKUP(M5,'Thang đánh giá'!$C$2:$D$27,2,FALSE)</f>
        <v>(0,2846; 0,3795; 0,3795)</v>
      </c>
    </row>
    <row r="20" spans="1:13" x14ac:dyDescent="0.3">
      <c r="A20" t="s">
        <v>4</v>
      </c>
      <c r="B20" t="str">
        <f>VLOOKUP(B6,'Thang đánh giá'!$C$2:$D$27,2,FALSE)</f>
        <v>(0; 0,0548; 0,1095)</v>
      </c>
      <c r="C20" t="str">
        <f>VLOOKUP(C6,'Thang đánh giá'!$C$2:$D$27,2,FALSE)</f>
        <v>(0; 0,0707; 0,1414)</v>
      </c>
      <c r="D20" t="str">
        <f>VLOOKUP(D6,'Thang đánh giá'!$C$2:$D$27,2,FALSE)</f>
        <v>(0; 0; 0,0707)</v>
      </c>
      <c r="E20" t="str">
        <f>VLOOKUP(E6,'Thang đánh giá'!$C$2:$D$27,2,FALSE)</f>
        <v>(0; 0; 0,0837)</v>
      </c>
      <c r="F20" t="str">
        <f>VLOOKUP(F6,'Thang đánh giá'!$C$2:$D$27,2,FALSE)</f>
        <v>(0; 0; 0)</v>
      </c>
      <c r="G20" t="str">
        <f>VLOOKUP(G6,'Thang đánh giá'!$C$2:$D$27,2,FALSE)</f>
        <v>(0,1673; 0,251; 0,3347)</v>
      </c>
      <c r="H20" t="str">
        <f>VLOOKUP(H6,'Thang đánh giá'!$C$2:$D$27,2,FALSE)</f>
        <v>(0; 0; 0,0707)</v>
      </c>
      <c r="I20" t="str">
        <f>VLOOKUP(I6,'Thang đánh giá'!$C$2:$D$27,2,FALSE)</f>
        <v>(0; 0; 0,0707)</v>
      </c>
      <c r="J20" t="str">
        <f>VLOOKUP(J6,'Thang đánh giá'!$C$2:$D$27,2,FALSE)</f>
        <v>(0,1673; 0,251; 0,3347)</v>
      </c>
      <c r="K20" t="str">
        <f>VLOOKUP(K6,'Thang đánh giá'!$C$2:$D$27,2,FALSE)</f>
        <v>(0,251; 0,3347; 0,3347)</v>
      </c>
      <c r="L20" t="str">
        <f>VLOOKUP(L6,'Thang đánh giá'!$C$2:$D$27,2,FALSE)</f>
        <v>(0; 0; 0,0316)</v>
      </c>
      <c r="M20" t="str">
        <f>VLOOKUP(M6,'Thang đánh giá'!$C$2:$D$27,2,FALSE)</f>
        <v>(0; 0,0707; 0,1414)</v>
      </c>
    </row>
    <row r="21" spans="1:13" x14ac:dyDescent="0.3">
      <c r="A21" t="s">
        <v>5</v>
      </c>
      <c r="B21" t="str">
        <f>VLOOKUP(B7,'Thang đánh giá'!$C$2:$D$27,2,FALSE)</f>
        <v>(0; 0; 0,0707)</v>
      </c>
      <c r="C21" t="str">
        <f>VLOOKUP(C7,'Thang đánh giá'!$C$2:$D$27,2,FALSE)</f>
        <v>(0; 0; 0,0707)</v>
      </c>
      <c r="D21" t="str">
        <f>VLOOKUP(D7,'Thang đánh giá'!$C$2:$D$27,2,FALSE)</f>
        <v>(0; 0; 0,0548)</v>
      </c>
      <c r="E21" t="str">
        <f>VLOOKUP(E7,'Thang đánh giá'!$C$2:$D$27,2,FALSE)</f>
        <v>(0; 0; 0,0837)</v>
      </c>
      <c r="F21" t="str">
        <f>VLOOKUP(F7,'Thang đánh giá'!$C$2:$D$27,2,FALSE)</f>
        <v>(0; 0; 0,0548)</v>
      </c>
      <c r="G21" t="str">
        <f>VLOOKUP(G7,'Thang đánh giá'!$C$2:$D$27,2,FALSE)</f>
        <v>(0; 0; 0)</v>
      </c>
      <c r="H21" t="str">
        <f>VLOOKUP(H7,'Thang đánh giá'!$C$2:$D$27,2,FALSE)</f>
        <v>(0; 0; 0,0548)</v>
      </c>
      <c r="I21" t="str">
        <f>VLOOKUP(I7,'Thang đánh giá'!$C$2:$D$27,2,FALSE)</f>
        <v>(0; 0; 0,0707)</v>
      </c>
      <c r="J21" t="str">
        <f>VLOOKUP(J7,'Thang đánh giá'!$C$2:$D$27,2,FALSE)</f>
        <v>(0; 0,0837; 0,1673)</v>
      </c>
      <c r="K21" t="str">
        <f>VLOOKUP(K7,'Thang đánh giá'!$C$2:$D$27,2,FALSE)</f>
        <v>(0; 0; 0,0707)</v>
      </c>
      <c r="L21" t="str">
        <f>VLOOKUP(L7,'Thang đánh giá'!$C$2:$D$27,2,FALSE)</f>
        <v>(0; 0; 0,0548)</v>
      </c>
      <c r="M21" t="str">
        <f>VLOOKUP(M7,'Thang đánh giá'!$C$2:$D$27,2,FALSE)</f>
        <v>(0; 0; 0,0548)</v>
      </c>
    </row>
    <row r="22" spans="1:13" x14ac:dyDescent="0.3">
      <c r="A22" t="s">
        <v>6</v>
      </c>
      <c r="B22" t="str">
        <f>VLOOKUP(B8,'Thang đánh giá'!$C$2:$D$27,2,FALSE)</f>
        <v>(0,2846; 0,3795; 0,3795)</v>
      </c>
      <c r="C22" t="str">
        <f>VLOOKUP(C8,'Thang đánh giá'!$C$2:$D$27,2,FALSE)</f>
        <v>(0,2846; 0,3795; 0,3795)</v>
      </c>
      <c r="D22" t="str">
        <f>VLOOKUP(D8,'Thang đánh giá'!$C$2:$D$27,2,FALSE)</f>
        <v>(0,2846; 0,3795; 0,3795)</v>
      </c>
      <c r="E22" t="str">
        <f>VLOOKUP(E8,'Thang đánh giá'!$C$2:$D$27,2,FALSE)</f>
        <v>(0,2846; 0,3795; 0,3795)</v>
      </c>
      <c r="F22" t="str">
        <f>VLOOKUP(F8,'Thang đánh giá'!$C$2:$D$27,2,FALSE)</f>
        <v>(0,2846; 0,3795; 0,3795)</v>
      </c>
      <c r="G22" t="str">
        <f>VLOOKUP(G8,'Thang đánh giá'!$C$2:$D$27,2,FALSE)</f>
        <v>(0,2846; 0,3795; 0,3795)</v>
      </c>
      <c r="H22" t="str">
        <f>VLOOKUP(H8,'Thang đánh giá'!$C$2:$D$27,2,FALSE)</f>
        <v>(0; 0; 0)</v>
      </c>
      <c r="I22" t="str">
        <f>VLOOKUP(I8,'Thang đánh giá'!$C$2:$D$27,2,FALSE)</f>
        <v>(0; 0,0548; 0,1095)</v>
      </c>
      <c r="J22" t="str">
        <f>VLOOKUP(J8,'Thang đánh giá'!$C$2:$D$27,2,FALSE)</f>
        <v>(0,2846; 0,3795; 0,3795)</v>
      </c>
      <c r="K22" t="str">
        <f>VLOOKUP(K8,'Thang đánh giá'!$C$2:$D$27,2,FALSE)</f>
        <v>(0,2846; 0,3795; 0,3795)</v>
      </c>
      <c r="L22" t="str">
        <f>VLOOKUP(L8,'Thang đánh giá'!$C$2:$D$27,2,FALSE)</f>
        <v>(0,2846; 0,3795; 0,3795)</v>
      </c>
      <c r="M22" t="str">
        <f>VLOOKUP(M8,'Thang đánh giá'!$C$2:$D$27,2,FALSE)</f>
        <v>(0,2846; 0,3795; 0,3795)</v>
      </c>
    </row>
    <row r="23" spans="1:13" x14ac:dyDescent="0.3">
      <c r="A23" t="s">
        <v>7</v>
      </c>
      <c r="B23" t="str">
        <f>VLOOKUP(B9,'Thang đánh giá'!$C$2:$D$27,2,FALSE)</f>
        <v>(0; 0; 0,0707)</v>
      </c>
      <c r="C23" t="str">
        <f>VLOOKUP(C9,'Thang đánh giá'!$C$2:$D$27,2,FALSE)</f>
        <v>(0; 0; 0,0837)</v>
      </c>
      <c r="D23" t="str">
        <f>VLOOKUP(D9,'Thang đánh giá'!$C$2:$D$27,2,FALSE)</f>
        <v>(0; 0; 0,0548)</v>
      </c>
      <c r="E23" t="str">
        <f>VLOOKUP(E9,'Thang đánh giá'!$C$2:$D$27,2,FALSE)</f>
        <v>(0; 0; 0,0837)</v>
      </c>
      <c r="F23" t="str">
        <f>VLOOKUP(F9,'Thang đánh giá'!$C$2:$D$27,2,FALSE)</f>
        <v>(0; 0; 0,0707)</v>
      </c>
      <c r="G23" t="str">
        <f>VLOOKUP(G9,'Thang đánh giá'!$C$2:$D$27,2,FALSE)</f>
        <v>(0; 0; 0,0707)</v>
      </c>
      <c r="H23" t="str">
        <f>VLOOKUP(H9,'Thang đánh giá'!$C$2:$D$27,2,FALSE)</f>
        <v>(0; 0; 0,0707)</v>
      </c>
      <c r="I23" t="str">
        <f>VLOOKUP(I9,'Thang đánh giá'!$C$2:$D$27,2,FALSE)</f>
        <v>(0; 0; 0)</v>
      </c>
      <c r="J23" t="str">
        <f>VLOOKUP(J9,'Thang đánh giá'!$C$2:$D$27,2,FALSE)</f>
        <v>(0,1897; 0,2846; 0,3795)</v>
      </c>
      <c r="K23" t="str">
        <f>VLOOKUP(K9,'Thang đánh giá'!$C$2:$D$27,2,FALSE)</f>
        <v>(0,251; 0,3347; 0,3347)</v>
      </c>
      <c r="L23" t="str">
        <f>VLOOKUP(L9,'Thang đánh giá'!$C$2:$D$27,2,FALSE)</f>
        <v>(0,2846; 0,3795; 0,3795)</v>
      </c>
      <c r="M23" t="str">
        <f>VLOOKUP(M9,'Thang đánh giá'!$C$2:$D$27,2,FALSE)</f>
        <v>(0,0837; 0,1673; 0,251)</v>
      </c>
    </row>
    <row r="24" spans="1:13" x14ac:dyDescent="0.3">
      <c r="A24" t="s">
        <v>8</v>
      </c>
      <c r="B24" t="str">
        <f>VLOOKUP(B10,'Thang đánh giá'!$C$2:$D$27,2,FALSE)</f>
        <v>(0,1673; 0,251; 0,3347)</v>
      </c>
      <c r="C24" t="str">
        <f>VLOOKUP(C10,'Thang đánh giá'!$C$2:$D$27,2,FALSE)</f>
        <v>(0; 0; 0,0316)</v>
      </c>
      <c r="D24" t="str">
        <f>VLOOKUP(D10,'Thang đánh giá'!$C$2:$D$27,2,FALSE)</f>
        <v>(0; 0; 0,0548)</v>
      </c>
      <c r="E24" t="str">
        <f>VLOOKUP(E10,'Thang đánh giá'!$C$2:$D$27,2,FALSE)</f>
        <v>(0; 0; 0,0548)</v>
      </c>
      <c r="F24" t="str">
        <f>VLOOKUP(F10,'Thang đánh giá'!$C$2:$D$27,2,FALSE)</f>
        <v>(0; 0; 0,0548)</v>
      </c>
      <c r="G24" t="str">
        <f>VLOOKUP(G10,'Thang đánh giá'!$C$2:$D$27,2,FALSE)</f>
        <v>(0; 0,0707; 0,1414)</v>
      </c>
      <c r="H24" t="str">
        <f>VLOOKUP(H10,'Thang đánh giá'!$C$2:$D$27,2,FALSE)</f>
        <v>(0; 0; 0,0707)</v>
      </c>
      <c r="I24" t="str">
        <f>VLOOKUP(I10,'Thang đánh giá'!$C$2:$D$27,2,FALSE)</f>
        <v>(0; 0,0707; 0,1414)</v>
      </c>
      <c r="J24" t="str">
        <f>VLOOKUP(J10,'Thang đánh giá'!$C$2:$D$27,2,FALSE)</f>
        <v>(0; 0; 0)</v>
      </c>
      <c r="K24" t="str">
        <f>VLOOKUP(K10,'Thang đánh giá'!$C$2:$D$27,2,FALSE)</f>
        <v>(0,2846; 0,3795; 0,3795)</v>
      </c>
      <c r="L24" t="str">
        <f>VLOOKUP(L10,'Thang đánh giá'!$C$2:$D$27,2,FALSE)</f>
        <v>(0,1897; 0,2846; 0,3795)</v>
      </c>
      <c r="M24" t="str">
        <f>VLOOKUP(M10,'Thang đánh giá'!$C$2:$D$27,2,FALSE)</f>
        <v>(0,2846; 0,3795; 0,3795)</v>
      </c>
    </row>
    <row r="25" spans="1:13" x14ac:dyDescent="0.3">
      <c r="A25" t="s">
        <v>9</v>
      </c>
      <c r="B25" t="str">
        <f>VLOOKUP(B11,'Thang đánh giá'!$C$2:$D$27,2,FALSE)</f>
        <v>(0; 0; 0,0316)</v>
      </c>
      <c r="C25" t="str">
        <f>VLOOKUP(C11,'Thang đánh giá'!$C$2:$D$27,2,FALSE)</f>
        <v>(0; 0; 0,0548)</v>
      </c>
      <c r="D25" t="str">
        <f>VLOOKUP(D11,'Thang đánh giá'!$C$2:$D$27,2,FALSE)</f>
        <v>(0; 0,0316; 0,0632)</v>
      </c>
      <c r="E25" t="str">
        <f>VLOOKUP(E11,'Thang đánh giá'!$C$2:$D$27,2,FALSE)</f>
        <v>(0; 0,0837; 0,1673)</v>
      </c>
      <c r="F25" t="str">
        <f>VLOOKUP(F11,'Thang đánh giá'!$C$2:$D$27,2,FALSE)</f>
        <v>(0; 0; 0,0707)</v>
      </c>
      <c r="G25" t="str">
        <f>VLOOKUP(G11,'Thang đánh giá'!$C$2:$D$27,2,FALSE)</f>
        <v>(0; 0; 0,0707)</v>
      </c>
      <c r="H25" t="str">
        <f>VLOOKUP(H11,'Thang đánh giá'!$C$2:$D$27,2,FALSE)</f>
        <v>(0; 0,0707; 0,1414)</v>
      </c>
      <c r="I25" t="str">
        <f>VLOOKUP(I11,'Thang đánh giá'!$C$2:$D$27,2,FALSE)</f>
        <v>(0; 0,0837; 0,1673)</v>
      </c>
      <c r="J25" t="str">
        <f>VLOOKUP(J11,'Thang đánh giá'!$C$2:$D$27,2,FALSE)</f>
        <v>(0; 0,0548; 0,1095)</v>
      </c>
      <c r="K25" t="str">
        <f>VLOOKUP(K11,'Thang đánh giá'!$C$2:$D$27,2,FALSE)</f>
        <v>(0; 0; 0)</v>
      </c>
      <c r="L25" t="str">
        <f>VLOOKUP(L11,'Thang đánh giá'!$C$2:$D$27,2,FALSE)</f>
        <v>(0; 0,0707; 0,1414)</v>
      </c>
      <c r="M25" t="str">
        <f>VLOOKUP(M11,'Thang đánh giá'!$C$2:$D$27,2,FALSE)</f>
        <v>(0; 0; 0,0548)</v>
      </c>
    </row>
    <row r="26" spans="1:13" x14ac:dyDescent="0.3">
      <c r="A26" t="s">
        <v>10</v>
      </c>
      <c r="B26" t="str">
        <f>VLOOKUP(B12,'Thang đánh giá'!$C$2:$D$27,2,FALSE)</f>
        <v>(0; 0; 0,0707)</v>
      </c>
      <c r="C26" t="str">
        <f>VLOOKUP(C12,'Thang đánh giá'!$C$2:$D$27,2,FALSE)</f>
        <v>(0; 0,0707; 0,1414)</v>
      </c>
      <c r="D26" t="str">
        <f>VLOOKUP(D12,'Thang đánh giá'!$C$2:$D$27,2,FALSE)</f>
        <v>(0; 0; 0,0548)</v>
      </c>
      <c r="E26" t="str">
        <f>VLOOKUP(E12,'Thang đánh giá'!$C$2:$D$27,2,FALSE)</f>
        <v>(0; 0,0707; 0,1414)</v>
      </c>
      <c r="F26" t="str">
        <f>VLOOKUP(F12,'Thang đánh giá'!$C$2:$D$27,2,FALSE)</f>
        <v>(0; 0; 0,0548)</v>
      </c>
      <c r="G26" t="str">
        <f>VLOOKUP(G12,'Thang đánh giá'!$C$2:$D$27,2,FALSE)</f>
        <v>(0; 0; 0,0548)</v>
      </c>
      <c r="H26" t="str">
        <f>VLOOKUP(H12,'Thang đánh giá'!$C$2:$D$27,2,FALSE)</f>
        <v>(0; 0; 0,0548)</v>
      </c>
      <c r="I26" t="str">
        <f>VLOOKUP(I12,'Thang đánh giá'!$C$2:$D$27,2,FALSE)</f>
        <v>(0; 0; 0,0837)</v>
      </c>
      <c r="J26" t="str">
        <f>VLOOKUP(J12,'Thang đánh giá'!$C$2:$D$27,2,FALSE)</f>
        <v>(0; 0; 0,0316)</v>
      </c>
      <c r="K26" t="str">
        <f>VLOOKUP(K12,'Thang đánh giá'!$C$2:$D$27,2,FALSE)</f>
        <v>(0; 0; 0,0316)</v>
      </c>
      <c r="L26" t="str">
        <f>VLOOKUP(L12,'Thang đánh giá'!$C$2:$D$27,2,FALSE)</f>
        <v>(0; 0; 0)</v>
      </c>
      <c r="M26" t="str">
        <f>VLOOKUP(M12,'Thang đánh giá'!$C$2:$D$27,2,FALSE)</f>
        <v>(0,1897; 0,2846; 0,3795)</v>
      </c>
    </row>
    <row r="27" spans="1:13" x14ac:dyDescent="0.3">
      <c r="A27" t="s">
        <v>11</v>
      </c>
      <c r="B27" t="str">
        <f>VLOOKUP(B13,'Thang đánh giá'!$C$2:$D$27,2,FALSE)</f>
        <v>(0; 0; 0,0707)</v>
      </c>
      <c r="C27" t="str">
        <f>VLOOKUP(C13,'Thang đánh giá'!$C$2:$D$27,2,FALSE)</f>
        <v>(0; 0,0837; 0,1673)</v>
      </c>
      <c r="D27" t="str">
        <f>VLOOKUP(D13,'Thang đánh giá'!$C$2:$D$27,2,FALSE)</f>
        <v>(0; 0; 0,0548)</v>
      </c>
      <c r="E27" t="str">
        <f>VLOOKUP(E13,'Thang đánh giá'!$C$2:$D$27,2,FALSE)</f>
        <v>(0; 0,0707; 0,1414)</v>
      </c>
      <c r="F27" t="str">
        <f>VLOOKUP(F13,'Thang đánh giá'!$C$2:$D$27,2,FALSE)</f>
        <v>(0; 0; 0,0707)</v>
      </c>
      <c r="G27" t="str">
        <f>VLOOKUP(G13,'Thang đánh giá'!$C$2:$D$27,2,FALSE)</f>
        <v>(0; 0; 0,0837)</v>
      </c>
      <c r="H27" t="str">
        <f>VLOOKUP(H13,'Thang đánh giá'!$C$2:$D$27,2,FALSE)</f>
        <v>(0; 0,0707; 0,1414)</v>
      </c>
      <c r="I27" t="str">
        <f>VLOOKUP(I13,'Thang đánh giá'!$C$2:$D$27,2,FALSE)</f>
        <v>(0; 0,0837; 0,1673)</v>
      </c>
      <c r="J27" t="str">
        <f>VLOOKUP(J13,'Thang đánh giá'!$C$2:$D$27,2,FALSE)</f>
        <v>(0; 0,0316; 0,0632)</v>
      </c>
      <c r="K27" t="str">
        <f>VLOOKUP(K13,'Thang đánh giá'!$C$2:$D$27,2,FALSE)</f>
        <v>(0; 0,0707; 0,1414)</v>
      </c>
      <c r="L27" t="str">
        <f>VLOOKUP(L13,'Thang đánh giá'!$C$2:$D$27,2,FALSE)</f>
        <v>(0; 0,0548; 0,1095)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0.1673</v>
      </c>
      <c r="D30">
        <f t="shared" si="0"/>
        <v>8.3699999999999997E-2</v>
      </c>
      <c r="E30">
        <f t="shared" si="0"/>
        <v>0</v>
      </c>
      <c r="F30">
        <f t="shared" si="0"/>
        <v>0</v>
      </c>
      <c r="G30">
        <f t="shared" si="0"/>
        <v>0.251</v>
      </c>
      <c r="H30">
        <f t="shared" si="0"/>
        <v>0.28460000000000002</v>
      </c>
      <c r="I30">
        <f t="shared" si="0"/>
        <v>0</v>
      </c>
      <c r="J30">
        <f t="shared" si="0"/>
        <v>0.1673</v>
      </c>
      <c r="K30">
        <f t="shared" si="0"/>
        <v>0.251</v>
      </c>
      <c r="L30">
        <f t="shared" si="0"/>
        <v>0</v>
      </c>
      <c r="M30">
        <f t="shared" si="0"/>
        <v>0.18970000000000001</v>
      </c>
    </row>
    <row r="31" spans="1:13" x14ac:dyDescent="0.3">
      <c r="A31" t="s">
        <v>1</v>
      </c>
      <c r="B31">
        <f t="shared" ref="B31:M41" si="1">_xlfn.NUMBERVALUE(MID(B17,2,FIND(";",B17,1)-2))</f>
        <v>7.0699999999999999E-2</v>
      </c>
      <c r="C31">
        <f t="shared" si="1"/>
        <v>0</v>
      </c>
      <c r="D31">
        <f t="shared" si="1"/>
        <v>0.28460000000000002</v>
      </c>
      <c r="E31">
        <f t="shared" si="1"/>
        <v>0</v>
      </c>
      <c r="F31">
        <f t="shared" si="1"/>
        <v>8.3699999999999997E-2</v>
      </c>
      <c r="G31">
        <f t="shared" si="1"/>
        <v>0</v>
      </c>
      <c r="H31">
        <f t="shared" si="1"/>
        <v>0</v>
      </c>
      <c r="I31">
        <f t="shared" si="1"/>
        <v>0</v>
      </c>
      <c r="J31">
        <f t="shared" si="1"/>
        <v>0</v>
      </c>
      <c r="K31">
        <f t="shared" si="1"/>
        <v>0.251</v>
      </c>
      <c r="L31">
        <f t="shared" si="1"/>
        <v>7.0699999999999999E-2</v>
      </c>
      <c r="M31">
        <f t="shared" si="1"/>
        <v>0.18970000000000001</v>
      </c>
    </row>
    <row r="32" spans="1:13" x14ac:dyDescent="0.3">
      <c r="A32" t="s">
        <v>2</v>
      </c>
      <c r="B32">
        <f t="shared" si="1"/>
        <v>0</v>
      </c>
      <c r="C32">
        <f t="shared" si="1"/>
        <v>0</v>
      </c>
      <c r="D32">
        <f t="shared" si="1"/>
        <v>0</v>
      </c>
      <c r="E32">
        <f t="shared" si="1"/>
        <v>0</v>
      </c>
      <c r="F32">
        <f t="shared" si="1"/>
        <v>0</v>
      </c>
      <c r="G32">
        <f t="shared" si="1"/>
        <v>0.1673</v>
      </c>
      <c r="H32">
        <f t="shared" si="1"/>
        <v>0</v>
      </c>
      <c r="I32">
        <f t="shared" si="1"/>
        <v>0</v>
      </c>
      <c r="J32">
        <f t="shared" si="1"/>
        <v>0.18970000000000001</v>
      </c>
      <c r="K32">
        <f t="shared" si="1"/>
        <v>0.251</v>
      </c>
      <c r="L32">
        <f t="shared" si="1"/>
        <v>0.18970000000000001</v>
      </c>
      <c r="M32">
        <f t="shared" si="1"/>
        <v>0.18970000000000001</v>
      </c>
    </row>
    <row r="33" spans="1:13" x14ac:dyDescent="0.3">
      <c r="A33" t="s">
        <v>3</v>
      </c>
      <c r="B33">
        <f t="shared" si="1"/>
        <v>0.18970000000000001</v>
      </c>
      <c r="C33">
        <f t="shared" si="1"/>
        <v>0.251</v>
      </c>
      <c r="D33">
        <f t="shared" si="1"/>
        <v>0.18970000000000001</v>
      </c>
      <c r="E33">
        <f t="shared" si="1"/>
        <v>0</v>
      </c>
      <c r="F33">
        <f t="shared" si="1"/>
        <v>0.1673</v>
      </c>
      <c r="G33">
        <f t="shared" si="1"/>
        <v>0.18970000000000001</v>
      </c>
      <c r="H33">
        <f t="shared" si="1"/>
        <v>0</v>
      </c>
      <c r="I33">
        <f t="shared" si="1"/>
        <v>0.18970000000000001</v>
      </c>
      <c r="J33">
        <f t="shared" si="1"/>
        <v>0.18970000000000001</v>
      </c>
      <c r="K33">
        <f t="shared" si="1"/>
        <v>0</v>
      </c>
      <c r="L33">
        <f t="shared" si="1"/>
        <v>0.28460000000000002</v>
      </c>
      <c r="M33">
        <f t="shared" si="1"/>
        <v>0.28460000000000002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0</v>
      </c>
      <c r="D34">
        <f t="shared" si="2"/>
        <v>0</v>
      </c>
      <c r="E34">
        <f t="shared" si="2"/>
        <v>0</v>
      </c>
      <c r="F34">
        <f t="shared" si="2"/>
        <v>0</v>
      </c>
      <c r="G34">
        <f t="shared" si="2"/>
        <v>0.1673</v>
      </c>
      <c r="H34">
        <f t="shared" si="2"/>
        <v>0</v>
      </c>
      <c r="I34">
        <f t="shared" si="2"/>
        <v>0</v>
      </c>
      <c r="J34">
        <f t="shared" si="2"/>
        <v>0.1673</v>
      </c>
      <c r="K34">
        <f t="shared" si="2"/>
        <v>0.251</v>
      </c>
      <c r="L34">
        <f t="shared" si="2"/>
        <v>0</v>
      </c>
      <c r="M34">
        <f t="shared" si="2"/>
        <v>0</v>
      </c>
    </row>
    <row r="35" spans="1:13" x14ac:dyDescent="0.3">
      <c r="A35" t="s">
        <v>5</v>
      </c>
      <c r="B35">
        <f t="shared" si="1"/>
        <v>0</v>
      </c>
      <c r="C35">
        <f t="shared" si="1"/>
        <v>0</v>
      </c>
      <c r="D35">
        <f t="shared" si="1"/>
        <v>0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0</v>
      </c>
      <c r="J35">
        <f t="shared" si="1"/>
        <v>0</v>
      </c>
      <c r="K35">
        <f t="shared" si="1"/>
        <v>0</v>
      </c>
      <c r="L35">
        <f t="shared" si="1"/>
        <v>0</v>
      </c>
      <c r="M35">
        <f t="shared" si="1"/>
        <v>0</v>
      </c>
    </row>
    <row r="36" spans="1:13" x14ac:dyDescent="0.3">
      <c r="A36" t="s">
        <v>6</v>
      </c>
      <c r="B36">
        <f t="shared" si="1"/>
        <v>0.28460000000000002</v>
      </c>
      <c r="C36">
        <f t="shared" si="1"/>
        <v>0.28460000000000002</v>
      </c>
      <c r="D36">
        <f t="shared" si="1"/>
        <v>0.28460000000000002</v>
      </c>
      <c r="E36">
        <f t="shared" si="1"/>
        <v>0.28460000000000002</v>
      </c>
      <c r="F36">
        <f t="shared" si="1"/>
        <v>0.28460000000000002</v>
      </c>
      <c r="G36">
        <f t="shared" si="1"/>
        <v>0.28460000000000002</v>
      </c>
      <c r="H36">
        <f t="shared" si="1"/>
        <v>0</v>
      </c>
      <c r="I36">
        <f t="shared" si="1"/>
        <v>0</v>
      </c>
      <c r="J36">
        <f t="shared" si="1"/>
        <v>0.28460000000000002</v>
      </c>
      <c r="K36">
        <f t="shared" si="1"/>
        <v>0.28460000000000002</v>
      </c>
      <c r="L36">
        <f t="shared" si="1"/>
        <v>0.28460000000000002</v>
      </c>
      <c r="M36">
        <f t="shared" si="1"/>
        <v>0.28460000000000002</v>
      </c>
    </row>
    <row r="37" spans="1:13" x14ac:dyDescent="0.3">
      <c r="A37" t="s">
        <v>7</v>
      </c>
      <c r="B37">
        <f t="shared" si="1"/>
        <v>0</v>
      </c>
      <c r="C37">
        <f t="shared" si="1"/>
        <v>0</v>
      </c>
      <c r="D37">
        <f t="shared" si="1"/>
        <v>0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0.18970000000000001</v>
      </c>
      <c r="K37">
        <f t="shared" si="1"/>
        <v>0.251</v>
      </c>
      <c r="L37">
        <f t="shared" si="1"/>
        <v>0.28460000000000002</v>
      </c>
      <c r="M37">
        <f t="shared" si="1"/>
        <v>8.3699999999999997E-2</v>
      </c>
    </row>
    <row r="38" spans="1:13" x14ac:dyDescent="0.3">
      <c r="A38" t="s">
        <v>8</v>
      </c>
      <c r="B38">
        <f t="shared" si="1"/>
        <v>0.1673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0</v>
      </c>
      <c r="I38">
        <f t="shared" si="1"/>
        <v>0</v>
      </c>
      <c r="J38">
        <f t="shared" si="1"/>
        <v>0</v>
      </c>
      <c r="K38">
        <f t="shared" si="1"/>
        <v>0.28460000000000002</v>
      </c>
      <c r="L38">
        <f t="shared" si="1"/>
        <v>0.18970000000000001</v>
      </c>
      <c r="M38">
        <f t="shared" si="1"/>
        <v>0.28460000000000002</v>
      </c>
    </row>
    <row r="39" spans="1:13" x14ac:dyDescent="0.3">
      <c r="A39" t="s">
        <v>9</v>
      </c>
      <c r="B39">
        <f t="shared" si="1"/>
        <v>0</v>
      </c>
      <c r="C39">
        <f t="shared" si="1"/>
        <v>0</v>
      </c>
      <c r="D39">
        <f t="shared" si="1"/>
        <v>0</v>
      </c>
      <c r="E39">
        <f t="shared" si="1"/>
        <v>0</v>
      </c>
      <c r="F39">
        <f t="shared" si="1"/>
        <v>0</v>
      </c>
      <c r="G39">
        <f t="shared" si="1"/>
        <v>0</v>
      </c>
      <c r="H39">
        <f t="shared" si="1"/>
        <v>0</v>
      </c>
      <c r="I39">
        <f t="shared" si="1"/>
        <v>0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0</v>
      </c>
    </row>
    <row r="40" spans="1:13" x14ac:dyDescent="0.3">
      <c r="A40" t="s">
        <v>10</v>
      </c>
      <c r="B40">
        <f t="shared" si="1"/>
        <v>0</v>
      </c>
      <c r="C40">
        <f t="shared" si="1"/>
        <v>0</v>
      </c>
      <c r="D40">
        <f t="shared" si="1"/>
        <v>0</v>
      </c>
      <c r="E40">
        <f t="shared" si="1"/>
        <v>0</v>
      </c>
      <c r="F40">
        <f t="shared" si="1"/>
        <v>0</v>
      </c>
      <c r="G40">
        <f t="shared" si="1"/>
        <v>0</v>
      </c>
      <c r="H40">
        <f t="shared" si="1"/>
        <v>0</v>
      </c>
      <c r="I40">
        <f t="shared" si="1"/>
        <v>0</v>
      </c>
      <c r="J40">
        <f t="shared" si="1"/>
        <v>0</v>
      </c>
      <c r="K40">
        <f t="shared" si="1"/>
        <v>0</v>
      </c>
      <c r="L40">
        <f t="shared" si="1"/>
        <v>0</v>
      </c>
      <c r="M40">
        <f t="shared" si="1"/>
        <v>0.18970000000000001</v>
      </c>
    </row>
    <row r="41" spans="1:13" x14ac:dyDescent="0.3">
      <c r="A41" t="s">
        <v>11</v>
      </c>
      <c r="B41">
        <f t="shared" si="1"/>
        <v>0</v>
      </c>
      <c r="C41">
        <f t="shared" si="1"/>
        <v>0</v>
      </c>
      <c r="D41">
        <f t="shared" si="1"/>
        <v>0</v>
      </c>
      <c r="E41">
        <f t="shared" si="1"/>
        <v>0</v>
      </c>
      <c r="F41">
        <f t="shared" si="1"/>
        <v>0</v>
      </c>
      <c r="G41">
        <f t="shared" si="1"/>
        <v>0</v>
      </c>
      <c r="H41">
        <f t="shared" si="1"/>
        <v>0</v>
      </c>
      <c r="I41">
        <f t="shared" si="1"/>
        <v>0</v>
      </c>
      <c r="J41">
        <f t="shared" si="1"/>
        <v>0</v>
      </c>
      <c r="K41">
        <f t="shared" si="1"/>
        <v>0</v>
      </c>
      <c r="L41">
        <f t="shared" si="1"/>
        <v>0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0.251</v>
      </c>
      <c r="D44">
        <f t="shared" si="3"/>
        <v>0.1673</v>
      </c>
      <c r="E44">
        <f t="shared" si="3"/>
        <v>0</v>
      </c>
      <c r="F44">
        <f t="shared" si="3"/>
        <v>0</v>
      </c>
      <c r="G44">
        <f t="shared" si="3"/>
        <v>0.3347</v>
      </c>
      <c r="H44">
        <f t="shared" si="3"/>
        <v>0.3795</v>
      </c>
      <c r="I44">
        <f t="shared" si="3"/>
        <v>0</v>
      </c>
      <c r="J44">
        <f t="shared" si="3"/>
        <v>0.251</v>
      </c>
      <c r="K44">
        <f t="shared" si="3"/>
        <v>0.3347</v>
      </c>
      <c r="L44">
        <f t="shared" si="3"/>
        <v>0</v>
      </c>
      <c r="M44">
        <f t="shared" si="3"/>
        <v>0.28460000000000002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0.1414</v>
      </c>
      <c r="C45">
        <f t="shared" si="4"/>
        <v>0</v>
      </c>
      <c r="D45">
        <f t="shared" si="4"/>
        <v>0.3795</v>
      </c>
      <c r="E45">
        <f t="shared" si="4"/>
        <v>0</v>
      </c>
      <c r="F45">
        <f t="shared" si="4"/>
        <v>0.1673</v>
      </c>
      <c r="G45">
        <f t="shared" si="4"/>
        <v>0</v>
      </c>
      <c r="H45">
        <f t="shared" si="4"/>
        <v>0</v>
      </c>
      <c r="I45">
        <f t="shared" si="4"/>
        <v>5.4800000000000001E-2</v>
      </c>
      <c r="J45">
        <f t="shared" si="4"/>
        <v>0</v>
      </c>
      <c r="K45">
        <f t="shared" si="4"/>
        <v>0.3347</v>
      </c>
      <c r="L45">
        <f t="shared" si="4"/>
        <v>0.1414</v>
      </c>
      <c r="M45">
        <f t="shared" si="4"/>
        <v>0.28460000000000002</v>
      </c>
    </row>
    <row r="46" spans="1:13" x14ac:dyDescent="0.3">
      <c r="A46" t="s">
        <v>2</v>
      </c>
      <c r="B46">
        <f t="shared" si="4"/>
        <v>0</v>
      </c>
      <c r="C46">
        <f t="shared" si="4"/>
        <v>0</v>
      </c>
      <c r="D46">
        <f t="shared" si="4"/>
        <v>0</v>
      </c>
      <c r="E46">
        <f t="shared" si="4"/>
        <v>7.0699999999999999E-2</v>
      </c>
      <c r="F46">
        <f t="shared" si="4"/>
        <v>0</v>
      </c>
      <c r="G46">
        <f t="shared" si="4"/>
        <v>0.251</v>
      </c>
      <c r="H46">
        <f t="shared" si="4"/>
        <v>0</v>
      </c>
      <c r="I46">
        <f t="shared" si="4"/>
        <v>0</v>
      </c>
      <c r="J46">
        <f t="shared" si="4"/>
        <v>0.28460000000000002</v>
      </c>
      <c r="K46">
        <f t="shared" si="4"/>
        <v>0.3347</v>
      </c>
      <c r="L46">
        <f t="shared" si="4"/>
        <v>0.28460000000000002</v>
      </c>
      <c r="M46">
        <f t="shared" si="4"/>
        <v>0.28460000000000002</v>
      </c>
    </row>
    <row r="47" spans="1:13" x14ac:dyDescent="0.3">
      <c r="A47" t="s">
        <v>3</v>
      </c>
      <c r="B47">
        <f t="shared" si="4"/>
        <v>0.28460000000000002</v>
      </c>
      <c r="C47">
        <f t="shared" si="4"/>
        <v>0.3347</v>
      </c>
      <c r="D47">
        <f t="shared" si="4"/>
        <v>0.28460000000000002</v>
      </c>
      <c r="E47">
        <f t="shared" si="4"/>
        <v>0</v>
      </c>
      <c r="F47">
        <f t="shared" si="4"/>
        <v>0.251</v>
      </c>
      <c r="G47">
        <f t="shared" si="4"/>
        <v>0.28460000000000002</v>
      </c>
      <c r="H47">
        <f t="shared" si="4"/>
        <v>0</v>
      </c>
      <c r="I47">
        <f t="shared" si="4"/>
        <v>0.28460000000000002</v>
      </c>
      <c r="J47">
        <f t="shared" si="4"/>
        <v>0.28460000000000002</v>
      </c>
      <c r="K47">
        <f t="shared" si="4"/>
        <v>0</v>
      </c>
      <c r="L47">
        <f t="shared" si="4"/>
        <v>0.3795</v>
      </c>
      <c r="M47">
        <f t="shared" si="4"/>
        <v>0.3795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5.4800000000000001E-2</v>
      </c>
      <c r="C48">
        <f t="shared" si="5"/>
        <v>7.0699999999999999E-2</v>
      </c>
      <c r="D48">
        <f t="shared" si="5"/>
        <v>0</v>
      </c>
      <c r="E48">
        <f t="shared" si="5"/>
        <v>0</v>
      </c>
      <c r="F48">
        <f t="shared" si="5"/>
        <v>0</v>
      </c>
      <c r="G48">
        <f t="shared" si="5"/>
        <v>0.251</v>
      </c>
      <c r="H48">
        <f t="shared" si="5"/>
        <v>0</v>
      </c>
      <c r="I48">
        <f t="shared" si="5"/>
        <v>0</v>
      </c>
      <c r="J48">
        <f t="shared" si="5"/>
        <v>0.251</v>
      </c>
      <c r="K48">
        <f t="shared" si="5"/>
        <v>0.3347</v>
      </c>
      <c r="L48">
        <f t="shared" si="5"/>
        <v>0</v>
      </c>
      <c r="M48">
        <f t="shared" si="5"/>
        <v>7.0699999999999999E-2</v>
      </c>
    </row>
    <row r="49" spans="1:13" x14ac:dyDescent="0.3">
      <c r="A49" t="s">
        <v>5</v>
      </c>
      <c r="B49">
        <f t="shared" si="4"/>
        <v>0</v>
      </c>
      <c r="C49">
        <f t="shared" si="4"/>
        <v>0</v>
      </c>
      <c r="D49">
        <f t="shared" si="4"/>
        <v>0</v>
      </c>
      <c r="E49">
        <f t="shared" si="4"/>
        <v>0</v>
      </c>
      <c r="F49">
        <f t="shared" si="4"/>
        <v>0</v>
      </c>
      <c r="G49">
        <f t="shared" si="4"/>
        <v>0</v>
      </c>
      <c r="H49">
        <f t="shared" si="4"/>
        <v>0</v>
      </c>
      <c r="I49">
        <f t="shared" si="4"/>
        <v>0</v>
      </c>
      <c r="J49">
        <f t="shared" si="4"/>
        <v>8.3699999999999997E-2</v>
      </c>
      <c r="K49">
        <f t="shared" si="4"/>
        <v>0</v>
      </c>
      <c r="L49">
        <f t="shared" si="4"/>
        <v>0</v>
      </c>
      <c r="M49">
        <f t="shared" si="4"/>
        <v>0</v>
      </c>
    </row>
    <row r="50" spans="1:13" x14ac:dyDescent="0.3">
      <c r="A50" t="s">
        <v>6</v>
      </c>
      <c r="B50">
        <f t="shared" si="4"/>
        <v>0.3795</v>
      </c>
      <c r="C50">
        <f t="shared" si="4"/>
        <v>0.3795</v>
      </c>
      <c r="D50">
        <f t="shared" si="4"/>
        <v>0.3795</v>
      </c>
      <c r="E50">
        <f t="shared" si="4"/>
        <v>0.3795</v>
      </c>
      <c r="F50">
        <f t="shared" si="4"/>
        <v>0.3795</v>
      </c>
      <c r="G50">
        <f t="shared" si="4"/>
        <v>0.3795</v>
      </c>
      <c r="H50">
        <f t="shared" si="4"/>
        <v>0</v>
      </c>
      <c r="I50">
        <f t="shared" si="4"/>
        <v>5.4800000000000001E-2</v>
      </c>
      <c r="J50">
        <f t="shared" si="4"/>
        <v>0.3795</v>
      </c>
      <c r="K50">
        <f t="shared" si="4"/>
        <v>0.3795</v>
      </c>
      <c r="L50">
        <f t="shared" si="4"/>
        <v>0.3795</v>
      </c>
      <c r="M50">
        <f t="shared" si="4"/>
        <v>0.3795</v>
      </c>
    </row>
    <row r="51" spans="1:13" x14ac:dyDescent="0.3">
      <c r="A51" t="s">
        <v>7</v>
      </c>
      <c r="B51">
        <f t="shared" si="4"/>
        <v>0</v>
      </c>
      <c r="C51">
        <f t="shared" si="4"/>
        <v>0</v>
      </c>
      <c r="D51">
        <f t="shared" si="4"/>
        <v>0</v>
      </c>
      <c r="E51">
        <f t="shared" si="4"/>
        <v>0</v>
      </c>
      <c r="F51">
        <f t="shared" si="4"/>
        <v>0</v>
      </c>
      <c r="G51">
        <f t="shared" si="4"/>
        <v>0</v>
      </c>
      <c r="H51">
        <f t="shared" si="4"/>
        <v>0</v>
      </c>
      <c r="I51">
        <f t="shared" si="4"/>
        <v>0</v>
      </c>
      <c r="J51">
        <f t="shared" si="4"/>
        <v>0.28460000000000002</v>
      </c>
      <c r="K51">
        <f t="shared" si="4"/>
        <v>0.3347</v>
      </c>
      <c r="L51">
        <f t="shared" si="4"/>
        <v>0.3795</v>
      </c>
      <c r="M51">
        <f t="shared" si="4"/>
        <v>0.1673</v>
      </c>
    </row>
    <row r="52" spans="1:13" x14ac:dyDescent="0.3">
      <c r="A52" t="s">
        <v>8</v>
      </c>
      <c r="B52">
        <f t="shared" si="4"/>
        <v>0.251</v>
      </c>
      <c r="C52">
        <f t="shared" si="4"/>
        <v>0</v>
      </c>
      <c r="D52">
        <f t="shared" si="4"/>
        <v>0</v>
      </c>
      <c r="E52">
        <f t="shared" si="4"/>
        <v>0</v>
      </c>
      <c r="F52">
        <f t="shared" si="4"/>
        <v>0</v>
      </c>
      <c r="G52">
        <f t="shared" si="4"/>
        <v>7.0699999999999999E-2</v>
      </c>
      <c r="H52">
        <f t="shared" si="4"/>
        <v>0</v>
      </c>
      <c r="I52">
        <f t="shared" si="4"/>
        <v>7.0699999999999999E-2</v>
      </c>
      <c r="J52">
        <f t="shared" si="4"/>
        <v>0</v>
      </c>
      <c r="K52">
        <f t="shared" si="4"/>
        <v>0.3795</v>
      </c>
      <c r="L52">
        <f t="shared" si="4"/>
        <v>0.28460000000000002</v>
      </c>
      <c r="M52">
        <f t="shared" si="4"/>
        <v>0.3795</v>
      </c>
    </row>
    <row r="53" spans="1:13" x14ac:dyDescent="0.3">
      <c r="A53" t="s">
        <v>9</v>
      </c>
      <c r="B53">
        <f t="shared" si="4"/>
        <v>0</v>
      </c>
      <c r="C53">
        <f t="shared" si="4"/>
        <v>0</v>
      </c>
      <c r="D53">
        <f t="shared" si="4"/>
        <v>3.1600000000000003E-2</v>
      </c>
      <c r="E53">
        <f t="shared" si="4"/>
        <v>8.3699999999999997E-2</v>
      </c>
      <c r="F53">
        <f t="shared" si="4"/>
        <v>0</v>
      </c>
      <c r="G53">
        <f t="shared" si="4"/>
        <v>0</v>
      </c>
      <c r="H53">
        <f t="shared" si="4"/>
        <v>7.0699999999999999E-2</v>
      </c>
      <c r="I53">
        <f t="shared" si="4"/>
        <v>8.3699999999999997E-2</v>
      </c>
      <c r="J53">
        <f t="shared" si="4"/>
        <v>5.4800000000000001E-2</v>
      </c>
      <c r="K53">
        <f t="shared" si="4"/>
        <v>0</v>
      </c>
      <c r="L53">
        <f t="shared" si="4"/>
        <v>7.0699999999999999E-2</v>
      </c>
      <c r="M53">
        <f t="shared" si="4"/>
        <v>0</v>
      </c>
    </row>
    <row r="54" spans="1:13" x14ac:dyDescent="0.3">
      <c r="A54" t="s">
        <v>10</v>
      </c>
      <c r="B54">
        <f t="shared" si="4"/>
        <v>0</v>
      </c>
      <c r="C54">
        <f t="shared" si="4"/>
        <v>7.0699999999999999E-2</v>
      </c>
      <c r="D54">
        <f t="shared" si="4"/>
        <v>0</v>
      </c>
      <c r="E54">
        <f t="shared" si="4"/>
        <v>7.0699999999999999E-2</v>
      </c>
      <c r="F54">
        <f t="shared" si="4"/>
        <v>0</v>
      </c>
      <c r="G54">
        <f t="shared" si="4"/>
        <v>0</v>
      </c>
      <c r="H54">
        <f t="shared" si="4"/>
        <v>0</v>
      </c>
      <c r="I54">
        <f t="shared" si="4"/>
        <v>0</v>
      </c>
      <c r="J54">
        <f t="shared" si="4"/>
        <v>0</v>
      </c>
      <c r="K54">
        <f t="shared" si="4"/>
        <v>0</v>
      </c>
      <c r="L54">
        <f t="shared" si="4"/>
        <v>0</v>
      </c>
      <c r="M54">
        <f t="shared" si="4"/>
        <v>0.28460000000000002</v>
      </c>
    </row>
    <row r="55" spans="1:13" x14ac:dyDescent="0.3">
      <c r="A55" t="s">
        <v>11</v>
      </c>
      <c r="B55">
        <f t="shared" si="4"/>
        <v>0</v>
      </c>
      <c r="C55">
        <f t="shared" si="4"/>
        <v>8.3699999999999997E-2</v>
      </c>
      <c r="D55">
        <f t="shared" si="4"/>
        <v>0</v>
      </c>
      <c r="E55">
        <f t="shared" si="4"/>
        <v>7.0699999999999999E-2</v>
      </c>
      <c r="F55">
        <f t="shared" si="4"/>
        <v>0</v>
      </c>
      <c r="G55">
        <f t="shared" si="4"/>
        <v>0</v>
      </c>
      <c r="H55">
        <f t="shared" si="4"/>
        <v>7.0699999999999999E-2</v>
      </c>
      <c r="I55">
        <f t="shared" si="4"/>
        <v>8.3699999999999997E-2</v>
      </c>
      <c r="J55">
        <f t="shared" si="4"/>
        <v>3.1600000000000003E-2</v>
      </c>
      <c r="K55">
        <f t="shared" si="4"/>
        <v>7.0699999999999999E-2</v>
      </c>
      <c r="L55">
        <f t="shared" si="4"/>
        <v>5.4800000000000001E-2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0.3347</v>
      </c>
      <c r="D58">
        <f t="shared" si="6"/>
        <v>0.251</v>
      </c>
      <c r="E58">
        <f t="shared" si="6"/>
        <v>8.3699999999999997E-2</v>
      </c>
      <c r="F58">
        <f t="shared" si="6"/>
        <v>7.0699999999999999E-2</v>
      </c>
      <c r="G58">
        <f t="shared" si="6"/>
        <v>0.3347</v>
      </c>
      <c r="H58">
        <f t="shared" si="6"/>
        <v>0.3795</v>
      </c>
      <c r="I58">
        <f t="shared" si="6"/>
        <v>8.3699999999999997E-2</v>
      </c>
      <c r="J58">
        <f t="shared" si="6"/>
        <v>0.3347</v>
      </c>
      <c r="K58">
        <f t="shared" si="6"/>
        <v>0.3347</v>
      </c>
      <c r="L58">
        <f t="shared" si="6"/>
        <v>8.3699999999999997E-2</v>
      </c>
      <c r="M58">
        <f t="shared" si="6"/>
        <v>0.3795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0.21210000000000001</v>
      </c>
      <c r="C59">
        <f t="shared" si="7"/>
        <v>0</v>
      </c>
      <c r="D59">
        <f t="shared" si="7"/>
        <v>0.3795</v>
      </c>
      <c r="E59">
        <f t="shared" si="7"/>
        <v>8.3699999999999997E-2</v>
      </c>
      <c r="F59">
        <f t="shared" si="7"/>
        <v>0.251</v>
      </c>
      <c r="G59">
        <f t="shared" si="7"/>
        <v>7.0699999999999999E-2</v>
      </c>
      <c r="H59">
        <f t="shared" si="7"/>
        <v>5.4800000000000001E-2</v>
      </c>
      <c r="I59">
        <f t="shared" si="7"/>
        <v>0.1095</v>
      </c>
      <c r="J59">
        <f t="shared" si="7"/>
        <v>7.0699999999999999E-2</v>
      </c>
      <c r="K59">
        <f t="shared" si="7"/>
        <v>0.3347</v>
      </c>
      <c r="L59">
        <f t="shared" si="7"/>
        <v>0.21210000000000001</v>
      </c>
      <c r="M59">
        <f t="shared" si="7"/>
        <v>0.3795</v>
      </c>
    </row>
    <row r="60" spans="1:13" x14ac:dyDescent="0.3">
      <c r="A60" t="s">
        <v>2</v>
      </c>
      <c r="B60">
        <f t="shared" si="7"/>
        <v>5.4800000000000001E-2</v>
      </c>
      <c r="C60">
        <f t="shared" si="7"/>
        <v>7.0699999999999999E-2</v>
      </c>
      <c r="D60">
        <f t="shared" si="7"/>
        <v>0</v>
      </c>
      <c r="E60">
        <f t="shared" si="7"/>
        <v>0.1414</v>
      </c>
      <c r="F60">
        <f t="shared" si="7"/>
        <v>7.0699999999999999E-2</v>
      </c>
      <c r="G60">
        <f t="shared" si="7"/>
        <v>0.3347</v>
      </c>
      <c r="H60">
        <f t="shared" si="7"/>
        <v>5.4800000000000001E-2</v>
      </c>
      <c r="I60">
        <f t="shared" si="7"/>
        <v>7.0699999999999999E-2</v>
      </c>
      <c r="J60">
        <f t="shared" si="7"/>
        <v>0.3795</v>
      </c>
      <c r="K60">
        <f t="shared" si="7"/>
        <v>0.3347</v>
      </c>
      <c r="L60">
        <f t="shared" si="7"/>
        <v>0.3795</v>
      </c>
      <c r="M60">
        <f t="shared" si="7"/>
        <v>0.3795</v>
      </c>
    </row>
    <row r="61" spans="1:13" x14ac:dyDescent="0.3">
      <c r="A61" t="s">
        <v>3</v>
      </c>
      <c r="B61">
        <f t="shared" si="7"/>
        <v>0.3795</v>
      </c>
      <c r="C61">
        <f t="shared" si="7"/>
        <v>0.3347</v>
      </c>
      <c r="D61">
        <f t="shared" si="7"/>
        <v>0.3795</v>
      </c>
      <c r="E61">
        <f t="shared" si="7"/>
        <v>0</v>
      </c>
      <c r="F61">
        <f t="shared" si="7"/>
        <v>0.3347</v>
      </c>
      <c r="G61">
        <f t="shared" si="7"/>
        <v>0.3795</v>
      </c>
      <c r="H61">
        <f t="shared" si="7"/>
        <v>7.0699999999999999E-2</v>
      </c>
      <c r="I61">
        <f t="shared" si="7"/>
        <v>0.3795</v>
      </c>
      <c r="J61">
        <f t="shared" si="7"/>
        <v>0.3795</v>
      </c>
      <c r="K61">
        <f t="shared" si="7"/>
        <v>3.1600000000000003E-2</v>
      </c>
      <c r="L61">
        <f t="shared" si="7"/>
        <v>0.3795</v>
      </c>
      <c r="M61">
        <f t="shared" si="7"/>
        <v>0.3795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0.1095</v>
      </c>
      <c r="C62">
        <f t="shared" si="8"/>
        <v>0.1414</v>
      </c>
      <c r="D62">
        <f t="shared" si="8"/>
        <v>7.0699999999999999E-2</v>
      </c>
      <c r="E62">
        <f t="shared" si="8"/>
        <v>8.3699999999999997E-2</v>
      </c>
      <c r="F62">
        <f t="shared" si="8"/>
        <v>0</v>
      </c>
      <c r="G62">
        <f t="shared" si="8"/>
        <v>0.3347</v>
      </c>
      <c r="H62">
        <f t="shared" si="8"/>
        <v>7.0699999999999999E-2</v>
      </c>
      <c r="I62">
        <f t="shared" si="8"/>
        <v>7.0699999999999999E-2</v>
      </c>
      <c r="J62">
        <f t="shared" si="8"/>
        <v>0.3347</v>
      </c>
      <c r="K62">
        <f t="shared" si="8"/>
        <v>0.3347</v>
      </c>
      <c r="L62">
        <f t="shared" si="8"/>
        <v>3.1600000000000003E-2</v>
      </c>
      <c r="M62">
        <f t="shared" si="8"/>
        <v>0.1414</v>
      </c>
    </row>
    <row r="63" spans="1:13" x14ac:dyDescent="0.3">
      <c r="A63" t="s">
        <v>5</v>
      </c>
      <c r="B63">
        <f t="shared" si="7"/>
        <v>7.0699999999999999E-2</v>
      </c>
      <c r="C63">
        <f t="shared" si="7"/>
        <v>7.0699999999999999E-2</v>
      </c>
      <c r="D63">
        <f t="shared" si="7"/>
        <v>5.4800000000000001E-2</v>
      </c>
      <c r="E63">
        <f t="shared" si="7"/>
        <v>8.3699999999999997E-2</v>
      </c>
      <c r="F63">
        <f t="shared" si="7"/>
        <v>5.4800000000000001E-2</v>
      </c>
      <c r="G63">
        <f t="shared" si="7"/>
        <v>0</v>
      </c>
      <c r="H63">
        <f t="shared" si="7"/>
        <v>5.4800000000000001E-2</v>
      </c>
      <c r="I63">
        <f t="shared" si="7"/>
        <v>7.0699999999999999E-2</v>
      </c>
      <c r="J63">
        <f t="shared" si="7"/>
        <v>0.1673</v>
      </c>
      <c r="K63">
        <f t="shared" si="7"/>
        <v>7.0699999999999999E-2</v>
      </c>
      <c r="L63">
        <f t="shared" si="7"/>
        <v>5.4800000000000001E-2</v>
      </c>
      <c r="M63">
        <f t="shared" si="7"/>
        <v>5.4800000000000001E-2</v>
      </c>
    </row>
    <row r="64" spans="1:13" x14ac:dyDescent="0.3">
      <c r="A64" t="s">
        <v>6</v>
      </c>
      <c r="B64">
        <f t="shared" si="7"/>
        <v>0.3795</v>
      </c>
      <c r="C64">
        <f t="shared" si="7"/>
        <v>0.3795</v>
      </c>
      <c r="D64">
        <f t="shared" si="7"/>
        <v>0.3795</v>
      </c>
      <c r="E64">
        <f t="shared" si="7"/>
        <v>0.3795</v>
      </c>
      <c r="F64">
        <f t="shared" si="7"/>
        <v>0.3795</v>
      </c>
      <c r="G64">
        <f t="shared" si="7"/>
        <v>0.3795</v>
      </c>
      <c r="H64">
        <f t="shared" si="7"/>
        <v>0</v>
      </c>
      <c r="I64">
        <f t="shared" si="7"/>
        <v>0.1095</v>
      </c>
      <c r="J64">
        <f t="shared" si="7"/>
        <v>0.3795</v>
      </c>
      <c r="K64">
        <f t="shared" si="7"/>
        <v>0.3795</v>
      </c>
      <c r="L64">
        <f t="shared" si="7"/>
        <v>0.3795</v>
      </c>
      <c r="M64">
        <f t="shared" si="7"/>
        <v>0.3795</v>
      </c>
    </row>
    <row r="65" spans="1:13" x14ac:dyDescent="0.3">
      <c r="A65" t="s">
        <v>7</v>
      </c>
      <c r="B65">
        <f t="shared" si="7"/>
        <v>7.0699999999999999E-2</v>
      </c>
      <c r="C65">
        <f t="shared" si="7"/>
        <v>8.3699999999999997E-2</v>
      </c>
      <c r="D65">
        <f t="shared" si="7"/>
        <v>5.4800000000000001E-2</v>
      </c>
      <c r="E65">
        <f t="shared" si="7"/>
        <v>8.3699999999999997E-2</v>
      </c>
      <c r="F65">
        <f t="shared" si="7"/>
        <v>7.0699999999999999E-2</v>
      </c>
      <c r="G65">
        <f t="shared" si="7"/>
        <v>7.0699999999999999E-2</v>
      </c>
      <c r="H65">
        <f t="shared" si="7"/>
        <v>7.0699999999999999E-2</v>
      </c>
      <c r="I65">
        <f t="shared" si="7"/>
        <v>0</v>
      </c>
      <c r="J65">
        <f t="shared" si="7"/>
        <v>0.3795</v>
      </c>
      <c r="K65">
        <f t="shared" si="7"/>
        <v>0.3347</v>
      </c>
      <c r="L65">
        <f t="shared" si="7"/>
        <v>0.3795</v>
      </c>
      <c r="M65">
        <f t="shared" si="7"/>
        <v>0.251</v>
      </c>
    </row>
    <row r="66" spans="1:13" x14ac:dyDescent="0.3">
      <c r="A66" t="s">
        <v>8</v>
      </c>
      <c r="B66">
        <f t="shared" si="7"/>
        <v>0.3347</v>
      </c>
      <c r="C66">
        <f t="shared" si="7"/>
        <v>3.1600000000000003E-2</v>
      </c>
      <c r="D66">
        <f t="shared" si="7"/>
        <v>5.4800000000000001E-2</v>
      </c>
      <c r="E66">
        <f t="shared" si="7"/>
        <v>5.4800000000000001E-2</v>
      </c>
      <c r="F66">
        <f t="shared" si="7"/>
        <v>5.4800000000000001E-2</v>
      </c>
      <c r="G66">
        <f t="shared" si="7"/>
        <v>0.1414</v>
      </c>
      <c r="H66">
        <f t="shared" si="7"/>
        <v>7.0699999999999999E-2</v>
      </c>
      <c r="I66">
        <f t="shared" si="7"/>
        <v>0.1414</v>
      </c>
      <c r="J66">
        <f t="shared" si="7"/>
        <v>0</v>
      </c>
      <c r="K66">
        <f t="shared" si="7"/>
        <v>0.3795</v>
      </c>
      <c r="L66">
        <f t="shared" si="7"/>
        <v>0.3795</v>
      </c>
      <c r="M66">
        <f t="shared" si="7"/>
        <v>0.3795</v>
      </c>
    </row>
    <row r="67" spans="1:13" x14ac:dyDescent="0.3">
      <c r="A67" t="s">
        <v>9</v>
      </c>
      <c r="B67">
        <f t="shared" si="7"/>
        <v>3.1600000000000003E-2</v>
      </c>
      <c r="C67">
        <f t="shared" si="7"/>
        <v>5.4800000000000001E-2</v>
      </c>
      <c r="D67">
        <f t="shared" si="7"/>
        <v>6.3200000000000006E-2</v>
      </c>
      <c r="E67">
        <f t="shared" si="7"/>
        <v>0.1673</v>
      </c>
      <c r="F67">
        <f t="shared" si="7"/>
        <v>7.0699999999999999E-2</v>
      </c>
      <c r="G67">
        <f t="shared" si="7"/>
        <v>7.0699999999999999E-2</v>
      </c>
      <c r="H67">
        <f t="shared" si="7"/>
        <v>0.1414</v>
      </c>
      <c r="I67">
        <f t="shared" si="7"/>
        <v>0.1673</v>
      </c>
      <c r="J67">
        <f t="shared" si="7"/>
        <v>0.1095</v>
      </c>
      <c r="K67">
        <f t="shared" si="7"/>
        <v>0</v>
      </c>
      <c r="L67">
        <f t="shared" si="7"/>
        <v>0.1414</v>
      </c>
      <c r="M67">
        <f t="shared" si="7"/>
        <v>5.4800000000000001E-2</v>
      </c>
    </row>
    <row r="68" spans="1:13" x14ac:dyDescent="0.3">
      <c r="A68" t="s">
        <v>10</v>
      </c>
      <c r="B68">
        <f t="shared" si="7"/>
        <v>7.0699999999999999E-2</v>
      </c>
      <c r="C68">
        <f t="shared" si="7"/>
        <v>0.1414</v>
      </c>
      <c r="D68">
        <f t="shared" si="7"/>
        <v>5.4800000000000001E-2</v>
      </c>
      <c r="E68">
        <f t="shared" si="7"/>
        <v>0.1414</v>
      </c>
      <c r="F68">
        <f t="shared" si="7"/>
        <v>5.4800000000000001E-2</v>
      </c>
      <c r="G68">
        <f t="shared" si="7"/>
        <v>5.4800000000000001E-2</v>
      </c>
      <c r="H68">
        <f t="shared" si="7"/>
        <v>5.4800000000000001E-2</v>
      </c>
      <c r="I68">
        <f t="shared" si="7"/>
        <v>8.3699999999999997E-2</v>
      </c>
      <c r="J68">
        <f t="shared" si="7"/>
        <v>3.1600000000000003E-2</v>
      </c>
      <c r="K68">
        <f t="shared" si="7"/>
        <v>3.1600000000000003E-2</v>
      </c>
      <c r="L68">
        <f t="shared" si="7"/>
        <v>0</v>
      </c>
      <c r="M68">
        <f t="shared" si="7"/>
        <v>0.3795</v>
      </c>
    </row>
    <row r="69" spans="1:13" x14ac:dyDescent="0.3">
      <c r="A69" t="s">
        <v>11</v>
      </c>
      <c r="B69">
        <f t="shared" si="7"/>
        <v>7.0699999999999999E-2</v>
      </c>
      <c r="C69">
        <f t="shared" si="7"/>
        <v>0.1673</v>
      </c>
      <c r="D69">
        <f t="shared" si="7"/>
        <v>5.4800000000000001E-2</v>
      </c>
      <c r="E69">
        <f t="shared" si="7"/>
        <v>0.1414</v>
      </c>
      <c r="F69">
        <f t="shared" si="7"/>
        <v>7.0699999999999999E-2</v>
      </c>
      <c r="G69">
        <f t="shared" si="7"/>
        <v>8.3699999999999997E-2</v>
      </c>
      <c r="H69">
        <f t="shared" si="7"/>
        <v>0.1414</v>
      </c>
      <c r="I69">
        <f t="shared" si="7"/>
        <v>0.1673</v>
      </c>
      <c r="J69">
        <f t="shared" si="7"/>
        <v>6.3200000000000006E-2</v>
      </c>
      <c r="K69">
        <f t="shared" si="7"/>
        <v>0.1414</v>
      </c>
      <c r="L69">
        <f t="shared" si="7"/>
        <v>0.1095</v>
      </c>
      <c r="M69">
        <f t="shared" si="7"/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6"/>
  <dimension ref="A1:M69"/>
  <sheetViews>
    <sheetView workbookViewId="0">
      <selection activeCell="A15" sqref="A15:M69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20</v>
      </c>
      <c r="D2" t="s">
        <v>21</v>
      </c>
      <c r="E2" t="s">
        <v>13</v>
      </c>
      <c r="F2" t="s">
        <v>16</v>
      </c>
      <c r="G2" t="s">
        <v>25</v>
      </c>
      <c r="H2" t="s">
        <v>13</v>
      </c>
      <c r="I2" t="s">
        <v>12</v>
      </c>
      <c r="J2" t="s">
        <v>12</v>
      </c>
      <c r="K2" t="s">
        <v>15</v>
      </c>
      <c r="L2" t="s">
        <v>12</v>
      </c>
      <c r="M2" t="s">
        <v>12</v>
      </c>
    </row>
    <row r="3" spans="1:13" x14ac:dyDescent="0.3">
      <c r="A3" s="1" t="s">
        <v>1</v>
      </c>
      <c r="B3" t="s">
        <v>22</v>
      </c>
      <c r="C3">
        <v>0</v>
      </c>
      <c r="D3" t="s">
        <v>18</v>
      </c>
      <c r="E3" t="s">
        <v>24</v>
      </c>
      <c r="F3" t="s">
        <v>12</v>
      </c>
      <c r="G3" t="s">
        <v>23</v>
      </c>
      <c r="H3" t="s">
        <v>22</v>
      </c>
      <c r="I3" t="s">
        <v>16</v>
      </c>
      <c r="J3" t="s">
        <v>12</v>
      </c>
      <c r="K3" t="s">
        <v>18</v>
      </c>
      <c r="L3" t="s">
        <v>20</v>
      </c>
      <c r="M3" t="s">
        <v>13</v>
      </c>
    </row>
    <row r="4" spans="1:13" x14ac:dyDescent="0.3">
      <c r="A4" s="1" t="s">
        <v>2</v>
      </c>
      <c r="B4" t="s">
        <v>12</v>
      </c>
      <c r="C4" t="s">
        <v>71</v>
      </c>
      <c r="D4">
        <v>0</v>
      </c>
      <c r="E4" t="s">
        <v>23</v>
      </c>
      <c r="F4" t="s">
        <v>23</v>
      </c>
      <c r="G4" t="s">
        <v>22</v>
      </c>
      <c r="H4" t="s">
        <v>22</v>
      </c>
      <c r="I4" t="s">
        <v>16</v>
      </c>
      <c r="J4" t="s">
        <v>18</v>
      </c>
      <c r="K4" t="s">
        <v>18</v>
      </c>
      <c r="L4" t="s">
        <v>13</v>
      </c>
      <c r="M4" t="s">
        <v>13</v>
      </c>
    </row>
    <row r="5" spans="1:13" x14ac:dyDescent="0.3">
      <c r="A5" s="1" t="s">
        <v>3</v>
      </c>
      <c r="B5" t="s">
        <v>13</v>
      </c>
      <c r="C5" t="s">
        <v>12</v>
      </c>
      <c r="D5" t="s">
        <v>25</v>
      </c>
      <c r="E5">
        <v>0</v>
      </c>
      <c r="F5" t="s">
        <v>16</v>
      </c>
      <c r="G5" t="s">
        <v>13</v>
      </c>
      <c r="H5" t="s">
        <v>13</v>
      </c>
      <c r="I5" t="s">
        <v>16</v>
      </c>
      <c r="J5" t="s">
        <v>13</v>
      </c>
      <c r="K5" t="s">
        <v>25</v>
      </c>
      <c r="L5" t="s">
        <v>13</v>
      </c>
      <c r="M5" t="s">
        <v>13</v>
      </c>
    </row>
    <row r="6" spans="1:13" x14ac:dyDescent="0.3">
      <c r="A6" s="1" t="s">
        <v>4</v>
      </c>
      <c r="B6" t="s">
        <v>16</v>
      </c>
      <c r="C6" t="s">
        <v>15</v>
      </c>
      <c r="D6" t="s">
        <v>15</v>
      </c>
      <c r="E6" t="s">
        <v>16</v>
      </c>
      <c r="F6">
        <v>0</v>
      </c>
      <c r="G6" t="s">
        <v>25</v>
      </c>
      <c r="H6" t="s">
        <v>62</v>
      </c>
      <c r="I6" t="s">
        <v>15</v>
      </c>
      <c r="J6" t="s">
        <v>18</v>
      </c>
      <c r="K6" t="s">
        <v>13</v>
      </c>
      <c r="L6" t="s">
        <v>62</v>
      </c>
      <c r="M6" t="s">
        <v>17</v>
      </c>
    </row>
    <row r="7" spans="1:13" x14ac:dyDescent="0.3">
      <c r="A7" s="1" t="s">
        <v>5</v>
      </c>
      <c r="B7" t="s">
        <v>15</v>
      </c>
      <c r="C7" t="s">
        <v>24</v>
      </c>
      <c r="D7" t="s">
        <v>15</v>
      </c>
      <c r="E7" t="s">
        <v>20</v>
      </c>
      <c r="F7" t="s">
        <v>16</v>
      </c>
      <c r="G7">
        <v>0</v>
      </c>
      <c r="H7" t="s">
        <v>15</v>
      </c>
      <c r="I7" t="s">
        <v>17</v>
      </c>
      <c r="J7" t="s">
        <v>62</v>
      </c>
      <c r="K7" t="s">
        <v>24</v>
      </c>
      <c r="L7" t="s">
        <v>71</v>
      </c>
      <c r="M7" t="s">
        <v>20</v>
      </c>
    </row>
    <row r="8" spans="1:13" x14ac:dyDescent="0.3">
      <c r="A8" s="1" t="s">
        <v>6</v>
      </c>
      <c r="B8" t="s">
        <v>24</v>
      </c>
      <c r="C8" t="s">
        <v>24</v>
      </c>
      <c r="D8" t="s">
        <v>16</v>
      </c>
      <c r="E8" t="s">
        <v>71</v>
      </c>
      <c r="F8" t="s">
        <v>71</v>
      </c>
      <c r="G8" t="s">
        <v>24</v>
      </c>
      <c r="H8">
        <v>0</v>
      </c>
      <c r="I8" t="s">
        <v>16</v>
      </c>
      <c r="J8" t="s">
        <v>20</v>
      </c>
      <c r="K8" t="s">
        <v>12</v>
      </c>
      <c r="L8" t="s">
        <v>16</v>
      </c>
      <c r="M8" t="s">
        <v>16</v>
      </c>
    </row>
    <row r="9" spans="1:13" x14ac:dyDescent="0.3">
      <c r="A9" s="1" t="s">
        <v>7</v>
      </c>
      <c r="B9" t="s">
        <v>62</v>
      </c>
      <c r="C9" t="s">
        <v>24</v>
      </c>
      <c r="D9" t="s">
        <v>15</v>
      </c>
      <c r="E9" t="s">
        <v>16</v>
      </c>
      <c r="F9" t="s">
        <v>16</v>
      </c>
      <c r="G9" t="s">
        <v>20</v>
      </c>
      <c r="H9" t="s">
        <v>17</v>
      </c>
      <c r="I9">
        <v>0</v>
      </c>
      <c r="J9" t="s">
        <v>13</v>
      </c>
      <c r="K9" t="s">
        <v>18</v>
      </c>
      <c r="L9" t="s">
        <v>18</v>
      </c>
      <c r="M9" t="s">
        <v>13</v>
      </c>
    </row>
    <row r="10" spans="1:13" x14ac:dyDescent="0.3">
      <c r="A10" s="1" t="s">
        <v>8</v>
      </c>
      <c r="B10" t="s">
        <v>12</v>
      </c>
      <c r="C10" t="s">
        <v>24</v>
      </c>
      <c r="D10" t="s">
        <v>16</v>
      </c>
      <c r="E10" t="s">
        <v>16</v>
      </c>
      <c r="F10" t="s">
        <v>24</v>
      </c>
      <c r="G10" t="s">
        <v>71</v>
      </c>
      <c r="H10" t="s">
        <v>24</v>
      </c>
      <c r="I10" t="s">
        <v>24</v>
      </c>
      <c r="J10">
        <v>0</v>
      </c>
      <c r="K10" t="s">
        <v>18</v>
      </c>
      <c r="L10" t="s">
        <v>18</v>
      </c>
      <c r="M10" t="s">
        <v>18</v>
      </c>
    </row>
    <row r="11" spans="1:13" x14ac:dyDescent="0.3">
      <c r="A11" s="1" t="s">
        <v>9</v>
      </c>
      <c r="B11" t="s">
        <v>20</v>
      </c>
      <c r="C11" t="s">
        <v>62</v>
      </c>
      <c r="D11" t="s">
        <v>24</v>
      </c>
      <c r="E11" t="s">
        <v>24</v>
      </c>
      <c r="F11" t="s">
        <v>62</v>
      </c>
      <c r="G11" t="s">
        <v>15</v>
      </c>
      <c r="H11" t="s">
        <v>23</v>
      </c>
      <c r="I11" t="s">
        <v>71</v>
      </c>
      <c r="J11" t="s">
        <v>24</v>
      </c>
      <c r="K11">
        <v>0</v>
      </c>
      <c r="L11" t="s">
        <v>62</v>
      </c>
      <c r="M11" t="s">
        <v>16</v>
      </c>
    </row>
    <row r="12" spans="1:13" x14ac:dyDescent="0.3">
      <c r="A12" s="1" t="s">
        <v>10</v>
      </c>
      <c r="B12" t="s">
        <v>24</v>
      </c>
      <c r="C12" t="s">
        <v>16</v>
      </c>
      <c r="D12" t="s">
        <v>20</v>
      </c>
      <c r="E12" t="s">
        <v>71</v>
      </c>
      <c r="F12" t="s">
        <v>16</v>
      </c>
      <c r="G12" t="s">
        <v>20</v>
      </c>
      <c r="H12" t="s">
        <v>15</v>
      </c>
      <c r="I12" t="s">
        <v>71</v>
      </c>
      <c r="J12" t="s">
        <v>20</v>
      </c>
      <c r="K12" t="s">
        <v>16</v>
      </c>
      <c r="L12">
        <v>0</v>
      </c>
      <c r="M12" t="s">
        <v>13</v>
      </c>
    </row>
    <row r="13" spans="1:13" x14ac:dyDescent="0.3">
      <c r="A13" s="1" t="s">
        <v>11</v>
      </c>
      <c r="B13" t="s">
        <v>20</v>
      </c>
      <c r="C13" t="s">
        <v>15</v>
      </c>
      <c r="D13" t="s">
        <v>15</v>
      </c>
      <c r="E13" t="s">
        <v>71</v>
      </c>
      <c r="F13" t="s">
        <v>24</v>
      </c>
      <c r="G13" t="s">
        <v>71</v>
      </c>
      <c r="H13" t="s">
        <v>20</v>
      </c>
      <c r="I13" t="s">
        <v>16</v>
      </c>
      <c r="J13" t="s">
        <v>16</v>
      </c>
      <c r="K13" t="s">
        <v>71</v>
      </c>
      <c r="L13" t="s">
        <v>23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(0; 0,0548; 0,1095)</v>
      </c>
      <c r="D16" t="str">
        <f>VLOOKUP(D2,'Thang đánh giá'!$C$2:$D$27,2,FALSE)</f>
        <v>(0,0837; 0,1673; 0,251)</v>
      </c>
      <c r="E16" t="str">
        <f>VLOOKUP(E2,'Thang đánh giá'!$C$2:$D$27,2,FALSE)</f>
        <v>(0,1897; 0,2846; 0,3795)</v>
      </c>
      <c r="F16" t="str">
        <f>VLOOKUP(F2,'Thang đánh giá'!$C$2:$D$27,2,FALSE)</f>
        <v>(0; 0; 0,0707)</v>
      </c>
      <c r="G16" t="str">
        <f>VLOOKUP(G2,'Thang đánh giá'!$C$2:$D$27,2,FALSE)</f>
        <v>(0,251; 0,3347; 0,3347)</v>
      </c>
      <c r="H16" t="str">
        <f>VLOOKUP(H2,'Thang đánh giá'!$C$2:$D$27,2,FALSE)</f>
        <v>(0,1897; 0,2846; 0,3795)</v>
      </c>
      <c r="I16" t="str">
        <f>VLOOKUP(I2,'Thang đánh giá'!$C$2:$D$27,2,FALSE)</f>
        <v>(0,1673; 0,251; 0,3347)</v>
      </c>
      <c r="J16" t="str">
        <f>VLOOKUP(J2,'Thang đánh giá'!$C$2:$D$27,2,FALSE)</f>
        <v>(0,1673; 0,251; 0,3347)</v>
      </c>
      <c r="K16" t="str">
        <f>VLOOKUP(K2,'Thang đánh giá'!$C$2:$D$27,2,FALSE)</f>
        <v>(0; 0,0707; 0,1414)</v>
      </c>
      <c r="L16" t="str">
        <f>VLOOKUP(L2,'Thang đánh giá'!$C$2:$D$27,2,FALSE)</f>
        <v>(0,1673; 0,251; 0,3347)</v>
      </c>
      <c r="M16" t="str">
        <f>VLOOKUP(M2,'Thang đánh giá'!$C$2:$D$27,2,FALSE)</f>
        <v>(0,1673; 0,251; 0,3347)</v>
      </c>
    </row>
    <row r="17" spans="1:13" x14ac:dyDescent="0.3">
      <c r="A17" t="s">
        <v>1</v>
      </c>
      <c r="B17" t="str">
        <f>VLOOKUP(B3,'Thang đánh giá'!$C$2:$D$27,2,FALSE)</f>
        <v>(0,0707; 0,1414; 0,2121)</v>
      </c>
      <c r="C17" t="str">
        <f>VLOOKUP(C3,'Thang đánh giá'!$C$2:$D$27,2,FALSE)</f>
        <v>(0; 0; 0)</v>
      </c>
      <c r="D17" t="str">
        <f>VLOOKUP(D3,'Thang đánh giá'!$C$2:$D$27,2,FALSE)</f>
        <v>(0,2846; 0,3795; 0,3795)</v>
      </c>
      <c r="E17" t="str">
        <f>VLOOKUP(E3,'Thang đánh giá'!$C$2:$D$27,2,FALSE)</f>
        <v>(0; 0; 0,0548)</v>
      </c>
      <c r="F17" t="str">
        <f>VLOOKUP(F3,'Thang đánh giá'!$C$2:$D$27,2,FALSE)</f>
        <v>(0,1673; 0,251; 0,3347)</v>
      </c>
      <c r="G17" t="str">
        <f>VLOOKUP(G3,'Thang đánh giá'!$C$2:$D$27,2,FALSE)</f>
        <v>(0; 0; 0,0316)</v>
      </c>
      <c r="H17" t="str">
        <f>VLOOKUP(H3,'Thang đánh giá'!$C$2:$D$27,2,FALSE)</f>
        <v>(0,0707; 0,1414; 0,2121)</v>
      </c>
      <c r="I17" t="str">
        <f>VLOOKUP(I3,'Thang đánh giá'!$C$2:$D$27,2,FALSE)</f>
        <v>(0; 0; 0,0707)</v>
      </c>
      <c r="J17" t="str">
        <f>VLOOKUP(J3,'Thang đánh giá'!$C$2:$D$27,2,FALSE)</f>
        <v>(0,1673; 0,251; 0,3347)</v>
      </c>
      <c r="K17" t="str">
        <f>VLOOKUP(K3,'Thang đánh giá'!$C$2:$D$27,2,FALSE)</f>
        <v>(0,2846; 0,3795; 0,3795)</v>
      </c>
      <c r="L17" t="str">
        <f>VLOOKUP(L3,'Thang đánh giá'!$C$2:$D$27,2,FALSE)</f>
        <v>(0; 0,0548; 0,1095)</v>
      </c>
      <c r="M17" t="str">
        <f>VLOOKUP(M3,'Thang đánh giá'!$C$2:$D$27,2,FALSE)</f>
        <v>(0,1897; 0,2846; 0,3795)</v>
      </c>
    </row>
    <row r="18" spans="1:13" x14ac:dyDescent="0.3">
      <c r="A18" t="s">
        <v>2</v>
      </c>
      <c r="B18" t="str">
        <f>VLOOKUP(B4,'Thang đánh giá'!$C$2:$D$27,2,FALSE)</f>
        <v>(0,1673; 0,251; 0,3347)</v>
      </c>
      <c r="C18" t="str">
        <f>VLOOKUP(C4,'Thang đánh giá'!$C$2:$D$27,2,FALSE)</f>
        <v>(0; 0; 0,0837)</v>
      </c>
      <c r="D18" t="str">
        <f>VLOOKUP(D4,'Thang đánh giá'!$C$2:$D$27,2,FALSE)</f>
        <v>(0; 0; 0)</v>
      </c>
      <c r="E18" t="str">
        <f>VLOOKUP(E4,'Thang đánh giá'!$C$2:$D$27,2,FALSE)</f>
        <v>(0; 0; 0,0316)</v>
      </c>
      <c r="F18" t="str">
        <f>VLOOKUP(F4,'Thang đánh giá'!$C$2:$D$27,2,FALSE)</f>
        <v>(0; 0; 0,0316)</v>
      </c>
      <c r="G18" t="str">
        <f>VLOOKUP(G4,'Thang đánh giá'!$C$2:$D$27,2,FALSE)</f>
        <v>(0,0707; 0,1414; 0,2121)</v>
      </c>
      <c r="H18" t="str">
        <f>VLOOKUP(H4,'Thang đánh giá'!$C$2:$D$27,2,FALSE)</f>
        <v>(0,0707; 0,1414; 0,2121)</v>
      </c>
      <c r="I18" t="str">
        <f>VLOOKUP(I4,'Thang đánh giá'!$C$2:$D$27,2,FALSE)</f>
        <v>(0; 0; 0,0707)</v>
      </c>
      <c r="J18" t="str">
        <f>VLOOKUP(J4,'Thang đánh giá'!$C$2:$D$27,2,FALSE)</f>
        <v>(0,2846; 0,3795; 0,3795)</v>
      </c>
      <c r="K18" t="str">
        <f>VLOOKUP(K4,'Thang đánh giá'!$C$2:$D$27,2,FALSE)</f>
        <v>(0,2846; 0,3795; 0,3795)</v>
      </c>
      <c r="L18" t="str">
        <f>VLOOKUP(L4,'Thang đánh giá'!$C$2:$D$27,2,FALSE)</f>
        <v>(0,1897; 0,2846; 0,3795)</v>
      </c>
      <c r="M18" t="str">
        <f>VLOOKUP(M4,'Thang đánh giá'!$C$2:$D$27,2,FALSE)</f>
        <v>(0,1897; 0,2846; 0,3795)</v>
      </c>
    </row>
    <row r="19" spans="1:13" x14ac:dyDescent="0.3">
      <c r="A19" t="s">
        <v>3</v>
      </c>
      <c r="B19" t="str">
        <f>VLOOKUP(B5,'Thang đánh giá'!$C$2:$D$27,2,FALSE)</f>
        <v>(0,1897; 0,2846; 0,3795)</v>
      </c>
      <c r="C19" t="str">
        <f>VLOOKUP(C5,'Thang đánh giá'!$C$2:$D$27,2,FALSE)</f>
        <v>(0,1673; 0,251; 0,3347)</v>
      </c>
      <c r="D19" t="str">
        <f>VLOOKUP(D5,'Thang đánh giá'!$C$2:$D$27,2,FALSE)</f>
        <v>(0,251; 0,3347; 0,3347)</v>
      </c>
      <c r="E19" t="str">
        <f>VLOOKUP(E5,'Thang đánh giá'!$C$2:$D$27,2,FALSE)</f>
        <v>(0; 0; 0)</v>
      </c>
      <c r="F19" t="str">
        <f>VLOOKUP(F5,'Thang đánh giá'!$C$2:$D$27,2,FALSE)</f>
        <v>(0; 0; 0,0707)</v>
      </c>
      <c r="G19" t="str">
        <f>VLOOKUP(G5,'Thang đánh giá'!$C$2:$D$27,2,FALSE)</f>
        <v>(0,1897; 0,2846; 0,3795)</v>
      </c>
      <c r="H19" t="str">
        <f>VLOOKUP(H5,'Thang đánh giá'!$C$2:$D$27,2,FALSE)</f>
        <v>(0,1897; 0,2846; 0,3795)</v>
      </c>
      <c r="I19" t="str">
        <f>VLOOKUP(I5,'Thang đánh giá'!$C$2:$D$27,2,FALSE)</f>
        <v>(0; 0; 0,0707)</v>
      </c>
      <c r="J19" t="str">
        <f>VLOOKUP(J5,'Thang đánh giá'!$C$2:$D$27,2,FALSE)</f>
        <v>(0,1897; 0,2846; 0,3795)</v>
      </c>
      <c r="K19" t="str">
        <f>VLOOKUP(K5,'Thang đánh giá'!$C$2:$D$27,2,FALSE)</f>
        <v>(0,251; 0,3347; 0,3347)</v>
      </c>
      <c r="L19" t="str">
        <f>VLOOKUP(L5,'Thang đánh giá'!$C$2:$D$27,2,FALSE)</f>
        <v>(0,1897; 0,2846; 0,3795)</v>
      </c>
      <c r="M19" t="str">
        <f>VLOOKUP(M5,'Thang đánh giá'!$C$2:$D$27,2,FALSE)</f>
        <v>(0,1897; 0,2846; 0,3795)</v>
      </c>
    </row>
    <row r="20" spans="1:13" x14ac:dyDescent="0.3">
      <c r="A20" t="s">
        <v>4</v>
      </c>
      <c r="B20" t="str">
        <f>VLOOKUP(B6,'Thang đánh giá'!$C$2:$D$27,2,FALSE)</f>
        <v>(0; 0; 0,0707)</v>
      </c>
      <c r="C20" t="str">
        <f>VLOOKUP(C6,'Thang đánh giá'!$C$2:$D$27,2,FALSE)</f>
        <v>(0; 0,0707; 0,1414)</v>
      </c>
      <c r="D20" t="str">
        <f>VLOOKUP(D6,'Thang đánh giá'!$C$2:$D$27,2,FALSE)</f>
        <v>(0; 0,0707; 0,1414)</v>
      </c>
      <c r="E20" t="str">
        <f>VLOOKUP(E6,'Thang đánh giá'!$C$2:$D$27,2,FALSE)</f>
        <v>(0; 0; 0,0707)</v>
      </c>
      <c r="F20" t="str">
        <f>VLOOKUP(F6,'Thang đánh giá'!$C$2:$D$27,2,FALSE)</f>
        <v>(0; 0; 0)</v>
      </c>
      <c r="G20" t="str">
        <f>VLOOKUP(G6,'Thang đánh giá'!$C$2:$D$27,2,FALSE)</f>
        <v>(0,251; 0,3347; 0,3347)</v>
      </c>
      <c r="H20" t="str">
        <f>VLOOKUP(H6,'Thang đánh giá'!$C$2:$D$27,2,FALSE)</f>
        <v>(0; 0,0837; 0,1673)</v>
      </c>
      <c r="I20" t="str">
        <f>VLOOKUP(I6,'Thang đánh giá'!$C$2:$D$27,2,FALSE)</f>
        <v>(0; 0,0707; 0,1414)</v>
      </c>
      <c r="J20" t="str">
        <f>VLOOKUP(J6,'Thang đánh giá'!$C$2:$D$27,2,FALSE)</f>
        <v>(0,2846; 0,3795; 0,3795)</v>
      </c>
      <c r="K20" t="str">
        <f>VLOOKUP(K6,'Thang đánh giá'!$C$2:$D$27,2,FALSE)</f>
        <v>(0,1897; 0,2846; 0,3795)</v>
      </c>
      <c r="L20" t="str">
        <f>VLOOKUP(L6,'Thang đánh giá'!$C$2:$D$27,2,FALSE)</f>
        <v>(0; 0,0837; 0,1673)</v>
      </c>
      <c r="M20" t="str">
        <f>VLOOKUP(M6,'Thang đánh giá'!$C$2:$D$27,2,FALSE)</f>
        <v>(0; 0,0316; 0,0632)</v>
      </c>
    </row>
    <row r="21" spans="1:13" x14ac:dyDescent="0.3">
      <c r="A21" t="s">
        <v>5</v>
      </c>
      <c r="B21" t="str">
        <f>VLOOKUP(B7,'Thang đánh giá'!$C$2:$D$27,2,FALSE)</f>
        <v>(0; 0,0707; 0,1414)</v>
      </c>
      <c r="C21" t="str">
        <f>VLOOKUP(C7,'Thang đánh giá'!$C$2:$D$27,2,FALSE)</f>
        <v>(0; 0; 0,0548)</v>
      </c>
      <c r="D21" t="str">
        <f>VLOOKUP(D7,'Thang đánh giá'!$C$2:$D$27,2,FALSE)</f>
        <v>(0; 0,0707; 0,1414)</v>
      </c>
      <c r="E21" t="str">
        <f>VLOOKUP(E7,'Thang đánh giá'!$C$2:$D$27,2,FALSE)</f>
        <v>(0; 0,0548; 0,1095)</v>
      </c>
      <c r="F21" t="str">
        <f>VLOOKUP(F7,'Thang đánh giá'!$C$2:$D$27,2,FALSE)</f>
        <v>(0; 0; 0,0707)</v>
      </c>
      <c r="G21" t="str">
        <f>VLOOKUP(G7,'Thang đánh giá'!$C$2:$D$27,2,FALSE)</f>
        <v>(0; 0; 0)</v>
      </c>
      <c r="H21" t="str">
        <f>VLOOKUP(H7,'Thang đánh giá'!$C$2:$D$27,2,FALSE)</f>
        <v>(0; 0,0707; 0,1414)</v>
      </c>
      <c r="I21" t="str">
        <f>VLOOKUP(I7,'Thang đánh giá'!$C$2:$D$27,2,FALSE)</f>
        <v>(0; 0,0316; 0,0632)</v>
      </c>
      <c r="J21" t="str">
        <f>VLOOKUP(J7,'Thang đánh giá'!$C$2:$D$27,2,FALSE)</f>
        <v>(0; 0,0837; 0,1673)</v>
      </c>
      <c r="K21" t="str">
        <f>VLOOKUP(K7,'Thang đánh giá'!$C$2:$D$27,2,FALSE)</f>
        <v>(0; 0; 0,0548)</v>
      </c>
      <c r="L21" t="str">
        <f>VLOOKUP(L7,'Thang đánh giá'!$C$2:$D$27,2,FALSE)</f>
        <v>(0; 0; 0,0837)</v>
      </c>
      <c r="M21" t="str">
        <f>VLOOKUP(M7,'Thang đánh giá'!$C$2:$D$27,2,FALSE)</f>
        <v>(0; 0,0548; 0,1095)</v>
      </c>
    </row>
    <row r="22" spans="1:13" x14ac:dyDescent="0.3">
      <c r="A22" t="s">
        <v>6</v>
      </c>
      <c r="B22" t="str">
        <f>VLOOKUP(B8,'Thang đánh giá'!$C$2:$D$27,2,FALSE)</f>
        <v>(0; 0; 0,0548)</v>
      </c>
      <c r="C22" t="str">
        <f>VLOOKUP(C8,'Thang đánh giá'!$C$2:$D$27,2,FALSE)</f>
        <v>(0; 0; 0,0548)</v>
      </c>
      <c r="D22" t="str">
        <f>VLOOKUP(D8,'Thang đánh giá'!$C$2:$D$27,2,FALSE)</f>
        <v>(0; 0; 0,0707)</v>
      </c>
      <c r="E22" t="str">
        <f>VLOOKUP(E8,'Thang đánh giá'!$C$2:$D$27,2,FALSE)</f>
        <v>(0; 0; 0,0837)</v>
      </c>
      <c r="F22" t="str">
        <f>VLOOKUP(F8,'Thang đánh giá'!$C$2:$D$27,2,FALSE)</f>
        <v>(0; 0; 0,0837)</v>
      </c>
      <c r="G22" t="str">
        <f>VLOOKUP(G8,'Thang đánh giá'!$C$2:$D$27,2,FALSE)</f>
        <v>(0; 0; 0,0548)</v>
      </c>
      <c r="H22" t="str">
        <f>VLOOKUP(H8,'Thang đánh giá'!$C$2:$D$27,2,FALSE)</f>
        <v>(0; 0; 0)</v>
      </c>
      <c r="I22" t="str">
        <f>VLOOKUP(I8,'Thang đánh giá'!$C$2:$D$27,2,FALSE)</f>
        <v>(0; 0; 0,0707)</v>
      </c>
      <c r="J22" t="str">
        <f>VLOOKUP(J8,'Thang đánh giá'!$C$2:$D$27,2,FALSE)</f>
        <v>(0; 0,0548; 0,1095)</v>
      </c>
      <c r="K22" t="str">
        <f>VLOOKUP(K8,'Thang đánh giá'!$C$2:$D$27,2,FALSE)</f>
        <v>(0,1673; 0,251; 0,3347)</v>
      </c>
      <c r="L22" t="str">
        <f>VLOOKUP(L8,'Thang đánh giá'!$C$2:$D$27,2,FALSE)</f>
        <v>(0; 0; 0,0707)</v>
      </c>
      <c r="M22" t="str">
        <f>VLOOKUP(M8,'Thang đánh giá'!$C$2:$D$27,2,FALSE)</f>
        <v>(0; 0; 0,0707)</v>
      </c>
    </row>
    <row r="23" spans="1:13" x14ac:dyDescent="0.3">
      <c r="A23" t="s">
        <v>7</v>
      </c>
      <c r="B23" t="str">
        <f>VLOOKUP(B9,'Thang đánh giá'!$C$2:$D$27,2,FALSE)</f>
        <v>(0; 0,0837; 0,1673)</v>
      </c>
      <c r="C23" t="str">
        <f>VLOOKUP(C9,'Thang đánh giá'!$C$2:$D$27,2,FALSE)</f>
        <v>(0; 0; 0,0548)</v>
      </c>
      <c r="D23" t="str">
        <f>VLOOKUP(D9,'Thang đánh giá'!$C$2:$D$27,2,FALSE)</f>
        <v>(0; 0,0707; 0,1414)</v>
      </c>
      <c r="E23" t="str">
        <f>VLOOKUP(E9,'Thang đánh giá'!$C$2:$D$27,2,FALSE)</f>
        <v>(0; 0; 0,0707)</v>
      </c>
      <c r="F23" t="str">
        <f>VLOOKUP(F9,'Thang đánh giá'!$C$2:$D$27,2,FALSE)</f>
        <v>(0; 0; 0,0707)</v>
      </c>
      <c r="G23" t="str">
        <f>VLOOKUP(G9,'Thang đánh giá'!$C$2:$D$27,2,FALSE)</f>
        <v>(0; 0,0548; 0,1095)</v>
      </c>
      <c r="H23" t="str">
        <f>VLOOKUP(H9,'Thang đánh giá'!$C$2:$D$27,2,FALSE)</f>
        <v>(0; 0,0316; 0,0632)</v>
      </c>
      <c r="I23" t="str">
        <f>VLOOKUP(I9,'Thang đánh giá'!$C$2:$D$27,2,FALSE)</f>
        <v>(0; 0; 0)</v>
      </c>
      <c r="J23" t="str">
        <f>VLOOKUP(J9,'Thang đánh giá'!$C$2:$D$27,2,FALSE)</f>
        <v>(0,1897; 0,2846; 0,3795)</v>
      </c>
      <c r="K23" t="str">
        <f>VLOOKUP(K9,'Thang đánh giá'!$C$2:$D$27,2,FALSE)</f>
        <v>(0,2846; 0,3795; 0,3795)</v>
      </c>
      <c r="L23" t="str">
        <f>VLOOKUP(L9,'Thang đánh giá'!$C$2:$D$27,2,FALSE)</f>
        <v>(0,2846; 0,3795; 0,3795)</v>
      </c>
      <c r="M23" t="str">
        <f>VLOOKUP(M9,'Thang đánh giá'!$C$2:$D$27,2,FALSE)</f>
        <v>(0,1897; 0,2846; 0,3795)</v>
      </c>
    </row>
    <row r="24" spans="1:13" x14ac:dyDescent="0.3">
      <c r="A24" t="s">
        <v>8</v>
      </c>
      <c r="B24" t="str">
        <f>VLOOKUP(B10,'Thang đánh giá'!$C$2:$D$27,2,FALSE)</f>
        <v>(0,1673; 0,251; 0,3347)</v>
      </c>
      <c r="C24" t="str">
        <f>VLOOKUP(C10,'Thang đánh giá'!$C$2:$D$27,2,FALSE)</f>
        <v>(0; 0; 0,0548)</v>
      </c>
      <c r="D24" t="str">
        <f>VLOOKUP(D10,'Thang đánh giá'!$C$2:$D$27,2,FALSE)</f>
        <v>(0; 0; 0,0707)</v>
      </c>
      <c r="E24" t="str">
        <f>VLOOKUP(E10,'Thang đánh giá'!$C$2:$D$27,2,FALSE)</f>
        <v>(0; 0; 0,0707)</v>
      </c>
      <c r="F24" t="str">
        <f>VLOOKUP(F10,'Thang đánh giá'!$C$2:$D$27,2,FALSE)</f>
        <v>(0; 0; 0,0548)</v>
      </c>
      <c r="G24" t="str">
        <f>VLOOKUP(G10,'Thang đánh giá'!$C$2:$D$27,2,FALSE)</f>
        <v>(0; 0; 0,0837)</v>
      </c>
      <c r="H24" t="str">
        <f>VLOOKUP(H10,'Thang đánh giá'!$C$2:$D$27,2,FALSE)</f>
        <v>(0; 0; 0,0548)</v>
      </c>
      <c r="I24" t="str">
        <f>VLOOKUP(I10,'Thang đánh giá'!$C$2:$D$27,2,FALSE)</f>
        <v>(0; 0; 0,0548)</v>
      </c>
      <c r="J24" t="str">
        <f>VLOOKUP(J10,'Thang đánh giá'!$C$2:$D$27,2,FALSE)</f>
        <v>(0; 0; 0)</v>
      </c>
      <c r="K24" t="str">
        <f>VLOOKUP(K10,'Thang đánh giá'!$C$2:$D$27,2,FALSE)</f>
        <v>(0,2846; 0,3795; 0,3795)</v>
      </c>
      <c r="L24" t="str">
        <f>VLOOKUP(L10,'Thang đánh giá'!$C$2:$D$27,2,FALSE)</f>
        <v>(0,2846; 0,3795; 0,3795)</v>
      </c>
      <c r="M24" t="str">
        <f>VLOOKUP(M10,'Thang đánh giá'!$C$2:$D$27,2,FALSE)</f>
        <v>(0,2846; 0,3795; 0,3795)</v>
      </c>
    </row>
    <row r="25" spans="1:13" x14ac:dyDescent="0.3">
      <c r="A25" t="s">
        <v>9</v>
      </c>
      <c r="B25" t="str">
        <f>VLOOKUP(B11,'Thang đánh giá'!$C$2:$D$27,2,FALSE)</f>
        <v>(0; 0,0548; 0,1095)</v>
      </c>
      <c r="C25" t="str">
        <f>VLOOKUP(C11,'Thang đánh giá'!$C$2:$D$27,2,FALSE)</f>
        <v>(0; 0,0837; 0,1673)</v>
      </c>
      <c r="D25" t="str">
        <f>VLOOKUP(D11,'Thang đánh giá'!$C$2:$D$27,2,FALSE)</f>
        <v>(0; 0; 0,0548)</v>
      </c>
      <c r="E25" t="str">
        <f>VLOOKUP(E11,'Thang đánh giá'!$C$2:$D$27,2,FALSE)</f>
        <v>(0; 0; 0,0548)</v>
      </c>
      <c r="F25" t="str">
        <f>VLOOKUP(F11,'Thang đánh giá'!$C$2:$D$27,2,FALSE)</f>
        <v>(0; 0,0837; 0,1673)</v>
      </c>
      <c r="G25" t="str">
        <f>VLOOKUP(G11,'Thang đánh giá'!$C$2:$D$27,2,FALSE)</f>
        <v>(0; 0,0707; 0,1414)</v>
      </c>
      <c r="H25" t="str">
        <f>VLOOKUP(H11,'Thang đánh giá'!$C$2:$D$27,2,FALSE)</f>
        <v>(0; 0; 0,0316)</v>
      </c>
      <c r="I25" t="str">
        <f>VLOOKUP(I11,'Thang đánh giá'!$C$2:$D$27,2,FALSE)</f>
        <v>(0; 0; 0,0837)</v>
      </c>
      <c r="J25" t="str">
        <f>VLOOKUP(J11,'Thang đánh giá'!$C$2:$D$27,2,FALSE)</f>
        <v>(0; 0; 0,0548)</v>
      </c>
      <c r="K25" t="str">
        <f>VLOOKUP(K11,'Thang đánh giá'!$C$2:$D$27,2,FALSE)</f>
        <v>(0; 0; 0)</v>
      </c>
      <c r="L25" t="str">
        <f>VLOOKUP(L11,'Thang đánh giá'!$C$2:$D$27,2,FALSE)</f>
        <v>(0; 0,0837; 0,1673)</v>
      </c>
      <c r="M25" t="str">
        <f>VLOOKUP(M11,'Thang đánh giá'!$C$2:$D$27,2,FALSE)</f>
        <v>(0; 0; 0,0707)</v>
      </c>
    </row>
    <row r="26" spans="1:13" x14ac:dyDescent="0.3">
      <c r="A26" t="s">
        <v>10</v>
      </c>
      <c r="B26" t="str">
        <f>VLOOKUP(B12,'Thang đánh giá'!$C$2:$D$27,2,FALSE)</f>
        <v>(0; 0; 0,0548)</v>
      </c>
      <c r="C26" t="str">
        <f>VLOOKUP(C12,'Thang đánh giá'!$C$2:$D$27,2,FALSE)</f>
        <v>(0; 0; 0,0707)</v>
      </c>
      <c r="D26" t="str">
        <f>VLOOKUP(D12,'Thang đánh giá'!$C$2:$D$27,2,FALSE)</f>
        <v>(0; 0,0548; 0,1095)</v>
      </c>
      <c r="E26" t="str">
        <f>VLOOKUP(E12,'Thang đánh giá'!$C$2:$D$27,2,FALSE)</f>
        <v>(0; 0; 0,0837)</v>
      </c>
      <c r="F26" t="str">
        <f>VLOOKUP(F12,'Thang đánh giá'!$C$2:$D$27,2,FALSE)</f>
        <v>(0; 0; 0,0707)</v>
      </c>
      <c r="G26" t="str">
        <f>VLOOKUP(G12,'Thang đánh giá'!$C$2:$D$27,2,FALSE)</f>
        <v>(0; 0,0548; 0,1095)</v>
      </c>
      <c r="H26" t="str">
        <f>VLOOKUP(H12,'Thang đánh giá'!$C$2:$D$27,2,FALSE)</f>
        <v>(0; 0,0707; 0,1414)</v>
      </c>
      <c r="I26" t="str">
        <f>VLOOKUP(I12,'Thang đánh giá'!$C$2:$D$27,2,FALSE)</f>
        <v>(0; 0; 0,0837)</v>
      </c>
      <c r="J26" t="str">
        <f>VLOOKUP(J12,'Thang đánh giá'!$C$2:$D$27,2,FALSE)</f>
        <v>(0; 0,0548; 0,1095)</v>
      </c>
      <c r="K26" t="str">
        <f>VLOOKUP(K12,'Thang đánh giá'!$C$2:$D$27,2,FALSE)</f>
        <v>(0; 0; 0,0707)</v>
      </c>
      <c r="L26" t="str">
        <f>VLOOKUP(L12,'Thang đánh giá'!$C$2:$D$27,2,FALSE)</f>
        <v>(0; 0; 0)</v>
      </c>
      <c r="M26" t="str">
        <f>VLOOKUP(M12,'Thang đánh giá'!$C$2:$D$27,2,FALSE)</f>
        <v>(0,1897; 0,2846; 0,3795)</v>
      </c>
    </row>
    <row r="27" spans="1:13" x14ac:dyDescent="0.3">
      <c r="A27" t="s">
        <v>11</v>
      </c>
      <c r="B27" t="str">
        <f>VLOOKUP(B13,'Thang đánh giá'!$C$2:$D$27,2,FALSE)</f>
        <v>(0; 0,0548; 0,1095)</v>
      </c>
      <c r="C27" t="str">
        <f>VLOOKUP(C13,'Thang đánh giá'!$C$2:$D$27,2,FALSE)</f>
        <v>(0; 0,0707; 0,1414)</v>
      </c>
      <c r="D27" t="str">
        <f>VLOOKUP(D13,'Thang đánh giá'!$C$2:$D$27,2,FALSE)</f>
        <v>(0; 0,0707; 0,1414)</v>
      </c>
      <c r="E27" t="str">
        <f>VLOOKUP(E13,'Thang đánh giá'!$C$2:$D$27,2,FALSE)</f>
        <v>(0; 0; 0,0837)</v>
      </c>
      <c r="F27" t="str">
        <f>VLOOKUP(F13,'Thang đánh giá'!$C$2:$D$27,2,FALSE)</f>
        <v>(0; 0; 0,0548)</v>
      </c>
      <c r="G27" t="str">
        <f>VLOOKUP(G13,'Thang đánh giá'!$C$2:$D$27,2,FALSE)</f>
        <v>(0; 0; 0,0837)</v>
      </c>
      <c r="H27" t="str">
        <f>VLOOKUP(H13,'Thang đánh giá'!$C$2:$D$27,2,FALSE)</f>
        <v>(0; 0,0548; 0,1095)</v>
      </c>
      <c r="I27" t="str">
        <f>VLOOKUP(I13,'Thang đánh giá'!$C$2:$D$27,2,FALSE)</f>
        <v>(0; 0; 0,0707)</v>
      </c>
      <c r="J27" t="str">
        <f>VLOOKUP(J13,'Thang đánh giá'!$C$2:$D$27,2,FALSE)</f>
        <v>(0; 0; 0,0707)</v>
      </c>
      <c r="K27" t="str">
        <f>VLOOKUP(K13,'Thang đánh giá'!$C$2:$D$27,2,FALSE)</f>
        <v>(0; 0; 0,0837)</v>
      </c>
      <c r="L27" t="str">
        <f>VLOOKUP(L13,'Thang đánh giá'!$C$2:$D$27,2,FALSE)</f>
        <v>(0; 0; 0,0316)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0</v>
      </c>
      <c r="D30">
        <f t="shared" si="0"/>
        <v>8.3699999999999997E-2</v>
      </c>
      <c r="E30">
        <f t="shared" si="0"/>
        <v>0.18970000000000001</v>
      </c>
      <c r="F30">
        <f t="shared" si="0"/>
        <v>0</v>
      </c>
      <c r="G30">
        <f t="shared" si="0"/>
        <v>0.251</v>
      </c>
      <c r="H30">
        <f t="shared" si="0"/>
        <v>0.18970000000000001</v>
      </c>
      <c r="I30">
        <f t="shared" si="0"/>
        <v>0.1673</v>
      </c>
      <c r="J30">
        <f t="shared" si="0"/>
        <v>0.1673</v>
      </c>
      <c r="K30">
        <f t="shared" si="0"/>
        <v>0</v>
      </c>
      <c r="L30">
        <f t="shared" si="0"/>
        <v>0.1673</v>
      </c>
      <c r="M30">
        <f t="shared" si="0"/>
        <v>0.1673</v>
      </c>
    </row>
    <row r="31" spans="1:13" x14ac:dyDescent="0.3">
      <c r="A31" t="s">
        <v>1</v>
      </c>
      <c r="B31">
        <f t="shared" ref="B31:M41" si="1">_xlfn.NUMBERVALUE(MID(B17,2,FIND(";",B17,1)-2))</f>
        <v>7.0699999999999999E-2</v>
      </c>
      <c r="C31">
        <f t="shared" si="1"/>
        <v>0</v>
      </c>
      <c r="D31">
        <f t="shared" si="1"/>
        <v>0.28460000000000002</v>
      </c>
      <c r="E31">
        <f t="shared" si="1"/>
        <v>0</v>
      </c>
      <c r="F31">
        <f t="shared" si="1"/>
        <v>0.1673</v>
      </c>
      <c r="G31">
        <f t="shared" si="1"/>
        <v>0</v>
      </c>
      <c r="H31">
        <f t="shared" si="1"/>
        <v>7.0699999999999999E-2</v>
      </c>
      <c r="I31">
        <f t="shared" si="1"/>
        <v>0</v>
      </c>
      <c r="J31">
        <f t="shared" si="1"/>
        <v>0.1673</v>
      </c>
      <c r="K31">
        <f t="shared" si="1"/>
        <v>0.28460000000000002</v>
      </c>
      <c r="L31">
        <f t="shared" si="1"/>
        <v>0</v>
      </c>
      <c r="M31">
        <f t="shared" si="1"/>
        <v>0.18970000000000001</v>
      </c>
    </row>
    <row r="32" spans="1:13" x14ac:dyDescent="0.3">
      <c r="A32" t="s">
        <v>2</v>
      </c>
      <c r="B32">
        <f t="shared" si="1"/>
        <v>0.1673</v>
      </c>
      <c r="C32">
        <f t="shared" si="1"/>
        <v>0</v>
      </c>
      <c r="D32">
        <f t="shared" si="1"/>
        <v>0</v>
      </c>
      <c r="E32">
        <f t="shared" si="1"/>
        <v>0</v>
      </c>
      <c r="F32">
        <f t="shared" si="1"/>
        <v>0</v>
      </c>
      <c r="G32">
        <f t="shared" si="1"/>
        <v>7.0699999999999999E-2</v>
      </c>
      <c r="H32">
        <f t="shared" si="1"/>
        <v>7.0699999999999999E-2</v>
      </c>
      <c r="I32">
        <f t="shared" si="1"/>
        <v>0</v>
      </c>
      <c r="J32">
        <f t="shared" si="1"/>
        <v>0.28460000000000002</v>
      </c>
      <c r="K32">
        <f t="shared" si="1"/>
        <v>0.28460000000000002</v>
      </c>
      <c r="L32">
        <f t="shared" si="1"/>
        <v>0.18970000000000001</v>
      </c>
      <c r="M32">
        <f t="shared" si="1"/>
        <v>0.18970000000000001</v>
      </c>
    </row>
    <row r="33" spans="1:13" x14ac:dyDescent="0.3">
      <c r="A33" t="s">
        <v>3</v>
      </c>
      <c r="B33">
        <f t="shared" si="1"/>
        <v>0.18970000000000001</v>
      </c>
      <c r="C33">
        <f t="shared" si="1"/>
        <v>0.1673</v>
      </c>
      <c r="D33">
        <f t="shared" si="1"/>
        <v>0.251</v>
      </c>
      <c r="E33">
        <f t="shared" si="1"/>
        <v>0</v>
      </c>
      <c r="F33">
        <f t="shared" si="1"/>
        <v>0</v>
      </c>
      <c r="G33">
        <f t="shared" si="1"/>
        <v>0.18970000000000001</v>
      </c>
      <c r="H33">
        <f t="shared" si="1"/>
        <v>0.18970000000000001</v>
      </c>
      <c r="I33">
        <f t="shared" si="1"/>
        <v>0</v>
      </c>
      <c r="J33">
        <f t="shared" si="1"/>
        <v>0.18970000000000001</v>
      </c>
      <c r="K33">
        <f t="shared" si="1"/>
        <v>0.251</v>
      </c>
      <c r="L33">
        <f t="shared" si="1"/>
        <v>0.18970000000000001</v>
      </c>
      <c r="M33">
        <f t="shared" si="1"/>
        <v>0.18970000000000001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0</v>
      </c>
      <c r="D34">
        <f t="shared" si="2"/>
        <v>0</v>
      </c>
      <c r="E34">
        <f t="shared" si="2"/>
        <v>0</v>
      </c>
      <c r="F34">
        <f t="shared" si="2"/>
        <v>0</v>
      </c>
      <c r="G34">
        <f t="shared" si="2"/>
        <v>0.251</v>
      </c>
      <c r="H34">
        <f t="shared" si="2"/>
        <v>0</v>
      </c>
      <c r="I34">
        <f t="shared" si="2"/>
        <v>0</v>
      </c>
      <c r="J34">
        <f t="shared" si="2"/>
        <v>0.28460000000000002</v>
      </c>
      <c r="K34">
        <f t="shared" si="2"/>
        <v>0.18970000000000001</v>
      </c>
      <c r="L34">
        <f t="shared" si="2"/>
        <v>0</v>
      </c>
      <c r="M34">
        <f t="shared" si="2"/>
        <v>0</v>
      </c>
    </row>
    <row r="35" spans="1:13" x14ac:dyDescent="0.3">
      <c r="A35" t="s">
        <v>5</v>
      </c>
      <c r="B35">
        <f t="shared" si="1"/>
        <v>0</v>
      </c>
      <c r="C35">
        <f t="shared" si="1"/>
        <v>0</v>
      </c>
      <c r="D35">
        <f t="shared" si="1"/>
        <v>0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0</v>
      </c>
      <c r="J35">
        <f t="shared" si="1"/>
        <v>0</v>
      </c>
      <c r="K35">
        <f t="shared" si="1"/>
        <v>0</v>
      </c>
      <c r="L35">
        <f t="shared" si="1"/>
        <v>0</v>
      </c>
      <c r="M35">
        <f t="shared" si="1"/>
        <v>0</v>
      </c>
    </row>
    <row r="36" spans="1:13" x14ac:dyDescent="0.3">
      <c r="A36" t="s">
        <v>6</v>
      </c>
      <c r="B36">
        <f t="shared" si="1"/>
        <v>0</v>
      </c>
      <c r="C36">
        <f t="shared" si="1"/>
        <v>0</v>
      </c>
      <c r="D36">
        <f t="shared" si="1"/>
        <v>0</v>
      </c>
      <c r="E36">
        <f t="shared" si="1"/>
        <v>0</v>
      </c>
      <c r="F36">
        <f t="shared" si="1"/>
        <v>0</v>
      </c>
      <c r="G36">
        <f t="shared" si="1"/>
        <v>0</v>
      </c>
      <c r="H36">
        <f t="shared" si="1"/>
        <v>0</v>
      </c>
      <c r="I36">
        <f t="shared" si="1"/>
        <v>0</v>
      </c>
      <c r="J36">
        <f t="shared" si="1"/>
        <v>0</v>
      </c>
      <c r="K36">
        <f t="shared" si="1"/>
        <v>0.1673</v>
      </c>
      <c r="L36">
        <f t="shared" si="1"/>
        <v>0</v>
      </c>
      <c r="M36">
        <f t="shared" si="1"/>
        <v>0</v>
      </c>
    </row>
    <row r="37" spans="1:13" x14ac:dyDescent="0.3">
      <c r="A37" t="s">
        <v>7</v>
      </c>
      <c r="B37">
        <f t="shared" si="1"/>
        <v>0</v>
      </c>
      <c r="C37">
        <f t="shared" si="1"/>
        <v>0</v>
      </c>
      <c r="D37">
        <f t="shared" si="1"/>
        <v>0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0.18970000000000001</v>
      </c>
      <c r="K37">
        <f t="shared" si="1"/>
        <v>0.28460000000000002</v>
      </c>
      <c r="L37">
        <f t="shared" si="1"/>
        <v>0.28460000000000002</v>
      </c>
      <c r="M37">
        <f t="shared" si="1"/>
        <v>0.18970000000000001</v>
      </c>
    </row>
    <row r="38" spans="1:13" x14ac:dyDescent="0.3">
      <c r="A38" t="s">
        <v>8</v>
      </c>
      <c r="B38">
        <f t="shared" si="1"/>
        <v>0.1673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0</v>
      </c>
      <c r="I38">
        <f t="shared" si="1"/>
        <v>0</v>
      </c>
      <c r="J38">
        <f t="shared" si="1"/>
        <v>0</v>
      </c>
      <c r="K38">
        <f t="shared" si="1"/>
        <v>0.28460000000000002</v>
      </c>
      <c r="L38">
        <f t="shared" si="1"/>
        <v>0.28460000000000002</v>
      </c>
      <c r="M38">
        <f t="shared" si="1"/>
        <v>0.28460000000000002</v>
      </c>
    </row>
    <row r="39" spans="1:13" x14ac:dyDescent="0.3">
      <c r="A39" t="s">
        <v>9</v>
      </c>
      <c r="B39">
        <f t="shared" si="1"/>
        <v>0</v>
      </c>
      <c r="C39">
        <f t="shared" si="1"/>
        <v>0</v>
      </c>
      <c r="D39">
        <f t="shared" si="1"/>
        <v>0</v>
      </c>
      <c r="E39">
        <f t="shared" si="1"/>
        <v>0</v>
      </c>
      <c r="F39">
        <f t="shared" si="1"/>
        <v>0</v>
      </c>
      <c r="G39">
        <f t="shared" si="1"/>
        <v>0</v>
      </c>
      <c r="H39">
        <f t="shared" si="1"/>
        <v>0</v>
      </c>
      <c r="I39">
        <f t="shared" si="1"/>
        <v>0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0</v>
      </c>
    </row>
    <row r="40" spans="1:13" x14ac:dyDescent="0.3">
      <c r="A40" t="s">
        <v>10</v>
      </c>
      <c r="B40">
        <f t="shared" si="1"/>
        <v>0</v>
      </c>
      <c r="C40">
        <f t="shared" si="1"/>
        <v>0</v>
      </c>
      <c r="D40">
        <f t="shared" si="1"/>
        <v>0</v>
      </c>
      <c r="E40">
        <f t="shared" si="1"/>
        <v>0</v>
      </c>
      <c r="F40">
        <f t="shared" si="1"/>
        <v>0</v>
      </c>
      <c r="G40">
        <f t="shared" si="1"/>
        <v>0</v>
      </c>
      <c r="H40">
        <f t="shared" si="1"/>
        <v>0</v>
      </c>
      <c r="I40">
        <f t="shared" si="1"/>
        <v>0</v>
      </c>
      <c r="J40">
        <f t="shared" si="1"/>
        <v>0</v>
      </c>
      <c r="K40">
        <f t="shared" si="1"/>
        <v>0</v>
      </c>
      <c r="L40">
        <f t="shared" si="1"/>
        <v>0</v>
      </c>
      <c r="M40">
        <f t="shared" si="1"/>
        <v>0.18970000000000001</v>
      </c>
    </row>
    <row r="41" spans="1:13" x14ac:dyDescent="0.3">
      <c r="A41" t="s">
        <v>11</v>
      </c>
      <c r="B41">
        <f t="shared" si="1"/>
        <v>0</v>
      </c>
      <c r="C41">
        <f t="shared" si="1"/>
        <v>0</v>
      </c>
      <c r="D41">
        <f t="shared" si="1"/>
        <v>0</v>
      </c>
      <c r="E41">
        <f t="shared" si="1"/>
        <v>0</v>
      </c>
      <c r="F41">
        <f t="shared" si="1"/>
        <v>0</v>
      </c>
      <c r="G41">
        <f t="shared" si="1"/>
        <v>0</v>
      </c>
      <c r="H41">
        <f t="shared" si="1"/>
        <v>0</v>
      </c>
      <c r="I41">
        <f t="shared" si="1"/>
        <v>0</v>
      </c>
      <c r="J41">
        <f t="shared" si="1"/>
        <v>0</v>
      </c>
      <c r="K41">
        <f t="shared" si="1"/>
        <v>0</v>
      </c>
      <c r="L41">
        <f t="shared" si="1"/>
        <v>0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5.4800000000000001E-2</v>
      </c>
      <c r="D44">
        <f t="shared" si="3"/>
        <v>0.1673</v>
      </c>
      <c r="E44">
        <f t="shared" si="3"/>
        <v>0.28460000000000002</v>
      </c>
      <c r="F44">
        <f t="shared" si="3"/>
        <v>0</v>
      </c>
      <c r="G44">
        <f t="shared" si="3"/>
        <v>0.3347</v>
      </c>
      <c r="H44">
        <f t="shared" si="3"/>
        <v>0.28460000000000002</v>
      </c>
      <c r="I44">
        <f t="shared" si="3"/>
        <v>0.251</v>
      </c>
      <c r="J44">
        <f t="shared" si="3"/>
        <v>0.251</v>
      </c>
      <c r="K44">
        <f t="shared" si="3"/>
        <v>7.0699999999999999E-2</v>
      </c>
      <c r="L44">
        <f t="shared" si="3"/>
        <v>0.251</v>
      </c>
      <c r="M44">
        <f t="shared" si="3"/>
        <v>0.251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0.1414</v>
      </c>
      <c r="C45">
        <f t="shared" si="4"/>
        <v>0</v>
      </c>
      <c r="D45">
        <f t="shared" si="4"/>
        <v>0.3795</v>
      </c>
      <c r="E45">
        <f t="shared" si="4"/>
        <v>0</v>
      </c>
      <c r="F45">
        <f t="shared" si="4"/>
        <v>0.251</v>
      </c>
      <c r="G45">
        <f t="shared" si="4"/>
        <v>0</v>
      </c>
      <c r="H45">
        <f t="shared" si="4"/>
        <v>0.1414</v>
      </c>
      <c r="I45">
        <f t="shared" si="4"/>
        <v>0</v>
      </c>
      <c r="J45">
        <f t="shared" si="4"/>
        <v>0.251</v>
      </c>
      <c r="K45">
        <f t="shared" si="4"/>
        <v>0.3795</v>
      </c>
      <c r="L45">
        <f t="shared" si="4"/>
        <v>5.4800000000000001E-2</v>
      </c>
      <c r="M45">
        <f t="shared" si="4"/>
        <v>0.28460000000000002</v>
      </c>
    </row>
    <row r="46" spans="1:13" x14ac:dyDescent="0.3">
      <c r="A46" t="s">
        <v>2</v>
      </c>
      <c r="B46">
        <f t="shared" si="4"/>
        <v>0.251</v>
      </c>
      <c r="C46">
        <f t="shared" si="4"/>
        <v>0</v>
      </c>
      <c r="D46">
        <f t="shared" si="4"/>
        <v>0</v>
      </c>
      <c r="E46">
        <f t="shared" si="4"/>
        <v>0</v>
      </c>
      <c r="F46">
        <f t="shared" si="4"/>
        <v>0</v>
      </c>
      <c r="G46">
        <f t="shared" si="4"/>
        <v>0.1414</v>
      </c>
      <c r="H46">
        <f t="shared" si="4"/>
        <v>0.1414</v>
      </c>
      <c r="I46">
        <f t="shared" si="4"/>
        <v>0</v>
      </c>
      <c r="J46">
        <f t="shared" si="4"/>
        <v>0.3795</v>
      </c>
      <c r="K46">
        <f t="shared" si="4"/>
        <v>0.3795</v>
      </c>
      <c r="L46">
        <f t="shared" si="4"/>
        <v>0.28460000000000002</v>
      </c>
      <c r="M46">
        <f t="shared" si="4"/>
        <v>0.28460000000000002</v>
      </c>
    </row>
    <row r="47" spans="1:13" x14ac:dyDescent="0.3">
      <c r="A47" t="s">
        <v>3</v>
      </c>
      <c r="B47">
        <f t="shared" si="4"/>
        <v>0.28460000000000002</v>
      </c>
      <c r="C47">
        <f t="shared" si="4"/>
        <v>0.251</v>
      </c>
      <c r="D47">
        <f t="shared" si="4"/>
        <v>0.3347</v>
      </c>
      <c r="E47">
        <f t="shared" si="4"/>
        <v>0</v>
      </c>
      <c r="F47">
        <f t="shared" si="4"/>
        <v>0</v>
      </c>
      <c r="G47">
        <f t="shared" si="4"/>
        <v>0.28460000000000002</v>
      </c>
      <c r="H47">
        <f t="shared" si="4"/>
        <v>0.28460000000000002</v>
      </c>
      <c r="I47">
        <f t="shared" si="4"/>
        <v>0</v>
      </c>
      <c r="J47">
        <f t="shared" si="4"/>
        <v>0.28460000000000002</v>
      </c>
      <c r="K47">
        <f t="shared" si="4"/>
        <v>0.3347</v>
      </c>
      <c r="L47">
        <f t="shared" si="4"/>
        <v>0.28460000000000002</v>
      </c>
      <c r="M47">
        <f t="shared" si="4"/>
        <v>0.28460000000000002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0</v>
      </c>
      <c r="C48">
        <f t="shared" si="5"/>
        <v>7.0699999999999999E-2</v>
      </c>
      <c r="D48">
        <f t="shared" si="5"/>
        <v>7.0699999999999999E-2</v>
      </c>
      <c r="E48">
        <f t="shared" si="5"/>
        <v>0</v>
      </c>
      <c r="F48">
        <f t="shared" si="5"/>
        <v>0</v>
      </c>
      <c r="G48">
        <f t="shared" si="5"/>
        <v>0.3347</v>
      </c>
      <c r="H48">
        <f t="shared" si="5"/>
        <v>8.3699999999999997E-2</v>
      </c>
      <c r="I48">
        <f t="shared" si="5"/>
        <v>7.0699999999999999E-2</v>
      </c>
      <c r="J48">
        <f t="shared" si="5"/>
        <v>0.3795</v>
      </c>
      <c r="K48">
        <f t="shared" si="5"/>
        <v>0.28460000000000002</v>
      </c>
      <c r="L48">
        <f t="shared" si="5"/>
        <v>8.3699999999999997E-2</v>
      </c>
      <c r="M48">
        <f t="shared" si="5"/>
        <v>3.1600000000000003E-2</v>
      </c>
    </row>
    <row r="49" spans="1:13" x14ac:dyDescent="0.3">
      <c r="A49" t="s">
        <v>5</v>
      </c>
      <c r="B49">
        <f t="shared" si="4"/>
        <v>7.0699999999999999E-2</v>
      </c>
      <c r="C49">
        <f t="shared" si="4"/>
        <v>0</v>
      </c>
      <c r="D49">
        <f t="shared" si="4"/>
        <v>7.0699999999999999E-2</v>
      </c>
      <c r="E49">
        <f t="shared" si="4"/>
        <v>5.4800000000000001E-2</v>
      </c>
      <c r="F49">
        <f t="shared" si="4"/>
        <v>0</v>
      </c>
      <c r="G49">
        <f t="shared" si="4"/>
        <v>0</v>
      </c>
      <c r="H49">
        <f t="shared" si="4"/>
        <v>7.0699999999999999E-2</v>
      </c>
      <c r="I49">
        <f t="shared" si="4"/>
        <v>3.1600000000000003E-2</v>
      </c>
      <c r="J49">
        <f t="shared" si="4"/>
        <v>8.3699999999999997E-2</v>
      </c>
      <c r="K49">
        <f t="shared" si="4"/>
        <v>0</v>
      </c>
      <c r="L49">
        <f t="shared" si="4"/>
        <v>0</v>
      </c>
      <c r="M49">
        <f t="shared" si="4"/>
        <v>5.4800000000000001E-2</v>
      </c>
    </row>
    <row r="50" spans="1:13" x14ac:dyDescent="0.3">
      <c r="A50" t="s">
        <v>6</v>
      </c>
      <c r="B50">
        <f t="shared" si="4"/>
        <v>0</v>
      </c>
      <c r="C50">
        <f t="shared" si="4"/>
        <v>0</v>
      </c>
      <c r="D50">
        <f t="shared" si="4"/>
        <v>0</v>
      </c>
      <c r="E50">
        <f t="shared" si="4"/>
        <v>0</v>
      </c>
      <c r="F50">
        <f t="shared" si="4"/>
        <v>0</v>
      </c>
      <c r="G50">
        <f t="shared" si="4"/>
        <v>0</v>
      </c>
      <c r="H50">
        <f t="shared" si="4"/>
        <v>0</v>
      </c>
      <c r="I50">
        <f t="shared" si="4"/>
        <v>0</v>
      </c>
      <c r="J50">
        <f t="shared" si="4"/>
        <v>5.4800000000000001E-2</v>
      </c>
      <c r="K50">
        <f t="shared" si="4"/>
        <v>0.251</v>
      </c>
      <c r="L50">
        <f t="shared" si="4"/>
        <v>0</v>
      </c>
      <c r="M50">
        <f t="shared" si="4"/>
        <v>0</v>
      </c>
    </row>
    <row r="51" spans="1:13" x14ac:dyDescent="0.3">
      <c r="A51" t="s">
        <v>7</v>
      </c>
      <c r="B51">
        <f t="shared" si="4"/>
        <v>8.3699999999999997E-2</v>
      </c>
      <c r="C51">
        <f t="shared" si="4"/>
        <v>0</v>
      </c>
      <c r="D51">
        <f t="shared" si="4"/>
        <v>7.0699999999999999E-2</v>
      </c>
      <c r="E51">
        <f t="shared" si="4"/>
        <v>0</v>
      </c>
      <c r="F51">
        <f t="shared" si="4"/>
        <v>0</v>
      </c>
      <c r="G51">
        <f t="shared" si="4"/>
        <v>5.4800000000000001E-2</v>
      </c>
      <c r="H51">
        <f t="shared" si="4"/>
        <v>3.1600000000000003E-2</v>
      </c>
      <c r="I51">
        <f t="shared" si="4"/>
        <v>0</v>
      </c>
      <c r="J51">
        <f t="shared" si="4"/>
        <v>0.28460000000000002</v>
      </c>
      <c r="K51">
        <f t="shared" si="4"/>
        <v>0.3795</v>
      </c>
      <c r="L51">
        <f t="shared" si="4"/>
        <v>0.3795</v>
      </c>
      <c r="M51">
        <f t="shared" si="4"/>
        <v>0.28460000000000002</v>
      </c>
    </row>
    <row r="52" spans="1:13" x14ac:dyDescent="0.3">
      <c r="A52" t="s">
        <v>8</v>
      </c>
      <c r="B52">
        <f t="shared" si="4"/>
        <v>0.251</v>
      </c>
      <c r="C52">
        <f t="shared" si="4"/>
        <v>0</v>
      </c>
      <c r="D52">
        <f t="shared" si="4"/>
        <v>0</v>
      </c>
      <c r="E52">
        <f t="shared" si="4"/>
        <v>0</v>
      </c>
      <c r="F52">
        <f t="shared" si="4"/>
        <v>0</v>
      </c>
      <c r="G52">
        <f t="shared" si="4"/>
        <v>0</v>
      </c>
      <c r="H52">
        <f t="shared" si="4"/>
        <v>0</v>
      </c>
      <c r="I52">
        <f t="shared" si="4"/>
        <v>0</v>
      </c>
      <c r="J52">
        <f t="shared" si="4"/>
        <v>0</v>
      </c>
      <c r="K52">
        <f t="shared" si="4"/>
        <v>0.3795</v>
      </c>
      <c r="L52">
        <f t="shared" si="4"/>
        <v>0.3795</v>
      </c>
      <c r="M52">
        <f t="shared" si="4"/>
        <v>0.3795</v>
      </c>
    </row>
    <row r="53" spans="1:13" x14ac:dyDescent="0.3">
      <c r="A53" t="s">
        <v>9</v>
      </c>
      <c r="B53">
        <f t="shared" si="4"/>
        <v>5.4800000000000001E-2</v>
      </c>
      <c r="C53">
        <f t="shared" si="4"/>
        <v>8.3699999999999997E-2</v>
      </c>
      <c r="D53">
        <f t="shared" si="4"/>
        <v>0</v>
      </c>
      <c r="E53">
        <f t="shared" si="4"/>
        <v>0</v>
      </c>
      <c r="F53">
        <f t="shared" si="4"/>
        <v>8.3699999999999997E-2</v>
      </c>
      <c r="G53">
        <f t="shared" si="4"/>
        <v>7.0699999999999999E-2</v>
      </c>
      <c r="H53">
        <f t="shared" si="4"/>
        <v>0</v>
      </c>
      <c r="I53">
        <f t="shared" si="4"/>
        <v>0</v>
      </c>
      <c r="J53">
        <f t="shared" si="4"/>
        <v>0</v>
      </c>
      <c r="K53">
        <f t="shared" si="4"/>
        <v>0</v>
      </c>
      <c r="L53">
        <f t="shared" si="4"/>
        <v>8.3699999999999997E-2</v>
      </c>
      <c r="M53">
        <f t="shared" si="4"/>
        <v>0</v>
      </c>
    </row>
    <row r="54" spans="1:13" x14ac:dyDescent="0.3">
      <c r="A54" t="s">
        <v>10</v>
      </c>
      <c r="B54">
        <f t="shared" si="4"/>
        <v>0</v>
      </c>
      <c r="C54">
        <f t="shared" si="4"/>
        <v>0</v>
      </c>
      <c r="D54">
        <f t="shared" si="4"/>
        <v>5.4800000000000001E-2</v>
      </c>
      <c r="E54">
        <f t="shared" si="4"/>
        <v>0</v>
      </c>
      <c r="F54">
        <f t="shared" si="4"/>
        <v>0</v>
      </c>
      <c r="G54">
        <f t="shared" si="4"/>
        <v>5.4800000000000001E-2</v>
      </c>
      <c r="H54">
        <f t="shared" si="4"/>
        <v>7.0699999999999999E-2</v>
      </c>
      <c r="I54">
        <f t="shared" si="4"/>
        <v>0</v>
      </c>
      <c r="J54">
        <f t="shared" si="4"/>
        <v>5.4800000000000001E-2</v>
      </c>
      <c r="K54">
        <f t="shared" si="4"/>
        <v>0</v>
      </c>
      <c r="L54">
        <f t="shared" si="4"/>
        <v>0</v>
      </c>
      <c r="M54">
        <f t="shared" si="4"/>
        <v>0.28460000000000002</v>
      </c>
    </row>
    <row r="55" spans="1:13" x14ac:dyDescent="0.3">
      <c r="A55" t="s">
        <v>11</v>
      </c>
      <c r="B55">
        <f t="shared" si="4"/>
        <v>5.4800000000000001E-2</v>
      </c>
      <c r="C55">
        <f t="shared" si="4"/>
        <v>7.0699999999999999E-2</v>
      </c>
      <c r="D55">
        <f t="shared" si="4"/>
        <v>7.0699999999999999E-2</v>
      </c>
      <c r="E55">
        <f t="shared" si="4"/>
        <v>0</v>
      </c>
      <c r="F55">
        <f t="shared" si="4"/>
        <v>0</v>
      </c>
      <c r="G55">
        <f t="shared" si="4"/>
        <v>0</v>
      </c>
      <c r="H55">
        <f t="shared" si="4"/>
        <v>5.4800000000000001E-2</v>
      </c>
      <c r="I55">
        <f t="shared" si="4"/>
        <v>0</v>
      </c>
      <c r="J55">
        <f t="shared" si="4"/>
        <v>0</v>
      </c>
      <c r="K55">
        <f t="shared" si="4"/>
        <v>0</v>
      </c>
      <c r="L55">
        <f t="shared" si="4"/>
        <v>0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0.1095</v>
      </c>
      <c r="D58">
        <f t="shared" si="6"/>
        <v>0.251</v>
      </c>
      <c r="E58">
        <f t="shared" si="6"/>
        <v>0.3795</v>
      </c>
      <c r="F58">
        <f t="shared" si="6"/>
        <v>7.0699999999999999E-2</v>
      </c>
      <c r="G58">
        <f t="shared" si="6"/>
        <v>0.3347</v>
      </c>
      <c r="H58">
        <f t="shared" si="6"/>
        <v>0.3795</v>
      </c>
      <c r="I58">
        <f t="shared" si="6"/>
        <v>0.3347</v>
      </c>
      <c r="J58">
        <f t="shared" si="6"/>
        <v>0.3347</v>
      </c>
      <c r="K58">
        <f t="shared" si="6"/>
        <v>0.1414</v>
      </c>
      <c r="L58">
        <f t="shared" si="6"/>
        <v>0.3347</v>
      </c>
      <c r="M58">
        <f t="shared" si="6"/>
        <v>0.3347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0.21210000000000001</v>
      </c>
      <c r="C59">
        <f t="shared" si="7"/>
        <v>0</v>
      </c>
      <c r="D59">
        <f t="shared" si="7"/>
        <v>0.3795</v>
      </c>
      <c r="E59">
        <f t="shared" si="7"/>
        <v>5.4800000000000001E-2</v>
      </c>
      <c r="F59">
        <f t="shared" si="7"/>
        <v>0.3347</v>
      </c>
      <c r="G59">
        <f t="shared" si="7"/>
        <v>3.1600000000000003E-2</v>
      </c>
      <c r="H59">
        <f t="shared" si="7"/>
        <v>0.21210000000000001</v>
      </c>
      <c r="I59">
        <f t="shared" si="7"/>
        <v>7.0699999999999999E-2</v>
      </c>
      <c r="J59">
        <f t="shared" si="7"/>
        <v>0.3347</v>
      </c>
      <c r="K59">
        <f t="shared" si="7"/>
        <v>0.3795</v>
      </c>
      <c r="L59">
        <f t="shared" si="7"/>
        <v>0.1095</v>
      </c>
      <c r="M59">
        <f t="shared" si="7"/>
        <v>0.3795</v>
      </c>
    </row>
    <row r="60" spans="1:13" x14ac:dyDescent="0.3">
      <c r="A60" t="s">
        <v>2</v>
      </c>
      <c r="B60">
        <f t="shared" si="7"/>
        <v>0.3347</v>
      </c>
      <c r="C60">
        <f t="shared" si="7"/>
        <v>8.3699999999999997E-2</v>
      </c>
      <c r="D60">
        <f t="shared" si="7"/>
        <v>0</v>
      </c>
      <c r="E60">
        <f t="shared" si="7"/>
        <v>3.1600000000000003E-2</v>
      </c>
      <c r="F60">
        <f t="shared" si="7"/>
        <v>3.1600000000000003E-2</v>
      </c>
      <c r="G60">
        <f t="shared" si="7"/>
        <v>0.21210000000000001</v>
      </c>
      <c r="H60">
        <f t="shared" si="7"/>
        <v>0.21210000000000001</v>
      </c>
      <c r="I60">
        <f t="shared" si="7"/>
        <v>7.0699999999999999E-2</v>
      </c>
      <c r="J60">
        <f t="shared" si="7"/>
        <v>0.3795</v>
      </c>
      <c r="K60">
        <f t="shared" si="7"/>
        <v>0.3795</v>
      </c>
      <c r="L60">
        <f t="shared" si="7"/>
        <v>0.3795</v>
      </c>
      <c r="M60">
        <f t="shared" si="7"/>
        <v>0.3795</v>
      </c>
    </row>
    <row r="61" spans="1:13" x14ac:dyDescent="0.3">
      <c r="A61" t="s">
        <v>3</v>
      </c>
      <c r="B61">
        <f t="shared" si="7"/>
        <v>0.3795</v>
      </c>
      <c r="C61">
        <f t="shared" si="7"/>
        <v>0.3347</v>
      </c>
      <c r="D61">
        <f t="shared" si="7"/>
        <v>0.3347</v>
      </c>
      <c r="E61">
        <f t="shared" si="7"/>
        <v>0</v>
      </c>
      <c r="F61">
        <f t="shared" si="7"/>
        <v>7.0699999999999999E-2</v>
      </c>
      <c r="G61">
        <f t="shared" si="7"/>
        <v>0.3795</v>
      </c>
      <c r="H61">
        <f t="shared" si="7"/>
        <v>0.3795</v>
      </c>
      <c r="I61">
        <f t="shared" si="7"/>
        <v>7.0699999999999999E-2</v>
      </c>
      <c r="J61">
        <f t="shared" si="7"/>
        <v>0.3795</v>
      </c>
      <c r="K61">
        <f t="shared" si="7"/>
        <v>0.3347</v>
      </c>
      <c r="L61">
        <f t="shared" si="7"/>
        <v>0.3795</v>
      </c>
      <c r="M61">
        <f t="shared" si="7"/>
        <v>0.3795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7.0699999999999999E-2</v>
      </c>
      <c r="C62">
        <f t="shared" si="8"/>
        <v>0.1414</v>
      </c>
      <c r="D62">
        <f t="shared" si="8"/>
        <v>0.1414</v>
      </c>
      <c r="E62">
        <f t="shared" si="8"/>
        <v>7.0699999999999999E-2</v>
      </c>
      <c r="F62">
        <f t="shared" si="8"/>
        <v>0</v>
      </c>
      <c r="G62">
        <f t="shared" si="8"/>
        <v>0.3347</v>
      </c>
      <c r="H62">
        <f t="shared" si="8"/>
        <v>0.1673</v>
      </c>
      <c r="I62">
        <f t="shared" si="8"/>
        <v>0.1414</v>
      </c>
      <c r="J62">
        <f t="shared" si="8"/>
        <v>0.3795</v>
      </c>
      <c r="K62">
        <f t="shared" si="8"/>
        <v>0.3795</v>
      </c>
      <c r="L62">
        <f t="shared" si="8"/>
        <v>0.1673</v>
      </c>
      <c r="M62">
        <f t="shared" si="8"/>
        <v>6.3200000000000006E-2</v>
      </c>
    </row>
    <row r="63" spans="1:13" x14ac:dyDescent="0.3">
      <c r="A63" t="s">
        <v>5</v>
      </c>
      <c r="B63">
        <f t="shared" si="7"/>
        <v>0.1414</v>
      </c>
      <c r="C63">
        <f t="shared" si="7"/>
        <v>5.4800000000000001E-2</v>
      </c>
      <c r="D63">
        <f t="shared" si="7"/>
        <v>0.1414</v>
      </c>
      <c r="E63">
        <f t="shared" si="7"/>
        <v>0.1095</v>
      </c>
      <c r="F63">
        <f t="shared" si="7"/>
        <v>7.0699999999999999E-2</v>
      </c>
      <c r="G63">
        <f t="shared" si="7"/>
        <v>0</v>
      </c>
      <c r="H63">
        <f t="shared" si="7"/>
        <v>0.1414</v>
      </c>
      <c r="I63">
        <f t="shared" si="7"/>
        <v>6.3200000000000006E-2</v>
      </c>
      <c r="J63">
        <f t="shared" si="7"/>
        <v>0.1673</v>
      </c>
      <c r="K63">
        <f t="shared" si="7"/>
        <v>5.4800000000000001E-2</v>
      </c>
      <c r="L63">
        <f t="shared" si="7"/>
        <v>8.3699999999999997E-2</v>
      </c>
      <c r="M63">
        <f t="shared" si="7"/>
        <v>0.1095</v>
      </c>
    </row>
    <row r="64" spans="1:13" x14ac:dyDescent="0.3">
      <c r="A64" t="s">
        <v>6</v>
      </c>
      <c r="B64">
        <f t="shared" si="7"/>
        <v>5.4800000000000001E-2</v>
      </c>
      <c r="C64">
        <f t="shared" si="7"/>
        <v>5.4800000000000001E-2</v>
      </c>
      <c r="D64">
        <f t="shared" si="7"/>
        <v>7.0699999999999999E-2</v>
      </c>
      <c r="E64">
        <f t="shared" si="7"/>
        <v>8.3699999999999997E-2</v>
      </c>
      <c r="F64">
        <f t="shared" si="7"/>
        <v>8.3699999999999997E-2</v>
      </c>
      <c r="G64">
        <f t="shared" si="7"/>
        <v>5.4800000000000001E-2</v>
      </c>
      <c r="H64">
        <f t="shared" si="7"/>
        <v>0</v>
      </c>
      <c r="I64">
        <f t="shared" si="7"/>
        <v>7.0699999999999999E-2</v>
      </c>
      <c r="J64">
        <f t="shared" si="7"/>
        <v>0.1095</v>
      </c>
      <c r="K64">
        <f t="shared" si="7"/>
        <v>0.3347</v>
      </c>
      <c r="L64">
        <f t="shared" si="7"/>
        <v>7.0699999999999999E-2</v>
      </c>
      <c r="M64">
        <f t="shared" si="7"/>
        <v>7.0699999999999999E-2</v>
      </c>
    </row>
    <row r="65" spans="1:13" x14ac:dyDescent="0.3">
      <c r="A65" t="s">
        <v>7</v>
      </c>
      <c r="B65">
        <f t="shared" si="7"/>
        <v>0.1673</v>
      </c>
      <c r="C65">
        <f t="shared" si="7"/>
        <v>5.4800000000000001E-2</v>
      </c>
      <c r="D65">
        <f t="shared" si="7"/>
        <v>0.1414</v>
      </c>
      <c r="E65">
        <f t="shared" si="7"/>
        <v>7.0699999999999999E-2</v>
      </c>
      <c r="F65">
        <f t="shared" si="7"/>
        <v>7.0699999999999999E-2</v>
      </c>
      <c r="G65">
        <f t="shared" si="7"/>
        <v>0.1095</v>
      </c>
      <c r="H65">
        <f t="shared" si="7"/>
        <v>6.3200000000000006E-2</v>
      </c>
      <c r="I65">
        <f t="shared" si="7"/>
        <v>0</v>
      </c>
      <c r="J65">
        <f t="shared" si="7"/>
        <v>0.3795</v>
      </c>
      <c r="K65">
        <f t="shared" si="7"/>
        <v>0.3795</v>
      </c>
      <c r="L65">
        <f t="shared" si="7"/>
        <v>0.3795</v>
      </c>
      <c r="M65">
        <f t="shared" si="7"/>
        <v>0.3795</v>
      </c>
    </row>
    <row r="66" spans="1:13" x14ac:dyDescent="0.3">
      <c r="A66" t="s">
        <v>8</v>
      </c>
      <c r="B66">
        <f t="shared" si="7"/>
        <v>0.3347</v>
      </c>
      <c r="C66">
        <f t="shared" si="7"/>
        <v>5.4800000000000001E-2</v>
      </c>
      <c r="D66">
        <f t="shared" si="7"/>
        <v>7.0699999999999999E-2</v>
      </c>
      <c r="E66">
        <f t="shared" si="7"/>
        <v>7.0699999999999999E-2</v>
      </c>
      <c r="F66">
        <f t="shared" si="7"/>
        <v>5.4800000000000001E-2</v>
      </c>
      <c r="G66">
        <f t="shared" si="7"/>
        <v>8.3699999999999997E-2</v>
      </c>
      <c r="H66">
        <f t="shared" si="7"/>
        <v>5.4800000000000001E-2</v>
      </c>
      <c r="I66">
        <f t="shared" si="7"/>
        <v>5.4800000000000001E-2</v>
      </c>
      <c r="J66">
        <f t="shared" si="7"/>
        <v>0</v>
      </c>
      <c r="K66">
        <f t="shared" si="7"/>
        <v>0.3795</v>
      </c>
      <c r="L66">
        <f t="shared" si="7"/>
        <v>0.3795</v>
      </c>
      <c r="M66">
        <f t="shared" si="7"/>
        <v>0.3795</v>
      </c>
    </row>
    <row r="67" spans="1:13" x14ac:dyDescent="0.3">
      <c r="A67" t="s">
        <v>9</v>
      </c>
      <c r="B67">
        <f t="shared" si="7"/>
        <v>0.1095</v>
      </c>
      <c r="C67">
        <f t="shared" si="7"/>
        <v>0.1673</v>
      </c>
      <c r="D67">
        <f t="shared" si="7"/>
        <v>5.4800000000000001E-2</v>
      </c>
      <c r="E67">
        <f t="shared" si="7"/>
        <v>5.4800000000000001E-2</v>
      </c>
      <c r="F67">
        <f t="shared" si="7"/>
        <v>0.1673</v>
      </c>
      <c r="G67">
        <f t="shared" si="7"/>
        <v>0.1414</v>
      </c>
      <c r="H67">
        <f t="shared" si="7"/>
        <v>3.1600000000000003E-2</v>
      </c>
      <c r="I67">
        <f t="shared" si="7"/>
        <v>8.3699999999999997E-2</v>
      </c>
      <c r="J67">
        <f t="shared" si="7"/>
        <v>5.4800000000000001E-2</v>
      </c>
      <c r="K67">
        <f t="shared" si="7"/>
        <v>0</v>
      </c>
      <c r="L67">
        <f t="shared" si="7"/>
        <v>0.1673</v>
      </c>
      <c r="M67">
        <f t="shared" si="7"/>
        <v>7.0699999999999999E-2</v>
      </c>
    </row>
    <row r="68" spans="1:13" x14ac:dyDescent="0.3">
      <c r="A68" t="s">
        <v>10</v>
      </c>
      <c r="B68">
        <f t="shared" si="7"/>
        <v>5.4800000000000001E-2</v>
      </c>
      <c r="C68">
        <f t="shared" si="7"/>
        <v>7.0699999999999999E-2</v>
      </c>
      <c r="D68">
        <f t="shared" si="7"/>
        <v>0.1095</v>
      </c>
      <c r="E68">
        <f t="shared" si="7"/>
        <v>8.3699999999999997E-2</v>
      </c>
      <c r="F68">
        <f t="shared" si="7"/>
        <v>7.0699999999999999E-2</v>
      </c>
      <c r="G68">
        <f t="shared" si="7"/>
        <v>0.1095</v>
      </c>
      <c r="H68">
        <f t="shared" si="7"/>
        <v>0.1414</v>
      </c>
      <c r="I68">
        <f t="shared" si="7"/>
        <v>8.3699999999999997E-2</v>
      </c>
      <c r="J68">
        <f t="shared" si="7"/>
        <v>0.1095</v>
      </c>
      <c r="K68">
        <f t="shared" si="7"/>
        <v>7.0699999999999999E-2</v>
      </c>
      <c r="L68">
        <f t="shared" si="7"/>
        <v>0</v>
      </c>
      <c r="M68">
        <f t="shared" si="7"/>
        <v>0.3795</v>
      </c>
    </row>
    <row r="69" spans="1:13" x14ac:dyDescent="0.3">
      <c r="A69" t="s">
        <v>11</v>
      </c>
      <c r="B69">
        <f t="shared" si="7"/>
        <v>0.1095</v>
      </c>
      <c r="C69">
        <f t="shared" si="7"/>
        <v>0.1414</v>
      </c>
      <c r="D69">
        <f t="shared" si="7"/>
        <v>0.1414</v>
      </c>
      <c r="E69">
        <f t="shared" si="7"/>
        <v>8.3699999999999997E-2</v>
      </c>
      <c r="F69">
        <f t="shared" si="7"/>
        <v>5.4800000000000001E-2</v>
      </c>
      <c r="G69">
        <f t="shared" si="7"/>
        <v>8.3699999999999997E-2</v>
      </c>
      <c r="H69">
        <f t="shared" si="7"/>
        <v>0.1095</v>
      </c>
      <c r="I69">
        <f t="shared" si="7"/>
        <v>7.0699999999999999E-2</v>
      </c>
      <c r="J69">
        <f t="shared" si="7"/>
        <v>7.0699999999999999E-2</v>
      </c>
      <c r="K69">
        <f t="shared" si="7"/>
        <v>8.3699999999999997E-2</v>
      </c>
      <c r="L69">
        <f t="shared" si="7"/>
        <v>3.1600000000000003E-2</v>
      </c>
      <c r="M69">
        <f t="shared" si="7"/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7"/>
  <dimension ref="A1:M69"/>
  <sheetViews>
    <sheetView workbookViewId="0">
      <selection activeCell="A15" sqref="A15:M69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12</v>
      </c>
      <c r="D2" t="s">
        <v>12</v>
      </c>
      <c r="E2" t="s">
        <v>13</v>
      </c>
      <c r="F2" t="s">
        <v>13</v>
      </c>
      <c r="G2" t="s">
        <v>13</v>
      </c>
      <c r="H2" t="s">
        <v>16</v>
      </c>
      <c r="I2" t="s">
        <v>18</v>
      </c>
      <c r="J2" t="s">
        <v>12</v>
      </c>
      <c r="K2" t="s">
        <v>12</v>
      </c>
      <c r="L2" t="s">
        <v>71</v>
      </c>
      <c r="M2" t="s">
        <v>13</v>
      </c>
    </row>
    <row r="3" spans="1:13" x14ac:dyDescent="0.3">
      <c r="A3" s="1" t="s">
        <v>1</v>
      </c>
      <c r="B3" t="s">
        <v>20</v>
      </c>
      <c r="C3">
        <v>0</v>
      </c>
      <c r="D3" t="s">
        <v>18</v>
      </c>
      <c r="E3" t="s">
        <v>22</v>
      </c>
      <c r="F3" t="s">
        <v>15</v>
      </c>
      <c r="G3" t="s">
        <v>19</v>
      </c>
      <c r="H3" t="s">
        <v>15</v>
      </c>
      <c r="I3" t="s">
        <v>22</v>
      </c>
      <c r="J3" t="s">
        <v>12</v>
      </c>
      <c r="K3" t="s">
        <v>25</v>
      </c>
      <c r="L3" t="s">
        <v>19</v>
      </c>
      <c r="M3" t="s">
        <v>12</v>
      </c>
    </row>
    <row r="4" spans="1:13" x14ac:dyDescent="0.3">
      <c r="A4" s="1" t="s">
        <v>2</v>
      </c>
      <c r="B4" t="s">
        <v>21</v>
      </c>
      <c r="C4" t="s">
        <v>62</v>
      </c>
      <c r="D4">
        <v>0</v>
      </c>
      <c r="E4" t="s">
        <v>16</v>
      </c>
      <c r="F4" t="s">
        <v>15</v>
      </c>
      <c r="G4" t="s">
        <v>71</v>
      </c>
      <c r="H4" t="s">
        <v>21</v>
      </c>
      <c r="I4" t="s">
        <v>23</v>
      </c>
      <c r="J4" t="s">
        <v>18</v>
      </c>
      <c r="K4" t="s">
        <v>18</v>
      </c>
      <c r="L4" t="s">
        <v>13</v>
      </c>
      <c r="M4" t="s">
        <v>18</v>
      </c>
    </row>
    <row r="5" spans="1:13" x14ac:dyDescent="0.3">
      <c r="A5" s="1" t="s">
        <v>3</v>
      </c>
      <c r="B5" t="s">
        <v>20</v>
      </c>
      <c r="C5" t="s">
        <v>18</v>
      </c>
      <c r="D5" t="s">
        <v>25</v>
      </c>
      <c r="E5">
        <v>0</v>
      </c>
      <c r="F5" t="s">
        <v>17</v>
      </c>
      <c r="G5" t="s">
        <v>18</v>
      </c>
      <c r="H5" t="s">
        <v>13</v>
      </c>
      <c r="I5" t="s">
        <v>13</v>
      </c>
      <c r="J5" t="s">
        <v>13</v>
      </c>
      <c r="K5" t="s">
        <v>16</v>
      </c>
      <c r="L5" t="s">
        <v>18</v>
      </c>
      <c r="M5" t="s">
        <v>13</v>
      </c>
    </row>
    <row r="6" spans="1:13" x14ac:dyDescent="0.3">
      <c r="A6" s="1" t="s">
        <v>4</v>
      </c>
      <c r="B6" t="s">
        <v>16</v>
      </c>
      <c r="C6" t="s">
        <v>20</v>
      </c>
      <c r="D6" t="s">
        <v>24</v>
      </c>
      <c r="E6" t="s">
        <v>20</v>
      </c>
      <c r="F6">
        <v>0</v>
      </c>
      <c r="G6" t="s">
        <v>21</v>
      </c>
      <c r="H6" t="s">
        <v>71</v>
      </c>
      <c r="I6" t="s">
        <v>15</v>
      </c>
      <c r="J6" t="s">
        <v>13</v>
      </c>
      <c r="K6" t="s">
        <v>25</v>
      </c>
      <c r="L6" t="s">
        <v>15</v>
      </c>
      <c r="M6" t="s">
        <v>71</v>
      </c>
    </row>
    <row r="7" spans="1:13" x14ac:dyDescent="0.3">
      <c r="A7" s="1" t="s">
        <v>5</v>
      </c>
      <c r="B7" t="s">
        <v>23</v>
      </c>
      <c r="C7" t="s">
        <v>15</v>
      </c>
      <c r="D7" t="s">
        <v>24</v>
      </c>
      <c r="E7" t="s">
        <v>16</v>
      </c>
      <c r="F7" t="s">
        <v>15</v>
      </c>
      <c r="G7">
        <v>0</v>
      </c>
      <c r="H7" t="s">
        <v>15</v>
      </c>
      <c r="I7" t="s">
        <v>62</v>
      </c>
      <c r="J7" t="s">
        <v>23</v>
      </c>
      <c r="K7" t="s">
        <v>20</v>
      </c>
      <c r="L7" t="s">
        <v>24</v>
      </c>
      <c r="M7" t="s">
        <v>71</v>
      </c>
    </row>
    <row r="8" spans="1:13" x14ac:dyDescent="0.3">
      <c r="A8" s="1" t="s">
        <v>6</v>
      </c>
      <c r="B8" t="s">
        <v>16</v>
      </c>
      <c r="C8" t="s">
        <v>24</v>
      </c>
      <c r="D8" t="s">
        <v>23</v>
      </c>
      <c r="E8" t="s">
        <v>20</v>
      </c>
      <c r="F8" t="s">
        <v>16</v>
      </c>
      <c r="G8" t="s">
        <v>16</v>
      </c>
      <c r="H8">
        <v>0</v>
      </c>
      <c r="I8" t="s">
        <v>15</v>
      </c>
      <c r="J8" t="s">
        <v>16</v>
      </c>
      <c r="K8" t="s">
        <v>12</v>
      </c>
      <c r="L8" t="s">
        <v>15</v>
      </c>
      <c r="M8" t="s">
        <v>24</v>
      </c>
    </row>
    <row r="9" spans="1:13" x14ac:dyDescent="0.3">
      <c r="A9" s="1" t="s">
        <v>7</v>
      </c>
      <c r="B9" t="s">
        <v>20</v>
      </c>
      <c r="C9" t="s">
        <v>16</v>
      </c>
      <c r="D9" t="s">
        <v>15</v>
      </c>
      <c r="E9" t="s">
        <v>24</v>
      </c>
      <c r="F9" t="s">
        <v>20</v>
      </c>
      <c r="G9" t="s">
        <v>23</v>
      </c>
      <c r="H9" t="s">
        <v>23</v>
      </c>
      <c r="I9">
        <v>0</v>
      </c>
      <c r="J9" t="s">
        <v>13</v>
      </c>
      <c r="K9" t="s">
        <v>25</v>
      </c>
      <c r="L9" t="s">
        <v>18</v>
      </c>
      <c r="M9" t="s">
        <v>18</v>
      </c>
    </row>
    <row r="10" spans="1:13" x14ac:dyDescent="0.3">
      <c r="A10" s="1" t="s">
        <v>8</v>
      </c>
      <c r="B10" t="s">
        <v>12</v>
      </c>
      <c r="C10" t="s">
        <v>71</v>
      </c>
      <c r="D10" t="s">
        <v>71</v>
      </c>
      <c r="E10" t="s">
        <v>15</v>
      </c>
      <c r="F10" t="s">
        <v>16</v>
      </c>
      <c r="G10" t="s">
        <v>15</v>
      </c>
      <c r="H10" t="s">
        <v>62</v>
      </c>
      <c r="I10" t="s">
        <v>15</v>
      </c>
      <c r="J10">
        <v>0</v>
      </c>
      <c r="K10" t="s">
        <v>18</v>
      </c>
      <c r="L10" t="s">
        <v>18</v>
      </c>
      <c r="M10" t="s">
        <v>13</v>
      </c>
    </row>
    <row r="11" spans="1:13" x14ac:dyDescent="0.3">
      <c r="A11" s="1" t="s">
        <v>9</v>
      </c>
      <c r="B11" t="s">
        <v>16</v>
      </c>
      <c r="C11" t="s">
        <v>62</v>
      </c>
      <c r="D11" t="s">
        <v>15</v>
      </c>
      <c r="E11" t="s">
        <v>20</v>
      </c>
      <c r="F11" t="s">
        <v>15</v>
      </c>
      <c r="G11" t="s">
        <v>16</v>
      </c>
      <c r="H11" t="s">
        <v>15</v>
      </c>
      <c r="I11" t="s">
        <v>24</v>
      </c>
      <c r="J11" t="s">
        <v>16</v>
      </c>
      <c r="K11">
        <v>0</v>
      </c>
      <c r="L11" t="s">
        <v>16</v>
      </c>
      <c r="M11" t="s">
        <v>15</v>
      </c>
    </row>
    <row r="12" spans="1:13" x14ac:dyDescent="0.3">
      <c r="A12" s="1" t="s">
        <v>10</v>
      </c>
      <c r="B12" t="s">
        <v>17</v>
      </c>
      <c r="C12" t="s">
        <v>71</v>
      </c>
      <c r="D12" t="s">
        <v>20</v>
      </c>
      <c r="E12" t="s">
        <v>15</v>
      </c>
      <c r="F12" t="s">
        <v>16</v>
      </c>
      <c r="G12" t="s">
        <v>16</v>
      </c>
      <c r="H12" t="s">
        <v>24</v>
      </c>
      <c r="I12" t="s">
        <v>23</v>
      </c>
      <c r="J12" t="s">
        <v>71</v>
      </c>
      <c r="K12" t="s">
        <v>24</v>
      </c>
      <c r="L12">
        <v>0</v>
      </c>
      <c r="M12" t="s">
        <v>13</v>
      </c>
    </row>
    <row r="13" spans="1:13" x14ac:dyDescent="0.3">
      <c r="A13" s="1" t="s">
        <v>11</v>
      </c>
      <c r="B13" t="s">
        <v>17</v>
      </c>
      <c r="C13" t="s">
        <v>20</v>
      </c>
      <c r="D13" t="s">
        <v>16</v>
      </c>
      <c r="E13" t="s">
        <v>15</v>
      </c>
      <c r="F13" t="s">
        <v>16</v>
      </c>
      <c r="G13" t="s">
        <v>17</v>
      </c>
      <c r="H13" t="s">
        <v>15</v>
      </c>
      <c r="I13" t="s">
        <v>62</v>
      </c>
      <c r="J13" t="s">
        <v>16</v>
      </c>
      <c r="K13" t="s">
        <v>23</v>
      </c>
      <c r="L13" t="s">
        <v>16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(0,1673; 0,251; 0,3347)</v>
      </c>
      <c r="D16" t="str">
        <f>VLOOKUP(D2,'Thang đánh giá'!$C$2:$D$27,2,FALSE)</f>
        <v>(0,1673; 0,251; 0,3347)</v>
      </c>
      <c r="E16" t="str">
        <f>VLOOKUP(E2,'Thang đánh giá'!$C$2:$D$27,2,FALSE)</f>
        <v>(0,1897; 0,2846; 0,3795)</v>
      </c>
      <c r="F16" t="str">
        <f>VLOOKUP(F2,'Thang đánh giá'!$C$2:$D$27,2,FALSE)</f>
        <v>(0,1897; 0,2846; 0,3795)</v>
      </c>
      <c r="G16" t="str">
        <f>VLOOKUP(G2,'Thang đánh giá'!$C$2:$D$27,2,FALSE)</f>
        <v>(0,1897; 0,2846; 0,3795)</v>
      </c>
      <c r="H16" t="str">
        <f>VLOOKUP(H2,'Thang đánh giá'!$C$2:$D$27,2,FALSE)</f>
        <v>(0; 0; 0,0707)</v>
      </c>
      <c r="I16" t="str">
        <f>VLOOKUP(I2,'Thang đánh giá'!$C$2:$D$27,2,FALSE)</f>
        <v>(0,2846; 0,3795; 0,3795)</v>
      </c>
      <c r="J16" t="str">
        <f>VLOOKUP(J2,'Thang đánh giá'!$C$2:$D$27,2,FALSE)</f>
        <v>(0,1673; 0,251; 0,3347)</v>
      </c>
      <c r="K16" t="str">
        <f>VLOOKUP(K2,'Thang đánh giá'!$C$2:$D$27,2,FALSE)</f>
        <v>(0,1673; 0,251; 0,3347)</v>
      </c>
      <c r="L16" t="str">
        <f>VLOOKUP(L2,'Thang đánh giá'!$C$2:$D$27,2,FALSE)</f>
        <v>(0; 0; 0,0837)</v>
      </c>
      <c r="M16" t="str">
        <f>VLOOKUP(M2,'Thang đánh giá'!$C$2:$D$27,2,FALSE)</f>
        <v>(0,1897; 0,2846; 0,3795)</v>
      </c>
    </row>
    <row r="17" spans="1:13" x14ac:dyDescent="0.3">
      <c r="A17" t="s">
        <v>1</v>
      </c>
      <c r="B17" t="str">
        <f>VLOOKUP(B3,'Thang đánh giá'!$C$2:$D$27,2,FALSE)</f>
        <v>(0; 0,0548; 0,1095)</v>
      </c>
      <c r="C17" t="str">
        <f>VLOOKUP(C3,'Thang đánh giá'!$C$2:$D$27,2,FALSE)</f>
        <v>(0; 0; 0)</v>
      </c>
      <c r="D17" t="str">
        <f>VLOOKUP(D3,'Thang đánh giá'!$C$2:$D$27,2,FALSE)</f>
        <v>(0,2846; 0,3795; 0,3795)</v>
      </c>
      <c r="E17" t="str">
        <f>VLOOKUP(E3,'Thang đánh giá'!$C$2:$D$27,2,FALSE)</f>
        <v>(0,0707; 0,1414; 0,2121)</v>
      </c>
      <c r="F17" t="str">
        <f>VLOOKUP(F3,'Thang đánh giá'!$C$2:$D$27,2,FALSE)</f>
        <v>(0; 0,0707; 0,1414)</v>
      </c>
      <c r="G17" t="str">
        <f>VLOOKUP(G3,'Thang đánh giá'!$C$2:$D$27,2,FALSE)</f>
        <v>(0,1414; 0,2121; 0,2828)</v>
      </c>
      <c r="H17" t="str">
        <f>VLOOKUP(H3,'Thang đánh giá'!$C$2:$D$27,2,FALSE)</f>
        <v>(0; 0,0707; 0,1414)</v>
      </c>
      <c r="I17" t="str">
        <f>VLOOKUP(I3,'Thang đánh giá'!$C$2:$D$27,2,FALSE)</f>
        <v>(0,0707; 0,1414; 0,2121)</v>
      </c>
      <c r="J17" t="str">
        <f>VLOOKUP(J3,'Thang đánh giá'!$C$2:$D$27,2,FALSE)</f>
        <v>(0,1673; 0,251; 0,3347)</v>
      </c>
      <c r="K17" t="str">
        <f>VLOOKUP(K3,'Thang đánh giá'!$C$2:$D$27,2,FALSE)</f>
        <v>(0,251; 0,3347; 0,3347)</v>
      </c>
      <c r="L17" t="str">
        <f>VLOOKUP(L3,'Thang đánh giá'!$C$2:$D$27,2,FALSE)</f>
        <v>(0,1414; 0,2121; 0,2828)</v>
      </c>
      <c r="M17" t="str">
        <f>VLOOKUP(M3,'Thang đánh giá'!$C$2:$D$27,2,FALSE)</f>
        <v>(0,1673; 0,251; 0,3347)</v>
      </c>
    </row>
    <row r="18" spans="1:13" x14ac:dyDescent="0.3">
      <c r="A18" t="s">
        <v>2</v>
      </c>
      <c r="B18" t="str">
        <f>VLOOKUP(B4,'Thang đánh giá'!$C$2:$D$27,2,FALSE)</f>
        <v>(0,0837; 0,1673; 0,251)</v>
      </c>
      <c r="C18" t="str">
        <f>VLOOKUP(C4,'Thang đánh giá'!$C$2:$D$27,2,FALSE)</f>
        <v>(0; 0,0837; 0,1673)</v>
      </c>
      <c r="D18" t="str">
        <f>VLOOKUP(D4,'Thang đánh giá'!$C$2:$D$27,2,FALSE)</f>
        <v>(0; 0; 0)</v>
      </c>
      <c r="E18" t="str">
        <f>VLOOKUP(E4,'Thang đánh giá'!$C$2:$D$27,2,FALSE)</f>
        <v>(0; 0; 0,0707)</v>
      </c>
      <c r="F18" t="str">
        <f>VLOOKUP(F4,'Thang đánh giá'!$C$2:$D$27,2,FALSE)</f>
        <v>(0; 0,0707; 0,1414)</v>
      </c>
      <c r="G18" t="str">
        <f>VLOOKUP(G4,'Thang đánh giá'!$C$2:$D$27,2,FALSE)</f>
        <v>(0; 0; 0,0837)</v>
      </c>
      <c r="H18" t="str">
        <f>VLOOKUP(H4,'Thang đánh giá'!$C$2:$D$27,2,FALSE)</f>
        <v>(0,0837; 0,1673; 0,251)</v>
      </c>
      <c r="I18" t="str">
        <f>VLOOKUP(I4,'Thang đánh giá'!$C$2:$D$27,2,FALSE)</f>
        <v>(0; 0; 0,0316)</v>
      </c>
      <c r="J18" t="str">
        <f>VLOOKUP(J4,'Thang đánh giá'!$C$2:$D$27,2,FALSE)</f>
        <v>(0,2846; 0,3795; 0,3795)</v>
      </c>
      <c r="K18" t="str">
        <f>VLOOKUP(K4,'Thang đánh giá'!$C$2:$D$27,2,FALSE)</f>
        <v>(0,2846; 0,3795; 0,3795)</v>
      </c>
      <c r="L18" t="str">
        <f>VLOOKUP(L4,'Thang đánh giá'!$C$2:$D$27,2,FALSE)</f>
        <v>(0,1897; 0,2846; 0,3795)</v>
      </c>
      <c r="M18" t="str">
        <f>VLOOKUP(M4,'Thang đánh giá'!$C$2:$D$27,2,FALSE)</f>
        <v>(0,2846; 0,3795; 0,3795)</v>
      </c>
    </row>
    <row r="19" spans="1:13" x14ac:dyDescent="0.3">
      <c r="A19" t="s">
        <v>3</v>
      </c>
      <c r="B19" t="str">
        <f>VLOOKUP(B5,'Thang đánh giá'!$C$2:$D$27,2,FALSE)</f>
        <v>(0; 0,0548; 0,1095)</v>
      </c>
      <c r="C19" t="str">
        <f>VLOOKUP(C5,'Thang đánh giá'!$C$2:$D$27,2,FALSE)</f>
        <v>(0,2846; 0,3795; 0,3795)</v>
      </c>
      <c r="D19" t="str">
        <f>VLOOKUP(D5,'Thang đánh giá'!$C$2:$D$27,2,FALSE)</f>
        <v>(0,251; 0,3347; 0,3347)</v>
      </c>
      <c r="E19" t="str">
        <f>VLOOKUP(E5,'Thang đánh giá'!$C$2:$D$27,2,FALSE)</f>
        <v>(0; 0; 0)</v>
      </c>
      <c r="F19" t="str">
        <f>VLOOKUP(F5,'Thang đánh giá'!$C$2:$D$27,2,FALSE)</f>
        <v>(0; 0,0316; 0,0632)</v>
      </c>
      <c r="G19" t="str">
        <f>VLOOKUP(G5,'Thang đánh giá'!$C$2:$D$27,2,FALSE)</f>
        <v>(0,2846; 0,3795; 0,3795)</v>
      </c>
      <c r="H19" t="str">
        <f>VLOOKUP(H5,'Thang đánh giá'!$C$2:$D$27,2,FALSE)</f>
        <v>(0,1897; 0,2846; 0,3795)</v>
      </c>
      <c r="I19" t="str">
        <f>VLOOKUP(I5,'Thang đánh giá'!$C$2:$D$27,2,FALSE)</f>
        <v>(0,1897; 0,2846; 0,3795)</v>
      </c>
      <c r="J19" t="str">
        <f>VLOOKUP(J5,'Thang đánh giá'!$C$2:$D$27,2,FALSE)</f>
        <v>(0,1897; 0,2846; 0,3795)</v>
      </c>
      <c r="K19" t="str">
        <f>VLOOKUP(K5,'Thang đánh giá'!$C$2:$D$27,2,FALSE)</f>
        <v>(0; 0; 0,0707)</v>
      </c>
      <c r="L19" t="str">
        <f>VLOOKUP(L5,'Thang đánh giá'!$C$2:$D$27,2,FALSE)</f>
        <v>(0,2846; 0,3795; 0,3795)</v>
      </c>
      <c r="M19" t="str">
        <f>VLOOKUP(M5,'Thang đánh giá'!$C$2:$D$27,2,FALSE)</f>
        <v>(0,1897; 0,2846; 0,3795)</v>
      </c>
    </row>
    <row r="20" spans="1:13" x14ac:dyDescent="0.3">
      <c r="A20" t="s">
        <v>4</v>
      </c>
      <c r="B20" t="str">
        <f>VLOOKUP(B6,'Thang đánh giá'!$C$2:$D$27,2,FALSE)</f>
        <v>(0; 0; 0,0707)</v>
      </c>
      <c r="C20" t="str">
        <f>VLOOKUP(C6,'Thang đánh giá'!$C$2:$D$27,2,FALSE)</f>
        <v>(0; 0,0548; 0,1095)</v>
      </c>
      <c r="D20" t="str">
        <f>VLOOKUP(D6,'Thang đánh giá'!$C$2:$D$27,2,FALSE)</f>
        <v>(0; 0; 0,0548)</v>
      </c>
      <c r="E20" t="str">
        <f>VLOOKUP(E6,'Thang đánh giá'!$C$2:$D$27,2,FALSE)</f>
        <v>(0; 0,0548; 0,1095)</v>
      </c>
      <c r="F20" t="str">
        <f>VLOOKUP(F6,'Thang đánh giá'!$C$2:$D$27,2,FALSE)</f>
        <v>(0; 0; 0)</v>
      </c>
      <c r="G20" t="str">
        <f>VLOOKUP(G6,'Thang đánh giá'!$C$2:$D$27,2,FALSE)</f>
        <v>(0,0837; 0,1673; 0,251)</v>
      </c>
      <c r="H20" t="str">
        <f>VLOOKUP(H6,'Thang đánh giá'!$C$2:$D$27,2,FALSE)</f>
        <v>(0; 0; 0,0837)</v>
      </c>
      <c r="I20" t="str">
        <f>VLOOKUP(I6,'Thang đánh giá'!$C$2:$D$27,2,FALSE)</f>
        <v>(0; 0,0707; 0,1414)</v>
      </c>
      <c r="J20" t="str">
        <f>VLOOKUP(J6,'Thang đánh giá'!$C$2:$D$27,2,FALSE)</f>
        <v>(0,1897; 0,2846; 0,3795)</v>
      </c>
      <c r="K20" t="str">
        <f>VLOOKUP(K6,'Thang đánh giá'!$C$2:$D$27,2,FALSE)</f>
        <v>(0,251; 0,3347; 0,3347)</v>
      </c>
      <c r="L20" t="str">
        <f>VLOOKUP(L6,'Thang đánh giá'!$C$2:$D$27,2,FALSE)</f>
        <v>(0; 0,0707; 0,1414)</v>
      </c>
      <c r="M20" t="str">
        <f>VLOOKUP(M6,'Thang đánh giá'!$C$2:$D$27,2,FALSE)</f>
        <v>(0; 0; 0,0837)</v>
      </c>
    </row>
    <row r="21" spans="1:13" x14ac:dyDescent="0.3">
      <c r="A21" t="s">
        <v>5</v>
      </c>
      <c r="B21" t="str">
        <f>VLOOKUP(B7,'Thang đánh giá'!$C$2:$D$27,2,FALSE)</f>
        <v>(0; 0; 0,0316)</v>
      </c>
      <c r="C21" t="str">
        <f>VLOOKUP(C7,'Thang đánh giá'!$C$2:$D$27,2,FALSE)</f>
        <v>(0; 0,0707; 0,1414)</v>
      </c>
      <c r="D21" t="str">
        <f>VLOOKUP(D7,'Thang đánh giá'!$C$2:$D$27,2,FALSE)</f>
        <v>(0; 0; 0,0548)</v>
      </c>
      <c r="E21" t="str">
        <f>VLOOKUP(E7,'Thang đánh giá'!$C$2:$D$27,2,FALSE)</f>
        <v>(0; 0; 0,0707)</v>
      </c>
      <c r="F21" t="str">
        <f>VLOOKUP(F7,'Thang đánh giá'!$C$2:$D$27,2,FALSE)</f>
        <v>(0; 0,0707; 0,1414)</v>
      </c>
      <c r="G21" t="str">
        <f>VLOOKUP(G7,'Thang đánh giá'!$C$2:$D$27,2,FALSE)</f>
        <v>(0; 0; 0)</v>
      </c>
      <c r="H21" t="str">
        <f>VLOOKUP(H7,'Thang đánh giá'!$C$2:$D$27,2,FALSE)</f>
        <v>(0; 0,0707; 0,1414)</v>
      </c>
      <c r="I21" t="str">
        <f>VLOOKUP(I7,'Thang đánh giá'!$C$2:$D$27,2,FALSE)</f>
        <v>(0; 0,0837; 0,1673)</v>
      </c>
      <c r="J21" t="str">
        <f>VLOOKUP(J7,'Thang đánh giá'!$C$2:$D$27,2,FALSE)</f>
        <v>(0; 0; 0,0316)</v>
      </c>
      <c r="K21" t="str">
        <f>VLOOKUP(K7,'Thang đánh giá'!$C$2:$D$27,2,FALSE)</f>
        <v>(0; 0,0548; 0,1095)</v>
      </c>
      <c r="L21" t="str">
        <f>VLOOKUP(L7,'Thang đánh giá'!$C$2:$D$27,2,FALSE)</f>
        <v>(0; 0; 0,0548)</v>
      </c>
      <c r="M21" t="str">
        <f>VLOOKUP(M7,'Thang đánh giá'!$C$2:$D$27,2,FALSE)</f>
        <v>(0; 0; 0,0837)</v>
      </c>
    </row>
    <row r="22" spans="1:13" x14ac:dyDescent="0.3">
      <c r="A22" t="s">
        <v>6</v>
      </c>
      <c r="B22" t="str">
        <f>VLOOKUP(B8,'Thang đánh giá'!$C$2:$D$27,2,FALSE)</f>
        <v>(0; 0; 0,0707)</v>
      </c>
      <c r="C22" t="str">
        <f>VLOOKUP(C8,'Thang đánh giá'!$C$2:$D$27,2,FALSE)</f>
        <v>(0; 0; 0,0548)</v>
      </c>
      <c r="D22" t="str">
        <f>VLOOKUP(D8,'Thang đánh giá'!$C$2:$D$27,2,FALSE)</f>
        <v>(0; 0; 0,0316)</v>
      </c>
      <c r="E22" t="str">
        <f>VLOOKUP(E8,'Thang đánh giá'!$C$2:$D$27,2,FALSE)</f>
        <v>(0; 0,0548; 0,1095)</v>
      </c>
      <c r="F22" t="str">
        <f>VLOOKUP(F8,'Thang đánh giá'!$C$2:$D$27,2,FALSE)</f>
        <v>(0; 0; 0,0707)</v>
      </c>
      <c r="G22" t="str">
        <f>VLOOKUP(G8,'Thang đánh giá'!$C$2:$D$27,2,FALSE)</f>
        <v>(0; 0; 0,0707)</v>
      </c>
      <c r="H22" t="str">
        <f>VLOOKUP(H8,'Thang đánh giá'!$C$2:$D$27,2,FALSE)</f>
        <v>(0; 0; 0)</v>
      </c>
      <c r="I22" t="str">
        <f>VLOOKUP(I8,'Thang đánh giá'!$C$2:$D$27,2,FALSE)</f>
        <v>(0; 0,0707; 0,1414)</v>
      </c>
      <c r="J22" t="str">
        <f>VLOOKUP(J8,'Thang đánh giá'!$C$2:$D$27,2,FALSE)</f>
        <v>(0; 0; 0,0707)</v>
      </c>
      <c r="K22" t="str">
        <f>VLOOKUP(K8,'Thang đánh giá'!$C$2:$D$27,2,FALSE)</f>
        <v>(0,1673; 0,251; 0,3347)</v>
      </c>
      <c r="L22" t="str">
        <f>VLOOKUP(L8,'Thang đánh giá'!$C$2:$D$27,2,FALSE)</f>
        <v>(0; 0,0707; 0,1414)</v>
      </c>
      <c r="M22" t="str">
        <f>VLOOKUP(M8,'Thang đánh giá'!$C$2:$D$27,2,FALSE)</f>
        <v>(0; 0; 0,0548)</v>
      </c>
    </row>
    <row r="23" spans="1:13" x14ac:dyDescent="0.3">
      <c r="A23" t="s">
        <v>7</v>
      </c>
      <c r="B23" t="str">
        <f>VLOOKUP(B9,'Thang đánh giá'!$C$2:$D$27,2,FALSE)</f>
        <v>(0; 0,0548; 0,1095)</v>
      </c>
      <c r="C23" t="str">
        <f>VLOOKUP(C9,'Thang đánh giá'!$C$2:$D$27,2,FALSE)</f>
        <v>(0; 0; 0,0707)</v>
      </c>
      <c r="D23" t="str">
        <f>VLOOKUP(D9,'Thang đánh giá'!$C$2:$D$27,2,FALSE)</f>
        <v>(0; 0,0707; 0,1414)</v>
      </c>
      <c r="E23" t="str">
        <f>VLOOKUP(E9,'Thang đánh giá'!$C$2:$D$27,2,FALSE)</f>
        <v>(0; 0; 0,0548)</v>
      </c>
      <c r="F23" t="str">
        <f>VLOOKUP(F9,'Thang đánh giá'!$C$2:$D$27,2,FALSE)</f>
        <v>(0; 0,0548; 0,1095)</v>
      </c>
      <c r="G23" t="str">
        <f>VLOOKUP(G9,'Thang đánh giá'!$C$2:$D$27,2,FALSE)</f>
        <v>(0; 0; 0,0316)</v>
      </c>
      <c r="H23" t="str">
        <f>VLOOKUP(H9,'Thang đánh giá'!$C$2:$D$27,2,FALSE)</f>
        <v>(0; 0; 0,0316)</v>
      </c>
      <c r="I23" t="str">
        <f>VLOOKUP(I9,'Thang đánh giá'!$C$2:$D$27,2,FALSE)</f>
        <v>(0; 0; 0)</v>
      </c>
      <c r="J23" t="str">
        <f>VLOOKUP(J9,'Thang đánh giá'!$C$2:$D$27,2,FALSE)</f>
        <v>(0,1897; 0,2846; 0,3795)</v>
      </c>
      <c r="K23" t="str">
        <f>VLOOKUP(K9,'Thang đánh giá'!$C$2:$D$27,2,FALSE)</f>
        <v>(0,251; 0,3347; 0,3347)</v>
      </c>
      <c r="L23" t="str">
        <f>VLOOKUP(L9,'Thang đánh giá'!$C$2:$D$27,2,FALSE)</f>
        <v>(0,2846; 0,3795; 0,3795)</v>
      </c>
      <c r="M23" t="str">
        <f>VLOOKUP(M9,'Thang đánh giá'!$C$2:$D$27,2,FALSE)</f>
        <v>(0,2846; 0,3795; 0,3795)</v>
      </c>
    </row>
    <row r="24" spans="1:13" x14ac:dyDescent="0.3">
      <c r="A24" t="s">
        <v>8</v>
      </c>
      <c r="B24" t="str">
        <f>VLOOKUP(B10,'Thang đánh giá'!$C$2:$D$27,2,FALSE)</f>
        <v>(0,1673; 0,251; 0,3347)</v>
      </c>
      <c r="C24" t="str">
        <f>VLOOKUP(C10,'Thang đánh giá'!$C$2:$D$27,2,FALSE)</f>
        <v>(0; 0; 0,0837)</v>
      </c>
      <c r="D24" t="str">
        <f>VLOOKUP(D10,'Thang đánh giá'!$C$2:$D$27,2,FALSE)</f>
        <v>(0; 0; 0,0837)</v>
      </c>
      <c r="E24" t="str">
        <f>VLOOKUP(E10,'Thang đánh giá'!$C$2:$D$27,2,FALSE)</f>
        <v>(0; 0,0707; 0,1414)</v>
      </c>
      <c r="F24" t="str">
        <f>VLOOKUP(F10,'Thang đánh giá'!$C$2:$D$27,2,FALSE)</f>
        <v>(0; 0; 0,0707)</v>
      </c>
      <c r="G24" t="str">
        <f>VLOOKUP(G10,'Thang đánh giá'!$C$2:$D$27,2,FALSE)</f>
        <v>(0; 0,0707; 0,1414)</v>
      </c>
      <c r="H24" t="str">
        <f>VLOOKUP(H10,'Thang đánh giá'!$C$2:$D$27,2,FALSE)</f>
        <v>(0; 0,0837; 0,1673)</v>
      </c>
      <c r="I24" t="str">
        <f>VLOOKUP(I10,'Thang đánh giá'!$C$2:$D$27,2,FALSE)</f>
        <v>(0; 0,0707; 0,1414)</v>
      </c>
      <c r="J24" t="str">
        <f>VLOOKUP(J10,'Thang đánh giá'!$C$2:$D$27,2,FALSE)</f>
        <v>(0; 0; 0)</v>
      </c>
      <c r="K24" t="str">
        <f>VLOOKUP(K10,'Thang đánh giá'!$C$2:$D$27,2,FALSE)</f>
        <v>(0,2846; 0,3795; 0,3795)</v>
      </c>
      <c r="L24" t="str">
        <f>VLOOKUP(L10,'Thang đánh giá'!$C$2:$D$27,2,FALSE)</f>
        <v>(0,2846; 0,3795; 0,3795)</v>
      </c>
      <c r="M24" t="str">
        <f>VLOOKUP(M10,'Thang đánh giá'!$C$2:$D$27,2,FALSE)</f>
        <v>(0,1897; 0,2846; 0,3795)</v>
      </c>
    </row>
    <row r="25" spans="1:13" x14ac:dyDescent="0.3">
      <c r="A25" t="s">
        <v>9</v>
      </c>
      <c r="B25" t="str">
        <f>VLOOKUP(B11,'Thang đánh giá'!$C$2:$D$27,2,FALSE)</f>
        <v>(0; 0; 0,0707)</v>
      </c>
      <c r="C25" t="str">
        <f>VLOOKUP(C11,'Thang đánh giá'!$C$2:$D$27,2,FALSE)</f>
        <v>(0; 0,0837; 0,1673)</v>
      </c>
      <c r="D25" t="str">
        <f>VLOOKUP(D11,'Thang đánh giá'!$C$2:$D$27,2,FALSE)</f>
        <v>(0; 0,0707; 0,1414)</v>
      </c>
      <c r="E25" t="str">
        <f>VLOOKUP(E11,'Thang đánh giá'!$C$2:$D$27,2,FALSE)</f>
        <v>(0; 0,0548; 0,1095)</v>
      </c>
      <c r="F25" t="str">
        <f>VLOOKUP(F11,'Thang đánh giá'!$C$2:$D$27,2,FALSE)</f>
        <v>(0; 0,0707; 0,1414)</v>
      </c>
      <c r="G25" t="str">
        <f>VLOOKUP(G11,'Thang đánh giá'!$C$2:$D$27,2,FALSE)</f>
        <v>(0; 0; 0,0707)</v>
      </c>
      <c r="H25" t="str">
        <f>VLOOKUP(H11,'Thang đánh giá'!$C$2:$D$27,2,FALSE)</f>
        <v>(0; 0,0707; 0,1414)</v>
      </c>
      <c r="I25" t="str">
        <f>VLOOKUP(I11,'Thang đánh giá'!$C$2:$D$27,2,FALSE)</f>
        <v>(0; 0; 0,0548)</v>
      </c>
      <c r="J25" t="str">
        <f>VLOOKUP(J11,'Thang đánh giá'!$C$2:$D$27,2,FALSE)</f>
        <v>(0; 0; 0,0707)</v>
      </c>
      <c r="K25" t="str">
        <f>VLOOKUP(K11,'Thang đánh giá'!$C$2:$D$27,2,FALSE)</f>
        <v>(0; 0; 0)</v>
      </c>
      <c r="L25" t="str">
        <f>VLOOKUP(L11,'Thang đánh giá'!$C$2:$D$27,2,FALSE)</f>
        <v>(0; 0; 0,0707)</v>
      </c>
      <c r="M25" t="str">
        <f>VLOOKUP(M11,'Thang đánh giá'!$C$2:$D$27,2,FALSE)</f>
        <v>(0; 0,0707; 0,1414)</v>
      </c>
    </row>
    <row r="26" spans="1:13" x14ac:dyDescent="0.3">
      <c r="A26" t="s">
        <v>10</v>
      </c>
      <c r="B26" t="str">
        <f>VLOOKUP(B12,'Thang đánh giá'!$C$2:$D$27,2,FALSE)</f>
        <v>(0; 0,0316; 0,0632)</v>
      </c>
      <c r="C26" t="str">
        <f>VLOOKUP(C12,'Thang đánh giá'!$C$2:$D$27,2,FALSE)</f>
        <v>(0; 0; 0,0837)</v>
      </c>
      <c r="D26" t="str">
        <f>VLOOKUP(D12,'Thang đánh giá'!$C$2:$D$27,2,FALSE)</f>
        <v>(0; 0,0548; 0,1095)</v>
      </c>
      <c r="E26" t="str">
        <f>VLOOKUP(E12,'Thang đánh giá'!$C$2:$D$27,2,FALSE)</f>
        <v>(0; 0,0707; 0,1414)</v>
      </c>
      <c r="F26" t="str">
        <f>VLOOKUP(F12,'Thang đánh giá'!$C$2:$D$27,2,FALSE)</f>
        <v>(0; 0; 0,0707)</v>
      </c>
      <c r="G26" t="str">
        <f>VLOOKUP(G12,'Thang đánh giá'!$C$2:$D$27,2,FALSE)</f>
        <v>(0; 0; 0,0707)</v>
      </c>
      <c r="H26" t="str">
        <f>VLOOKUP(H12,'Thang đánh giá'!$C$2:$D$27,2,FALSE)</f>
        <v>(0; 0; 0,0548)</v>
      </c>
      <c r="I26" t="str">
        <f>VLOOKUP(I12,'Thang đánh giá'!$C$2:$D$27,2,FALSE)</f>
        <v>(0; 0; 0,0316)</v>
      </c>
      <c r="J26" t="str">
        <f>VLOOKUP(J12,'Thang đánh giá'!$C$2:$D$27,2,FALSE)</f>
        <v>(0; 0; 0,0837)</v>
      </c>
      <c r="K26" t="str">
        <f>VLOOKUP(K12,'Thang đánh giá'!$C$2:$D$27,2,FALSE)</f>
        <v>(0; 0; 0,0548)</v>
      </c>
      <c r="L26" t="str">
        <f>VLOOKUP(L12,'Thang đánh giá'!$C$2:$D$27,2,FALSE)</f>
        <v>(0; 0; 0)</v>
      </c>
      <c r="M26" t="str">
        <f>VLOOKUP(M12,'Thang đánh giá'!$C$2:$D$27,2,FALSE)</f>
        <v>(0,1897; 0,2846; 0,3795)</v>
      </c>
    </row>
    <row r="27" spans="1:13" x14ac:dyDescent="0.3">
      <c r="A27" t="s">
        <v>11</v>
      </c>
      <c r="B27" t="str">
        <f>VLOOKUP(B13,'Thang đánh giá'!$C$2:$D$27,2,FALSE)</f>
        <v>(0; 0,0316; 0,0632)</v>
      </c>
      <c r="C27" t="str">
        <f>VLOOKUP(C13,'Thang đánh giá'!$C$2:$D$27,2,FALSE)</f>
        <v>(0; 0,0548; 0,1095)</v>
      </c>
      <c r="D27" t="str">
        <f>VLOOKUP(D13,'Thang đánh giá'!$C$2:$D$27,2,FALSE)</f>
        <v>(0; 0; 0,0707)</v>
      </c>
      <c r="E27" t="str">
        <f>VLOOKUP(E13,'Thang đánh giá'!$C$2:$D$27,2,FALSE)</f>
        <v>(0; 0,0707; 0,1414)</v>
      </c>
      <c r="F27" t="str">
        <f>VLOOKUP(F13,'Thang đánh giá'!$C$2:$D$27,2,FALSE)</f>
        <v>(0; 0; 0,0707)</v>
      </c>
      <c r="G27" t="str">
        <f>VLOOKUP(G13,'Thang đánh giá'!$C$2:$D$27,2,FALSE)</f>
        <v>(0; 0,0316; 0,0632)</v>
      </c>
      <c r="H27" t="str">
        <f>VLOOKUP(H13,'Thang đánh giá'!$C$2:$D$27,2,FALSE)</f>
        <v>(0; 0,0707; 0,1414)</v>
      </c>
      <c r="I27" t="str">
        <f>VLOOKUP(I13,'Thang đánh giá'!$C$2:$D$27,2,FALSE)</f>
        <v>(0; 0,0837; 0,1673)</v>
      </c>
      <c r="J27" t="str">
        <f>VLOOKUP(J13,'Thang đánh giá'!$C$2:$D$27,2,FALSE)</f>
        <v>(0; 0; 0,0707)</v>
      </c>
      <c r="K27" t="str">
        <f>VLOOKUP(K13,'Thang đánh giá'!$C$2:$D$27,2,FALSE)</f>
        <v>(0; 0; 0,0316)</v>
      </c>
      <c r="L27" t="str">
        <f>VLOOKUP(L13,'Thang đánh giá'!$C$2:$D$27,2,FALSE)</f>
        <v>(0; 0; 0,0707)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0.1673</v>
      </c>
      <c r="D30">
        <f t="shared" si="0"/>
        <v>0.1673</v>
      </c>
      <c r="E30">
        <f t="shared" si="0"/>
        <v>0.18970000000000001</v>
      </c>
      <c r="F30">
        <f t="shared" si="0"/>
        <v>0.18970000000000001</v>
      </c>
      <c r="G30">
        <f t="shared" si="0"/>
        <v>0.18970000000000001</v>
      </c>
      <c r="H30">
        <f t="shared" si="0"/>
        <v>0</v>
      </c>
      <c r="I30">
        <f t="shared" si="0"/>
        <v>0.28460000000000002</v>
      </c>
      <c r="J30">
        <f t="shared" si="0"/>
        <v>0.1673</v>
      </c>
      <c r="K30">
        <f t="shared" si="0"/>
        <v>0.1673</v>
      </c>
      <c r="L30">
        <f t="shared" si="0"/>
        <v>0</v>
      </c>
      <c r="M30">
        <f t="shared" si="0"/>
        <v>0.18970000000000001</v>
      </c>
    </row>
    <row r="31" spans="1:13" x14ac:dyDescent="0.3">
      <c r="A31" t="s">
        <v>1</v>
      </c>
      <c r="B31">
        <f t="shared" ref="B31:M41" si="1">_xlfn.NUMBERVALUE(MID(B17,2,FIND(";",B17,1)-2))</f>
        <v>0</v>
      </c>
      <c r="C31">
        <f t="shared" si="1"/>
        <v>0</v>
      </c>
      <c r="D31">
        <f t="shared" si="1"/>
        <v>0.28460000000000002</v>
      </c>
      <c r="E31">
        <f t="shared" si="1"/>
        <v>7.0699999999999999E-2</v>
      </c>
      <c r="F31">
        <f t="shared" si="1"/>
        <v>0</v>
      </c>
      <c r="G31">
        <f t="shared" si="1"/>
        <v>0.1414</v>
      </c>
      <c r="H31">
        <f t="shared" si="1"/>
        <v>0</v>
      </c>
      <c r="I31">
        <f t="shared" si="1"/>
        <v>7.0699999999999999E-2</v>
      </c>
      <c r="J31">
        <f t="shared" si="1"/>
        <v>0.1673</v>
      </c>
      <c r="K31">
        <f t="shared" si="1"/>
        <v>0.251</v>
      </c>
      <c r="L31">
        <f t="shared" si="1"/>
        <v>0.1414</v>
      </c>
      <c r="M31">
        <f t="shared" si="1"/>
        <v>0.1673</v>
      </c>
    </row>
    <row r="32" spans="1:13" x14ac:dyDescent="0.3">
      <c r="A32" t="s">
        <v>2</v>
      </c>
      <c r="B32">
        <f t="shared" si="1"/>
        <v>8.3699999999999997E-2</v>
      </c>
      <c r="C32">
        <f t="shared" si="1"/>
        <v>0</v>
      </c>
      <c r="D32">
        <f t="shared" si="1"/>
        <v>0</v>
      </c>
      <c r="E32">
        <f t="shared" si="1"/>
        <v>0</v>
      </c>
      <c r="F32">
        <f t="shared" si="1"/>
        <v>0</v>
      </c>
      <c r="G32">
        <f t="shared" si="1"/>
        <v>0</v>
      </c>
      <c r="H32">
        <f t="shared" si="1"/>
        <v>8.3699999999999997E-2</v>
      </c>
      <c r="I32">
        <f t="shared" si="1"/>
        <v>0</v>
      </c>
      <c r="J32">
        <f t="shared" si="1"/>
        <v>0.28460000000000002</v>
      </c>
      <c r="K32">
        <f t="shared" si="1"/>
        <v>0.28460000000000002</v>
      </c>
      <c r="L32">
        <f t="shared" si="1"/>
        <v>0.18970000000000001</v>
      </c>
      <c r="M32">
        <f t="shared" si="1"/>
        <v>0.28460000000000002</v>
      </c>
    </row>
    <row r="33" spans="1:13" x14ac:dyDescent="0.3">
      <c r="A33" t="s">
        <v>3</v>
      </c>
      <c r="B33">
        <f t="shared" si="1"/>
        <v>0</v>
      </c>
      <c r="C33">
        <f t="shared" si="1"/>
        <v>0.28460000000000002</v>
      </c>
      <c r="D33">
        <f t="shared" si="1"/>
        <v>0.251</v>
      </c>
      <c r="E33">
        <f t="shared" si="1"/>
        <v>0</v>
      </c>
      <c r="F33">
        <f t="shared" si="1"/>
        <v>0</v>
      </c>
      <c r="G33">
        <f t="shared" si="1"/>
        <v>0.28460000000000002</v>
      </c>
      <c r="H33">
        <f t="shared" si="1"/>
        <v>0.18970000000000001</v>
      </c>
      <c r="I33">
        <f t="shared" si="1"/>
        <v>0.18970000000000001</v>
      </c>
      <c r="J33">
        <f t="shared" si="1"/>
        <v>0.18970000000000001</v>
      </c>
      <c r="K33">
        <f t="shared" si="1"/>
        <v>0</v>
      </c>
      <c r="L33">
        <f t="shared" si="1"/>
        <v>0.28460000000000002</v>
      </c>
      <c r="M33">
        <f t="shared" si="1"/>
        <v>0.18970000000000001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0</v>
      </c>
      <c r="D34">
        <f t="shared" si="2"/>
        <v>0</v>
      </c>
      <c r="E34">
        <f t="shared" si="2"/>
        <v>0</v>
      </c>
      <c r="F34">
        <f t="shared" si="2"/>
        <v>0</v>
      </c>
      <c r="G34">
        <f t="shared" si="2"/>
        <v>8.3699999999999997E-2</v>
      </c>
      <c r="H34">
        <f t="shared" si="2"/>
        <v>0</v>
      </c>
      <c r="I34">
        <f t="shared" si="2"/>
        <v>0</v>
      </c>
      <c r="J34">
        <f t="shared" si="2"/>
        <v>0.18970000000000001</v>
      </c>
      <c r="K34">
        <f t="shared" si="2"/>
        <v>0.251</v>
      </c>
      <c r="L34">
        <f t="shared" si="2"/>
        <v>0</v>
      </c>
      <c r="M34">
        <f t="shared" si="2"/>
        <v>0</v>
      </c>
    </row>
    <row r="35" spans="1:13" x14ac:dyDescent="0.3">
      <c r="A35" t="s">
        <v>5</v>
      </c>
      <c r="B35">
        <f t="shared" si="1"/>
        <v>0</v>
      </c>
      <c r="C35">
        <f t="shared" si="1"/>
        <v>0</v>
      </c>
      <c r="D35">
        <f t="shared" si="1"/>
        <v>0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0</v>
      </c>
      <c r="J35">
        <f t="shared" si="1"/>
        <v>0</v>
      </c>
      <c r="K35">
        <f t="shared" si="1"/>
        <v>0</v>
      </c>
      <c r="L35">
        <f t="shared" si="1"/>
        <v>0</v>
      </c>
      <c r="M35">
        <f t="shared" si="1"/>
        <v>0</v>
      </c>
    </row>
    <row r="36" spans="1:13" x14ac:dyDescent="0.3">
      <c r="A36" t="s">
        <v>6</v>
      </c>
      <c r="B36">
        <f t="shared" si="1"/>
        <v>0</v>
      </c>
      <c r="C36">
        <f t="shared" si="1"/>
        <v>0</v>
      </c>
      <c r="D36">
        <f t="shared" si="1"/>
        <v>0</v>
      </c>
      <c r="E36">
        <f t="shared" si="1"/>
        <v>0</v>
      </c>
      <c r="F36">
        <f t="shared" si="1"/>
        <v>0</v>
      </c>
      <c r="G36">
        <f t="shared" si="1"/>
        <v>0</v>
      </c>
      <c r="H36">
        <f t="shared" si="1"/>
        <v>0</v>
      </c>
      <c r="I36">
        <f t="shared" si="1"/>
        <v>0</v>
      </c>
      <c r="J36">
        <f t="shared" si="1"/>
        <v>0</v>
      </c>
      <c r="K36">
        <f t="shared" si="1"/>
        <v>0.1673</v>
      </c>
      <c r="L36">
        <f t="shared" si="1"/>
        <v>0</v>
      </c>
      <c r="M36">
        <f t="shared" si="1"/>
        <v>0</v>
      </c>
    </row>
    <row r="37" spans="1:13" x14ac:dyDescent="0.3">
      <c r="A37" t="s">
        <v>7</v>
      </c>
      <c r="B37">
        <f t="shared" si="1"/>
        <v>0</v>
      </c>
      <c r="C37">
        <f t="shared" si="1"/>
        <v>0</v>
      </c>
      <c r="D37">
        <f t="shared" si="1"/>
        <v>0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0.18970000000000001</v>
      </c>
      <c r="K37">
        <f t="shared" si="1"/>
        <v>0.251</v>
      </c>
      <c r="L37">
        <f t="shared" si="1"/>
        <v>0.28460000000000002</v>
      </c>
      <c r="M37">
        <f t="shared" si="1"/>
        <v>0.28460000000000002</v>
      </c>
    </row>
    <row r="38" spans="1:13" x14ac:dyDescent="0.3">
      <c r="A38" t="s">
        <v>8</v>
      </c>
      <c r="B38">
        <f t="shared" si="1"/>
        <v>0.1673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0</v>
      </c>
      <c r="I38">
        <f t="shared" si="1"/>
        <v>0</v>
      </c>
      <c r="J38">
        <f t="shared" si="1"/>
        <v>0</v>
      </c>
      <c r="K38">
        <f t="shared" si="1"/>
        <v>0.28460000000000002</v>
      </c>
      <c r="L38">
        <f t="shared" si="1"/>
        <v>0.28460000000000002</v>
      </c>
      <c r="M38">
        <f t="shared" si="1"/>
        <v>0.18970000000000001</v>
      </c>
    </row>
    <row r="39" spans="1:13" x14ac:dyDescent="0.3">
      <c r="A39" t="s">
        <v>9</v>
      </c>
      <c r="B39">
        <f t="shared" si="1"/>
        <v>0</v>
      </c>
      <c r="C39">
        <f t="shared" si="1"/>
        <v>0</v>
      </c>
      <c r="D39">
        <f t="shared" si="1"/>
        <v>0</v>
      </c>
      <c r="E39">
        <f t="shared" si="1"/>
        <v>0</v>
      </c>
      <c r="F39">
        <f t="shared" si="1"/>
        <v>0</v>
      </c>
      <c r="G39">
        <f t="shared" si="1"/>
        <v>0</v>
      </c>
      <c r="H39">
        <f t="shared" si="1"/>
        <v>0</v>
      </c>
      <c r="I39">
        <f t="shared" si="1"/>
        <v>0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0</v>
      </c>
    </row>
    <row r="40" spans="1:13" x14ac:dyDescent="0.3">
      <c r="A40" t="s">
        <v>10</v>
      </c>
      <c r="B40">
        <f t="shared" si="1"/>
        <v>0</v>
      </c>
      <c r="C40">
        <f t="shared" si="1"/>
        <v>0</v>
      </c>
      <c r="D40">
        <f t="shared" si="1"/>
        <v>0</v>
      </c>
      <c r="E40">
        <f t="shared" si="1"/>
        <v>0</v>
      </c>
      <c r="F40">
        <f t="shared" si="1"/>
        <v>0</v>
      </c>
      <c r="G40">
        <f t="shared" si="1"/>
        <v>0</v>
      </c>
      <c r="H40">
        <f t="shared" si="1"/>
        <v>0</v>
      </c>
      <c r="I40">
        <f t="shared" si="1"/>
        <v>0</v>
      </c>
      <c r="J40">
        <f t="shared" si="1"/>
        <v>0</v>
      </c>
      <c r="K40">
        <f t="shared" si="1"/>
        <v>0</v>
      </c>
      <c r="L40">
        <f t="shared" si="1"/>
        <v>0</v>
      </c>
      <c r="M40">
        <f t="shared" si="1"/>
        <v>0.18970000000000001</v>
      </c>
    </row>
    <row r="41" spans="1:13" x14ac:dyDescent="0.3">
      <c r="A41" t="s">
        <v>11</v>
      </c>
      <c r="B41">
        <f t="shared" si="1"/>
        <v>0</v>
      </c>
      <c r="C41">
        <f t="shared" si="1"/>
        <v>0</v>
      </c>
      <c r="D41">
        <f t="shared" si="1"/>
        <v>0</v>
      </c>
      <c r="E41">
        <f t="shared" si="1"/>
        <v>0</v>
      </c>
      <c r="F41">
        <f t="shared" si="1"/>
        <v>0</v>
      </c>
      <c r="G41">
        <f t="shared" si="1"/>
        <v>0</v>
      </c>
      <c r="H41">
        <f t="shared" si="1"/>
        <v>0</v>
      </c>
      <c r="I41">
        <f t="shared" si="1"/>
        <v>0</v>
      </c>
      <c r="J41">
        <f t="shared" si="1"/>
        <v>0</v>
      </c>
      <c r="K41">
        <f t="shared" si="1"/>
        <v>0</v>
      </c>
      <c r="L41">
        <f t="shared" si="1"/>
        <v>0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0.251</v>
      </c>
      <c r="D44">
        <f t="shared" si="3"/>
        <v>0.251</v>
      </c>
      <c r="E44">
        <f t="shared" si="3"/>
        <v>0.28460000000000002</v>
      </c>
      <c r="F44">
        <f t="shared" si="3"/>
        <v>0.28460000000000002</v>
      </c>
      <c r="G44">
        <f t="shared" si="3"/>
        <v>0.28460000000000002</v>
      </c>
      <c r="H44">
        <f t="shared" si="3"/>
        <v>0</v>
      </c>
      <c r="I44">
        <f t="shared" si="3"/>
        <v>0.3795</v>
      </c>
      <c r="J44">
        <f t="shared" si="3"/>
        <v>0.251</v>
      </c>
      <c r="K44">
        <f t="shared" si="3"/>
        <v>0.251</v>
      </c>
      <c r="L44">
        <f t="shared" si="3"/>
        <v>0</v>
      </c>
      <c r="M44">
        <f t="shared" si="3"/>
        <v>0.28460000000000002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5.4800000000000001E-2</v>
      </c>
      <c r="C45">
        <f t="shared" si="4"/>
        <v>0</v>
      </c>
      <c r="D45">
        <f t="shared" si="4"/>
        <v>0.3795</v>
      </c>
      <c r="E45">
        <f t="shared" si="4"/>
        <v>0.1414</v>
      </c>
      <c r="F45">
        <f t="shared" si="4"/>
        <v>7.0699999999999999E-2</v>
      </c>
      <c r="G45">
        <f t="shared" si="4"/>
        <v>0.21210000000000001</v>
      </c>
      <c r="H45">
        <f t="shared" si="4"/>
        <v>7.0699999999999999E-2</v>
      </c>
      <c r="I45">
        <f t="shared" si="4"/>
        <v>0.1414</v>
      </c>
      <c r="J45">
        <f t="shared" si="4"/>
        <v>0.251</v>
      </c>
      <c r="K45">
        <f t="shared" si="4"/>
        <v>0.3347</v>
      </c>
      <c r="L45">
        <f t="shared" si="4"/>
        <v>0.21210000000000001</v>
      </c>
      <c r="M45">
        <f t="shared" si="4"/>
        <v>0.251</v>
      </c>
    </row>
    <row r="46" spans="1:13" x14ac:dyDescent="0.3">
      <c r="A46" t="s">
        <v>2</v>
      </c>
      <c r="B46">
        <f t="shared" si="4"/>
        <v>0.1673</v>
      </c>
      <c r="C46">
        <f t="shared" si="4"/>
        <v>8.3699999999999997E-2</v>
      </c>
      <c r="D46">
        <f t="shared" si="4"/>
        <v>0</v>
      </c>
      <c r="E46">
        <f t="shared" si="4"/>
        <v>0</v>
      </c>
      <c r="F46">
        <f t="shared" si="4"/>
        <v>7.0699999999999999E-2</v>
      </c>
      <c r="G46">
        <f t="shared" si="4"/>
        <v>0</v>
      </c>
      <c r="H46">
        <f t="shared" si="4"/>
        <v>0.1673</v>
      </c>
      <c r="I46">
        <f t="shared" si="4"/>
        <v>0</v>
      </c>
      <c r="J46">
        <f t="shared" si="4"/>
        <v>0.3795</v>
      </c>
      <c r="K46">
        <f t="shared" si="4"/>
        <v>0.3795</v>
      </c>
      <c r="L46">
        <f t="shared" si="4"/>
        <v>0.28460000000000002</v>
      </c>
      <c r="M46">
        <f t="shared" si="4"/>
        <v>0.3795</v>
      </c>
    </row>
    <row r="47" spans="1:13" x14ac:dyDescent="0.3">
      <c r="A47" t="s">
        <v>3</v>
      </c>
      <c r="B47">
        <f t="shared" si="4"/>
        <v>5.4800000000000001E-2</v>
      </c>
      <c r="C47">
        <f t="shared" si="4"/>
        <v>0.3795</v>
      </c>
      <c r="D47">
        <f t="shared" si="4"/>
        <v>0.3347</v>
      </c>
      <c r="E47">
        <f t="shared" si="4"/>
        <v>0</v>
      </c>
      <c r="F47">
        <f t="shared" si="4"/>
        <v>3.1600000000000003E-2</v>
      </c>
      <c r="G47">
        <f t="shared" si="4"/>
        <v>0.3795</v>
      </c>
      <c r="H47">
        <f t="shared" si="4"/>
        <v>0.28460000000000002</v>
      </c>
      <c r="I47">
        <f t="shared" si="4"/>
        <v>0.28460000000000002</v>
      </c>
      <c r="J47">
        <f t="shared" si="4"/>
        <v>0.28460000000000002</v>
      </c>
      <c r="K47">
        <f t="shared" si="4"/>
        <v>0</v>
      </c>
      <c r="L47">
        <f t="shared" si="4"/>
        <v>0.3795</v>
      </c>
      <c r="M47">
        <f t="shared" si="4"/>
        <v>0.28460000000000002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0</v>
      </c>
      <c r="C48">
        <f t="shared" si="5"/>
        <v>5.4800000000000001E-2</v>
      </c>
      <c r="D48">
        <f t="shared" si="5"/>
        <v>0</v>
      </c>
      <c r="E48">
        <f t="shared" si="5"/>
        <v>5.4800000000000001E-2</v>
      </c>
      <c r="F48">
        <f t="shared" si="5"/>
        <v>0</v>
      </c>
      <c r="G48">
        <f t="shared" si="5"/>
        <v>0.1673</v>
      </c>
      <c r="H48">
        <f t="shared" si="5"/>
        <v>0</v>
      </c>
      <c r="I48">
        <f t="shared" si="5"/>
        <v>7.0699999999999999E-2</v>
      </c>
      <c r="J48">
        <f t="shared" si="5"/>
        <v>0.28460000000000002</v>
      </c>
      <c r="K48">
        <f t="shared" si="5"/>
        <v>0.3347</v>
      </c>
      <c r="L48">
        <f t="shared" si="5"/>
        <v>7.0699999999999999E-2</v>
      </c>
      <c r="M48">
        <f t="shared" si="5"/>
        <v>0</v>
      </c>
    </row>
    <row r="49" spans="1:13" x14ac:dyDescent="0.3">
      <c r="A49" t="s">
        <v>5</v>
      </c>
      <c r="B49">
        <f t="shared" si="4"/>
        <v>0</v>
      </c>
      <c r="C49">
        <f t="shared" si="4"/>
        <v>7.0699999999999999E-2</v>
      </c>
      <c r="D49">
        <f t="shared" si="4"/>
        <v>0</v>
      </c>
      <c r="E49">
        <f t="shared" si="4"/>
        <v>0</v>
      </c>
      <c r="F49">
        <f t="shared" si="4"/>
        <v>7.0699999999999999E-2</v>
      </c>
      <c r="G49">
        <f t="shared" si="4"/>
        <v>0</v>
      </c>
      <c r="H49">
        <f t="shared" si="4"/>
        <v>7.0699999999999999E-2</v>
      </c>
      <c r="I49">
        <f t="shared" si="4"/>
        <v>8.3699999999999997E-2</v>
      </c>
      <c r="J49">
        <f t="shared" si="4"/>
        <v>0</v>
      </c>
      <c r="K49">
        <f t="shared" si="4"/>
        <v>5.4800000000000001E-2</v>
      </c>
      <c r="L49">
        <f t="shared" si="4"/>
        <v>0</v>
      </c>
      <c r="M49">
        <f t="shared" si="4"/>
        <v>0</v>
      </c>
    </row>
    <row r="50" spans="1:13" x14ac:dyDescent="0.3">
      <c r="A50" t="s">
        <v>6</v>
      </c>
      <c r="B50">
        <f t="shared" si="4"/>
        <v>0</v>
      </c>
      <c r="C50">
        <f t="shared" si="4"/>
        <v>0</v>
      </c>
      <c r="D50">
        <f t="shared" si="4"/>
        <v>0</v>
      </c>
      <c r="E50">
        <f t="shared" si="4"/>
        <v>5.4800000000000001E-2</v>
      </c>
      <c r="F50">
        <f t="shared" si="4"/>
        <v>0</v>
      </c>
      <c r="G50">
        <f t="shared" si="4"/>
        <v>0</v>
      </c>
      <c r="H50">
        <f t="shared" si="4"/>
        <v>0</v>
      </c>
      <c r="I50">
        <f t="shared" si="4"/>
        <v>7.0699999999999999E-2</v>
      </c>
      <c r="J50">
        <f t="shared" si="4"/>
        <v>0</v>
      </c>
      <c r="K50">
        <f t="shared" si="4"/>
        <v>0.251</v>
      </c>
      <c r="L50">
        <f t="shared" si="4"/>
        <v>7.0699999999999999E-2</v>
      </c>
      <c r="M50">
        <f t="shared" si="4"/>
        <v>0</v>
      </c>
    </row>
    <row r="51" spans="1:13" x14ac:dyDescent="0.3">
      <c r="A51" t="s">
        <v>7</v>
      </c>
      <c r="B51">
        <f t="shared" si="4"/>
        <v>5.4800000000000001E-2</v>
      </c>
      <c r="C51">
        <f t="shared" si="4"/>
        <v>0</v>
      </c>
      <c r="D51">
        <f t="shared" si="4"/>
        <v>7.0699999999999999E-2</v>
      </c>
      <c r="E51">
        <f t="shared" si="4"/>
        <v>0</v>
      </c>
      <c r="F51">
        <f t="shared" si="4"/>
        <v>5.4800000000000001E-2</v>
      </c>
      <c r="G51">
        <f t="shared" si="4"/>
        <v>0</v>
      </c>
      <c r="H51">
        <f t="shared" si="4"/>
        <v>0</v>
      </c>
      <c r="I51">
        <f t="shared" si="4"/>
        <v>0</v>
      </c>
      <c r="J51">
        <f t="shared" si="4"/>
        <v>0.28460000000000002</v>
      </c>
      <c r="K51">
        <f t="shared" si="4"/>
        <v>0.3347</v>
      </c>
      <c r="L51">
        <f t="shared" si="4"/>
        <v>0.3795</v>
      </c>
      <c r="M51">
        <f t="shared" si="4"/>
        <v>0.3795</v>
      </c>
    </row>
    <row r="52" spans="1:13" x14ac:dyDescent="0.3">
      <c r="A52" t="s">
        <v>8</v>
      </c>
      <c r="B52">
        <f t="shared" si="4"/>
        <v>0.251</v>
      </c>
      <c r="C52">
        <f t="shared" si="4"/>
        <v>0</v>
      </c>
      <c r="D52">
        <f t="shared" si="4"/>
        <v>0</v>
      </c>
      <c r="E52">
        <f t="shared" si="4"/>
        <v>7.0699999999999999E-2</v>
      </c>
      <c r="F52">
        <f t="shared" si="4"/>
        <v>0</v>
      </c>
      <c r="G52">
        <f t="shared" si="4"/>
        <v>7.0699999999999999E-2</v>
      </c>
      <c r="H52">
        <f t="shared" si="4"/>
        <v>8.3699999999999997E-2</v>
      </c>
      <c r="I52">
        <f t="shared" si="4"/>
        <v>7.0699999999999999E-2</v>
      </c>
      <c r="J52">
        <f t="shared" si="4"/>
        <v>0</v>
      </c>
      <c r="K52">
        <f t="shared" si="4"/>
        <v>0.3795</v>
      </c>
      <c r="L52">
        <f t="shared" si="4"/>
        <v>0.3795</v>
      </c>
      <c r="M52">
        <f t="shared" si="4"/>
        <v>0.28460000000000002</v>
      </c>
    </row>
    <row r="53" spans="1:13" x14ac:dyDescent="0.3">
      <c r="A53" t="s">
        <v>9</v>
      </c>
      <c r="B53">
        <f t="shared" si="4"/>
        <v>0</v>
      </c>
      <c r="C53">
        <f t="shared" si="4"/>
        <v>8.3699999999999997E-2</v>
      </c>
      <c r="D53">
        <f t="shared" si="4"/>
        <v>7.0699999999999999E-2</v>
      </c>
      <c r="E53">
        <f t="shared" si="4"/>
        <v>5.4800000000000001E-2</v>
      </c>
      <c r="F53">
        <f t="shared" si="4"/>
        <v>7.0699999999999999E-2</v>
      </c>
      <c r="G53">
        <f t="shared" si="4"/>
        <v>0</v>
      </c>
      <c r="H53">
        <f t="shared" si="4"/>
        <v>7.0699999999999999E-2</v>
      </c>
      <c r="I53">
        <f t="shared" si="4"/>
        <v>0</v>
      </c>
      <c r="J53">
        <f t="shared" si="4"/>
        <v>0</v>
      </c>
      <c r="K53">
        <f t="shared" si="4"/>
        <v>0</v>
      </c>
      <c r="L53">
        <f t="shared" si="4"/>
        <v>0</v>
      </c>
      <c r="M53">
        <f t="shared" si="4"/>
        <v>7.0699999999999999E-2</v>
      </c>
    </row>
    <row r="54" spans="1:13" x14ac:dyDescent="0.3">
      <c r="A54" t="s">
        <v>10</v>
      </c>
      <c r="B54">
        <f t="shared" si="4"/>
        <v>3.1600000000000003E-2</v>
      </c>
      <c r="C54">
        <f t="shared" si="4"/>
        <v>0</v>
      </c>
      <c r="D54">
        <f t="shared" si="4"/>
        <v>5.4800000000000001E-2</v>
      </c>
      <c r="E54">
        <f t="shared" si="4"/>
        <v>7.0699999999999999E-2</v>
      </c>
      <c r="F54">
        <f t="shared" si="4"/>
        <v>0</v>
      </c>
      <c r="G54">
        <f t="shared" si="4"/>
        <v>0</v>
      </c>
      <c r="H54">
        <f t="shared" si="4"/>
        <v>0</v>
      </c>
      <c r="I54">
        <f t="shared" si="4"/>
        <v>0</v>
      </c>
      <c r="J54">
        <f t="shared" si="4"/>
        <v>0</v>
      </c>
      <c r="K54">
        <f t="shared" si="4"/>
        <v>0</v>
      </c>
      <c r="L54">
        <f t="shared" si="4"/>
        <v>0</v>
      </c>
      <c r="M54">
        <f t="shared" si="4"/>
        <v>0.28460000000000002</v>
      </c>
    </row>
    <row r="55" spans="1:13" x14ac:dyDescent="0.3">
      <c r="A55" t="s">
        <v>11</v>
      </c>
      <c r="B55">
        <f t="shared" si="4"/>
        <v>3.1600000000000003E-2</v>
      </c>
      <c r="C55">
        <f t="shared" si="4"/>
        <v>5.4800000000000001E-2</v>
      </c>
      <c r="D55">
        <f t="shared" si="4"/>
        <v>0</v>
      </c>
      <c r="E55">
        <f t="shared" si="4"/>
        <v>7.0699999999999999E-2</v>
      </c>
      <c r="F55">
        <f t="shared" si="4"/>
        <v>0</v>
      </c>
      <c r="G55">
        <f t="shared" si="4"/>
        <v>3.1600000000000003E-2</v>
      </c>
      <c r="H55">
        <f t="shared" si="4"/>
        <v>7.0699999999999999E-2</v>
      </c>
      <c r="I55">
        <f t="shared" si="4"/>
        <v>8.3699999999999997E-2</v>
      </c>
      <c r="J55">
        <f t="shared" si="4"/>
        <v>0</v>
      </c>
      <c r="K55">
        <f t="shared" si="4"/>
        <v>0</v>
      </c>
      <c r="L55">
        <f t="shared" si="4"/>
        <v>0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0.3347</v>
      </c>
      <c r="D58">
        <f t="shared" si="6"/>
        <v>0.3347</v>
      </c>
      <c r="E58">
        <f t="shared" si="6"/>
        <v>0.3795</v>
      </c>
      <c r="F58">
        <f t="shared" si="6"/>
        <v>0.3795</v>
      </c>
      <c r="G58">
        <f t="shared" si="6"/>
        <v>0.3795</v>
      </c>
      <c r="H58">
        <f t="shared" si="6"/>
        <v>7.0699999999999999E-2</v>
      </c>
      <c r="I58">
        <f t="shared" si="6"/>
        <v>0.3795</v>
      </c>
      <c r="J58">
        <f t="shared" si="6"/>
        <v>0.3347</v>
      </c>
      <c r="K58">
        <f t="shared" si="6"/>
        <v>0.3347</v>
      </c>
      <c r="L58">
        <f t="shared" si="6"/>
        <v>8.3699999999999997E-2</v>
      </c>
      <c r="M58">
        <f t="shared" si="6"/>
        <v>0.3795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0.1095</v>
      </c>
      <c r="C59">
        <f t="shared" si="7"/>
        <v>0</v>
      </c>
      <c r="D59">
        <f t="shared" si="7"/>
        <v>0.3795</v>
      </c>
      <c r="E59">
        <f t="shared" si="7"/>
        <v>0.21210000000000001</v>
      </c>
      <c r="F59">
        <f t="shared" si="7"/>
        <v>0.1414</v>
      </c>
      <c r="G59">
        <f t="shared" si="7"/>
        <v>0.2828</v>
      </c>
      <c r="H59">
        <f t="shared" si="7"/>
        <v>0.1414</v>
      </c>
      <c r="I59">
        <f t="shared" si="7"/>
        <v>0.21210000000000001</v>
      </c>
      <c r="J59">
        <f t="shared" si="7"/>
        <v>0.3347</v>
      </c>
      <c r="K59">
        <f t="shared" si="7"/>
        <v>0.3347</v>
      </c>
      <c r="L59">
        <f t="shared" si="7"/>
        <v>0.2828</v>
      </c>
      <c r="M59">
        <f t="shared" si="7"/>
        <v>0.3347</v>
      </c>
    </row>
    <row r="60" spans="1:13" x14ac:dyDescent="0.3">
      <c r="A60" t="s">
        <v>2</v>
      </c>
      <c r="B60">
        <f t="shared" si="7"/>
        <v>0.251</v>
      </c>
      <c r="C60">
        <f t="shared" si="7"/>
        <v>0.1673</v>
      </c>
      <c r="D60">
        <f t="shared" si="7"/>
        <v>0</v>
      </c>
      <c r="E60">
        <f t="shared" si="7"/>
        <v>7.0699999999999999E-2</v>
      </c>
      <c r="F60">
        <f t="shared" si="7"/>
        <v>0.1414</v>
      </c>
      <c r="G60">
        <f t="shared" si="7"/>
        <v>8.3699999999999997E-2</v>
      </c>
      <c r="H60">
        <f t="shared" si="7"/>
        <v>0.251</v>
      </c>
      <c r="I60">
        <f t="shared" si="7"/>
        <v>3.1600000000000003E-2</v>
      </c>
      <c r="J60">
        <f t="shared" si="7"/>
        <v>0.3795</v>
      </c>
      <c r="K60">
        <f t="shared" si="7"/>
        <v>0.3795</v>
      </c>
      <c r="L60">
        <f t="shared" si="7"/>
        <v>0.3795</v>
      </c>
      <c r="M60">
        <f t="shared" si="7"/>
        <v>0.3795</v>
      </c>
    </row>
    <row r="61" spans="1:13" x14ac:dyDescent="0.3">
      <c r="A61" t="s">
        <v>3</v>
      </c>
      <c r="B61">
        <f t="shared" si="7"/>
        <v>0.1095</v>
      </c>
      <c r="C61">
        <f t="shared" si="7"/>
        <v>0.3795</v>
      </c>
      <c r="D61">
        <f t="shared" si="7"/>
        <v>0.3347</v>
      </c>
      <c r="E61">
        <f t="shared" si="7"/>
        <v>0</v>
      </c>
      <c r="F61">
        <f t="shared" si="7"/>
        <v>6.3200000000000006E-2</v>
      </c>
      <c r="G61">
        <f t="shared" si="7"/>
        <v>0.3795</v>
      </c>
      <c r="H61">
        <f t="shared" si="7"/>
        <v>0.3795</v>
      </c>
      <c r="I61">
        <f t="shared" si="7"/>
        <v>0.3795</v>
      </c>
      <c r="J61">
        <f t="shared" si="7"/>
        <v>0.3795</v>
      </c>
      <c r="K61">
        <f t="shared" si="7"/>
        <v>7.0699999999999999E-2</v>
      </c>
      <c r="L61">
        <f t="shared" si="7"/>
        <v>0.3795</v>
      </c>
      <c r="M61">
        <f t="shared" si="7"/>
        <v>0.3795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7.0699999999999999E-2</v>
      </c>
      <c r="C62">
        <f t="shared" si="8"/>
        <v>0.1095</v>
      </c>
      <c r="D62">
        <f t="shared" si="8"/>
        <v>5.4800000000000001E-2</v>
      </c>
      <c r="E62">
        <f t="shared" si="8"/>
        <v>0.1095</v>
      </c>
      <c r="F62">
        <f t="shared" si="8"/>
        <v>0</v>
      </c>
      <c r="G62">
        <f t="shared" si="8"/>
        <v>0.251</v>
      </c>
      <c r="H62">
        <f t="shared" si="8"/>
        <v>8.3699999999999997E-2</v>
      </c>
      <c r="I62">
        <f t="shared" si="8"/>
        <v>0.1414</v>
      </c>
      <c r="J62">
        <f t="shared" si="8"/>
        <v>0.3795</v>
      </c>
      <c r="K62">
        <f t="shared" si="8"/>
        <v>0.3347</v>
      </c>
      <c r="L62">
        <f t="shared" si="8"/>
        <v>0.1414</v>
      </c>
      <c r="M62">
        <f t="shared" si="8"/>
        <v>8.3699999999999997E-2</v>
      </c>
    </row>
    <row r="63" spans="1:13" x14ac:dyDescent="0.3">
      <c r="A63" t="s">
        <v>5</v>
      </c>
      <c r="B63">
        <f t="shared" si="7"/>
        <v>3.1600000000000003E-2</v>
      </c>
      <c r="C63">
        <f t="shared" si="7"/>
        <v>0.1414</v>
      </c>
      <c r="D63">
        <f t="shared" si="7"/>
        <v>5.4800000000000001E-2</v>
      </c>
      <c r="E63">
        <f t="shared" si="7"/>
        <v>7.0699999999999999E-2</v>
      </c>
      <c r="F63">
        <f t="shared" si="7"/>
        <v>0.1414</v>
      </c>
      <c r="G63">
        <f t="shared" si="7"/>
        <v>0</v>
      </c>
      <c r="H63">
        <f t="shared" si="7"/>
        <v>0.1414</v>
      </c>
      <c r="I63">
        <f t="shared" si="7"/>
        <v>0.1673</v>
      </c>
      <c r="J63">
        <f t="shared" si="7"/>
        <v>3.1600000000000003E-2</v>
      </c>
      <c r="K63">
        <f t="shared" si="7"/>
        <v>0.1095</v>
      </c>
      <c r="L63">
        <f t="shared" si="7"/>
        <v>5.4800000000000001E-2</v>
      </c>
      <c r="M63">
        <f t="shared" si="7"/>
        <v>8.3699999999999997E-2</v>
      </c>
    </row>
    <row r="64" spans="1:13" x14ac:dyDescent="0.3">
      <c r="A64" t="s">
        <v>6</v>
      </c>
      <c r="B64">
        <f t="shared" si="7"/>
        <v>7.0699999999999999E-2</v>
      </c>
      <c r="C64">
        <f t="shared" si="7"/>
        <v>5.4800000000000001E-2</v>
      </c>
      <c r="D64">
        <f t="shared" si="7"/>
        <v>3.1600000000000003E-2</v>
      </c>
      <c r="E64">
        <f t="shared" si="7"/>
        <v>0.1095</v>
      </c>
      <c r="F64">
        <f t="shared" si="7"/>
        <v>7.0699999999999999E-2</v>
      </c>
      <c r="G64">
        <f t="shared" si="7"/>
        <v>7.0699999999999999E-2</v>
      </c>
      <c r="H64">
        <f t="shared" si="7"/>
        <v>0</v>
      </c>
      <c r="I64">
        <f t="shared" si="7"/>
        <v>0.1414</v>
      </c>
      <c r="J64">
        <f t="shared" si="7"/>
        <v>7.0699999999999999E-2</v>
      </c>
      <c r="K64">
        <f t="shared" si="7"/>
        <v>0.3347</v>
      </c>
      <c r="L64">
        <f t="shared" si="7"/>
        <v>0.1414</v>
      </c>
      <c r="M64">
        <f t="shared" si="7"/>
        <v>5.4800000000000001E-2</v>
      </c>
    </row>
    <row r="65" spans="1:13" x14ac:dyDescent="0.3">
      <c r="A65" t="s">
        <v>7</v>
      </c>
      <c r="B65">
        <f t="shared" si="7"/>
        <v>0.1095</v>
      </c>
      <c r="C65">
        <f t="shared" si="7"/>
        <v>7.0699999999999999E-2</v>
      </c>
      <c r="D65">
        <f t="shared" si="7"/>
        <v>0.1414</v>
      </c>
      <c r="E65">
        <f t="shared" si="7"/>
        <v>5.4800000000000001E-2</v>
      </c>
      <c r="F65">
        <f t="shared" si="7"/>
        <v>0.1095</v>
      </c>
      <c r="G65">
        <f t="shared" si="7"/>
        <v>3.1600000000000003E-2</v>
      </c>
      <c r="H65">
        <f t="shared" si="7"/>
        <v>3.1600000000000003E-2</v>
      </c>
      <c r="I65">
        <f t="shared" si="7"/>
        <v>0</v>
      </c>
      <c r="J65">
        <f t="shared" si="7"/>
        <v>0.3795</v>
      </c>
      <c r="K65">
        <f t="shared" si="7"/>
        <v>0.3347</v>
      </c>
      <c r="L65">
        <f t="shared" si="7"/>
        <v>0.3795</v>
      </c>
      <c r="M65">
        <f t="shared" si="7"/>
        <v>0.3795</v>
      </c>
    </row>
    <row r="66" spans="1:13" x14ac:dyDescent="0.3">
      <c r="A66" t="s">
        <v>8</v>
      </c>
      <c r="B66">
        <f t="shared" si="7"/>
        <v>0.3347</v>
      </c>
      <c r="C66">
        <f t="shared" si="7"/>
        <v>8.3699999999999997E-2</v>
      </c>
      <c r="D66">
        <f t="shared" si="7"/>
        <v>8.3699999999999997E-2</v>
      </c>
      <c r="E66">
        <f t="shared" si="7"/>
        <v>0.1414</v>
      </c>
      <c r="F66">
        <f t="shared" si="7"/>
        <v>7.0699999999999999E-2</v>
      </c>
      <c r="G66">
        <f t="shared" si="7"/>
        <v>0.1414</v>
      </c>
      <c r="H66">
        <f t="shared" si="7"/>
        <v>0.1673</v>
      </c>
      <c r="I66">
        <f t="shared" si="7"/>
        <v>0.1414</v>
      </c>
      <c r="J66">
        <f t="shared" si="7"/>
        <v>0</v>
      </c>
      <c r="K66">
        <f t="shared" si="7"/>
        <v>0.3795</v>
      </c>
      <c r="L66">
        <f t="shared" si="7"/>
        <v>0.3795</v>
      </c>
      <c r="M66">
        <f t="shared" si="7"/>
        <v>0.3795</v>
      </c>
    </row>
    <row r="67" spans="1:13" x14ac:dyDescent="0.3">
      <c r="A67" t="s">
        <v>9</v>
      </c>
      <c r="B67">
        <f t="shared" si="7"/>
        <v>7.0699999999999999E-2</v>
      </c>
      <c r="C67">
        <f t="shared" si="7"/>
        <v>0.1673</v>
      </c>
      <c r="D67">
        <f t="shared" si="7"/>
        <v>0.1414</v>
      </c>
      <c r="E67">
        <f t="shared" si="7"/>
        <v>0.1095</v>
      </c>
      <c r="F67">
        <f t="shared" si="7"/>
        <v>0.1414</v>
      </c>
      <c r="G67">
        <f t="shared" si="7"/>
        <v>7.0699999999999999E-2</v>
      </c>
      <c r="H67">
        <f t="shared" si="7"/>
        <v>0.1414</v>
      </c>
      <c r="I67">
        <f t="shared" si="7"/>
        <v>5.4800000000000001E-2</v>
      </c>
      <c r="J67">
        <f t="shared" si="7"/>
        <v>7.0699999999999999E-2</v>
      </c>
      <c r="K67">
        <f t="shared" si="7"/>
        <v>0</v>
      </c>
      <c r="L67">
        <f t="shared" si="7"/>
        <v>7.0699999999999999E-2</v>
      </c>
      <c r="M67">
        <f t="shared" si="7"/>
        <v>0.1414</v>
      </c>
    </row>
    <row r="68" spans="1:13" x14ac:dyDescent="0.3">
      <c r="A68" t="s">
        <v>10</v>
      </c>
      <c r="B68">
        <f t="shared" si="7"/>
        <v>6.3200000000000006E-2</v>
      </c>
      <c r="C68">
        <f t="shared" si="7"/>
        <v>8.3699999999999997E-2</v>
      </c>
      <c r="D68">
        <f t="shared" si="7"/>
        <v>0.1095</v>
      </c>
      <c r="E68">
        <f t="shared" si="7"/>
        <v>0.1414</v>
      </c>
      <c r="F68">
        <f t="shared" si="7"/>
        <v>7.0699999999999999E-2</v>
      </c>
      <c r="G68">
        <f t="shared" si="7"/>
        <v>7.0699999999999999E-2</v>
      </c>
      <c r="H68">
        <f t="shared" si="7"/>
        <v>5.4800000000000001E-2</v>
      </c>
      <c r="I68">
        <f t="shared" si="7"/>
        <v>3.1600000000000003E-2</v>
      </c>
      <c r="J68">
        <f t="shared" si="7"/>
        <v>8.3699999999999997E-2</v>
      </c>
      <c r="K68">
        <f t="shared" si="7"/>
        <v>5.4800000000000001E-2</v>
      </c>
      <c r="L68">
        <f t="shared" si="7"/>
        <v>0</v>
      </c>
      <c r="M68">
        <f t="shared" si="7"/>
        <v>0.3795</v>
      </c>
    </row>
    <row r="69" spans="1:13" x14ac:dyDescent="0.3">
      <c r="A69" t="s">
        <v>11</v>
      </c>
      <c r="B69">
        <f t="shared" si="7"/>
        <v>6.3200000000000006E-2</v>
      </c>
      <c r="C69">
        <f t="shared" si="7"/>
        <v>0.1095</v>
      </c>
      <c r="D69">
        <f t="shared" si="7"/>
        <v>7.0699999999999999E-2</v>
      </c>
      <c r="E69">
        <f t="shared" si="7"/>
        <v>0.1414</v>
      </c>
      <c r="F69">
        <f t="shared" si="7"/>
        <v>7.0699999999999999E-2</v>
      </c>
      <c r="G69">
        <f t="shared" si="7"/>
        <v>6.3200000000000006E-2</v>
      </c>
      <c r="H69">
        <f t="shared" si="7"/>
        <v>0.1414</v>
      </c>
      <c r="I69">
        <f t="shared" si="7"/>
        <v>0.1673</v>
      </c>
      <c r="J69">
        <f t="shared" si="7"/>
        <v>7.0699999999999999E-2</v>
      </c>
      <c r="K69">
        <f t="shared" si="7"/>
        <v>3.1600000000000003E-2</v>
      </c>
      <c r="L69">
        <f t="shared" si="7"/>
        <v>7.0699999999999999E-2</v>
      </c>
      <c r="M69">
        <f t="shared" si="7"/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8"/>
  <dimension ref="A1:M69"/>
  <sheetViews>
    <sheetView workbookViewId="0">
      <selection activeCell="A15" sqref="A15:M69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12</v>
      </c>
      <c r="D2" t="s">
        <v>12</v>
      </c>
      <c r="E2" t="s">
        <v>13</v>
      </c>
      <c r="F2" t="s">
        <v>12</v>
      </c>
      <c r="G2" t="s">
        <v>62</v>
      </c>
      <c r="H2" t="s">
        <v>13</v>
      </c>
      <c r="I2" t="s">
        <v>20</v>
      </c>
      <c r="J2" t="s">
        <v>13</v>
      </c>
      <c r="K2" t="s">
        <v>25</v>
      </c>
      <c r="L2" s="6" t="s">
        <v>18</v>
      </c>
      <c r="M2" t="s">
        <v>15</v>
      </c>
    </row>
    <row r="3" spans="1:13" x14ac:dyDescent="0.3">
      <c r="A3" s="1" t="s">
        <v>1</v>
      </c>
      <c r="B3" t="s">
        <v>20</v>
      </c>
      <c r="C3">
        <v>0</v>
      </c>
      <c r="D3" t="s">
        <v>18</v>
      </c>
      <c r="E3" t="s">
        <v>21</v>
      </c>
      <c r="F3" t="s">
        <v>15</v>
      </c>
      <c r="G3" t="s">
        <v>21</v>
      </c>
      <c r="H3" t="s">
        <v>12</v>
      </c>
      <c r="I3" t="s">
        <v>23</v>
      </c>
      <c r="J3" t="s">
        <v>19</v>
      </c>
      <c r="K3" t="s">
        <v>18</v>
      </c>
      <c r="L3" s="6" t="s">
        <v>22</v>
      </c>
      <c r="M3" t="s">
        <v>13</v>
      </c>
    </row>
    <row r="4" spans="1:13" x14ac:dyDescent="0.3">
      <c r="A4" s="1" t="s">
        <v>2</v>
      </c>
      <c r="B4" t="s">
        <v>22</v>
      </c>
      <c r="C4" t="s">
        <v>16</v>
      </c>
      <c r="D4">
        <v>0</v>
      </c>
      <c r="E4" t="s">
        <v>71</v>
      </c>
      <c r="F4" t="s">
        <v>17</v>
      </c>
      <c r="G4" t="s">
        <v>19</v>
      </c>
      <c r="H4" t="s">
        <v>22</v>
      </c>
      <c r="I4" t="s">
        <v>15</v>
      </c>
      <c r="J4" t="s">
        <v>13</v>
      </c>
      <c r="K4" t="s">
        <v>18</v>
      </c>
      <c r="L4" s="6" t="s">
        <v>13</v>
      </c>
      <c r="M4" t="s">
        <v>13</v>
      </c>
    </row>
    <row r="5" spans="1:13" x14ac:dyDescent="0.3">
      <c r="A5" s="1" t="s">
        <v>3</v>
      </c>
      <c r="B5" t="s">
        <v>18</v>
      </c>
      <c r="C5" t="s">
        <v>13</v>
      </c>
      <c r="D5" t="s">
        <v>18</v>
      </c>
      <c r="E5">
        <v>0</v>
      </c>
      <c r="F5" t="s">
        <v>24</v>
      </c>
      <c r="G5" t="s">
        <v>13</v>
      </c>
      <c r="H5" t="s">
        <v>25</v>
      </c>
      <c r="I5" t="s">
        <v>62</v>
      </c>
      <c r="J5" t="s">
        <v>13</v>
      </c>
      <c r="K5" t="s">
        <v>16</v>
      </c>
      <c r="L5" s="6" t="s">
        <v>18</v>
      </c>
      <c r="M5" t="s">
        <v>24</v>
      </c>
    </row>
    <row r="6" spans="1:13" x14ac:dyDescent="0.3">
      <c r="A6" s="1" t="s">
        <v>4</v>
      </c>
      <c r="B6" t="s">
        <v>15</v>
      </c>
      <c r="C6" t="s">
        <v>15</v>
      </c>
      <c r="D6" t="s">
        <v>24</v>
      </c>
      <c r="E6" t="s">
        <v>16</v>
      </c>
      <c r="F6">
        <v>0</v>
      </c>
      <c r="G6" t="s">
        <v>25</v>
      </c>
      <c r="H6" t="s">
        <v>24</v>
      </c>
      <c r="I6" t="s">
        <v>16</v>
      </c>
      <c r="J6" t="s">
        <v>13</v>
      </c>
      <c r="K6" t="s">
        <v>25</v>
      </c>
      <c r="L6" s="6" t="s">
        <v>15</v>
      </c>
      <c r="M6" t="s">
        <v>24</v>
      </c>
    </row>
    <row r="7" spans="1:13" x14ac:dyDescent="0.3">
      <c r="A7" s="1" t="s">
        <v>5</v>
      </c>
      <c r="B7" t="s">
        <v>15</v>
      </c>
      <c r="C7" t="s">
        <v>16</v>
      </c>
      <c r="D7" t="s">
        <v>20</v>
      </c>
      <c r="E7" t="s">
        <v>16</v>
      </c>
      <c r="F7" t="s">
        <v>16</v>
      </c>
      <c r="G7">
        <v>0</v>
      </c>
      <c r="H7" t="s">
        <v>62</v>
      </c>
      <c r="I7" t="s">
        <v>62</v>
      </c>
      <c r="J7" t="s">
        <v>16</v>
      </c>
      <c r="K7" t="s">
        <v>15</v>
      </c>
      <c r="L7" t="s">
        <v>20</v>
      </c>
      <c r="M7" t="s">
        <v>71</v>
      </c>
    </row>
    <row r="8" spans="1:13" x14ac:dyDescent="0.3">
      <c r="A8" s="1" t="s">
        <v>6</v>
      </c>
      <c r="B8" t="s">
        <v>18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>
        <v>0</v>
      </c>
      <c r="I8" t="s">
        <v>15</v>
      </c>
      <c r="J8" t="s">
        <v>18</v>
      </c>
      <c r="K8" t="s">
        <v>18</v>
      </c>
      <c r="L8" t="s">
        <v>18</v>
      </c>
      <c r="M8" t="s">
        <v>18</v>
      </c>
    </row>
    <row r="9" spans="1:13" x14ac:dyDescent="0.3">
      <c r="A9" s="1" t="s">
        <v>7</v>
      </c>
      <c r="B9" t="s">
        <v>15</v>
      </c>
      <c r="C9" t="s">
        <v>16</v>
      </c>
      <c r="D9" t="s">
        <v>16</v>
      </c>
      <c r="E9" t="s">
        <v>71</v>
      </c>
      <c r="F9" t="s">
        <v>23</v>
      </c>
      <c r="G9" t="s">
        <v>23</v>
      </c>
      <c r="H9" t="s">
        <v>20</v>
      </c>
      <c r="I9">
        <v>0</v>
      </c>
      <c r="J9" t="s">
        <v>16</v>
      </c>
      <c r="K9" t="s">
        <v>18</v>
      </c>
      <c r="L9" t="s">
        <v>13</v>
      </c>
      <c r="M9" t="s">
        <v>18</v>
      </c>
    </row>
    <row r="10" spans="1:13" x14ac:dyDescent="0.3">
      <c r="A10" s="1" t="s">
        <v>8</v>
      </c>
      <c r="B10" t="s">
        <v>21</v>
      </c>
      <c r="C10" t="s">
        <v>16</v>
      </c>
      <c r="D10" t="s">
        <v>24</v>
      </c>
      <c r="E10" t="s">
        <v>20</v>
      </c>
      <c r="F10" t="s">
        <v>16</v>
      </c>
      <c r="G10" t="s">
        <v>71</v>
      </c>
      <c r="H10" t="s">
        <v>71</v>
      </c>
      <c r="I10" t="s">
        <v>62</v>
      </c>
      <c r="J10">
        <v>0</v>
      </c>
      <c r="K10" t="s">
        <v>25</v>
      </c>
      <c r="L10" t="s">
        <v>22</v>
      </c>
      <c r="M10" t="s">
        <v>13</v>
      </c>
    </row>
    <row r="11" spans="1:13" x14ac:dyDescent="0.3">
      <c r="A11" s="1" t="s">
        <v>9</v>
      </c>
      <c r="B11" t="s">
        <v>15</v>
      </c>
      <c r="C11" t="s">
        <v>20</v>
      </c>
      <c r="D11" t="s">
        <v>16</v>
      </c>
      <c r="E11" t="s">
        <v>24</v>
      </c>
      <c r="F11" t="s">
        <v>20</v>
      </c>
      <c r="G11" t="s">
        <v>16</v>
      </c>
      <c r="H11" t="s">
        <v>20</v>
      </c>
      <c r="I11" t="s">
        <v>20</v>
      </c>
      <c r="J11" t="s">
        <v>24</v>
      </c>
      <c r="K11">
        <v>0</v>
      </c>
      <c r="L11" t="s">
        <v>15</v>
      </c>
      <c r="M11" t="s">
        <v>16</v>
      </c>
    </row>
    <row r="12" spans="1:13" x14ac:dyDescent="0.3">
      <c r="A12" s="1" t="s">
        <v>10</v>
      </c>
      <c r="B12" t="s">
        <v>16</v>
      </c>
      <c r="C12" t="s">
        <v>16</v>
      </c>
      <c r="D12" t="s">
        <v>15</v>
      </c>
      <c r="E12" t="s">
        <v>15</v>
      </c>
      <c r="F12" t="s">
        <v>24</v>
      </c>
      <c r="G12" t="s">
        <v>24</v>
      </c>
      <c r="H12" t="s">
        <v>16</v>
      </c>
      <c r="I12" t="s">
        <v>20</v>
      </c>
      <c r="J12" t="s">
        <v>15</v>
      </c>
      <c r="K12" t="s">
        <v>15</v>
      </c>
      <c r="L12">
        <v>0</v>
      </c>
      <c r="M12" t="s">
        <v>18</v>
      </c>
    </row>
    <row r="13" spans="1:13" x14ac:dyDescent="0.3">
      <c r="A13" s="1" t="s">
        <v>11</v>
      </c>
      <c r="B13" t="s">
        <v>24</v>
      </c>
      <c r="C13" t="s">
        <v>15</v>
      </c>
      <c r="D13" t="s">
        <v>24</v>
      </c>
      <c r="E13" t="s">
        <v>20</v>
      </c>
      <c r="F13" t="s">
        <v>16</v>
      </c>
      <c r="G13" t="s">
        <v>62</v>
      </c>
      <c r="H13" t="s">
        <v>24</v>
      </c>
      <c r="I13" t="s">
        <v>71</v>
      </c>
      <c r="J13" t="s">
        <v>20</v>
      </c>
      <c r="K13" t="s">
        <v>24</v>
      </c>
      <c r="L13" t="s">
        <v>18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(0,1673; 0,251; 0,3347)</v>
      </c>
      <c r="D16" t="str">
        <f>VLOOKUP(D2,'Thang đánh giá'!$C$2:$D$27,2,FALSE)</f>
        <v>(0,1673; 0,251; 0,3347)</v>
      </c>
      <c r="E16" t="str">
        <f>VLOOKUP(E2,'Thang đánh giá'!$C$2:$D$27,2,FALSE)</f>
        <v>(0,1897; 0,2846; 0,3795)</v>
      </c>
      <c r="F16" t="str">
        <f>VLOOKUP(F2,'Thang đánh giá'!$C$2:$D$27,2,FALSE)</f>
        <v>(0,1673; 0,251; 0,3347)</v>
      </c>
      <c r="G16" t="str">
        <f>VLOOKUP(G2,'Thang đánh giá'!$C$2:$D$27,2,FALSE)</f>
        <v>(0; 0,0837; 0,1673)</v>
      </c>
      <c r="H16" t="str">
        <f>VLOOKUP(H2,'Thang đánh giá'!$C$2:$D$27,2,FALSE)</f>
        <v>(0,1897; 0,2846; 0,3795)</v>
      </c>
      <c r="I16" t="str">
        <f>VLOOKUP(I2,'Thang đánh giá'!$C$2:$D$27,2,FALSE)</f>
        <v>(0; 0,0548; 0,1095)</v>
      </c>
      <c r="J16" t="str">
        <f>VLOOKUP(J2,'Thang đánh giá'!$C$2:$D$27,2,FALSE)</f>
        <v>(0,1897; 0,2846; 0,3795)</v>
      </c>
      <c r="K16" t="str">
        <f>VLOOKUP(K2,'Thang đánh giá'!$C$2:$D$27,2,FALSE)</f>
        <v>(0,251; 0,3347; 0,3347)</v>
      </c>
      <c r="L16" t="str">
        <f>VLOOKUP(L2,'Thang đánh giá'!$C$2:$D$27,2,FALSE)</f>
        <v>(0,2846; 0,3795; 0,3795)</v>
      </c>
      <c r="M16" t="str">
        <f>VLOOKUP(M2,'Thang đánh giá'!$C$2:$D$27,2,FALSE)</f>
        <v>(0; 0,0707; 0,1414)</v>
      </c>
    </row>
    <row r="17" spans="1:13" x14ac:dyDescent="0.3">
      <c r="A17" t="s">
        <v>1</v>
      </c>
      <c r="B17" t="str">
        <f>VLOOKUP(B3,'Thang đánh giá'!$C$2:$D$27,2,FALSE)</f>
        <v>(0; 0,0548; 0,1095)</v>
      </c>
      <c r="C17" t="str">
        <f>VLOOKUP(C3,'Thang đánh giá'!$C$2:$D$27,2,FALSE)</f>
        <v>(0; 0; 0)</v>
      </c>
      <c r="D17" t="str">
        <f>VLOOKUP(D3,'Thang đánh giá'!$C$2:$D$27,2,FALSE)</f>
        <v>(0,2846; 0,3795; 0,3795)</v>
      </c>
      <c r="E17" t="str">
        <f>VLOOKUP(E3,'Thang đánh giá'!$C$2:$D$27,2,FALSE)</f>
        <v>(0,0837; 0,1673; 0,251)</v>
      </c>
      <c r="F17" t="str">
        <f>VLOOKUP(F3,'Thang đánh giá'!$C$2:$D$27,2,FALSE)</f>
        <v>(0; 0,0707; 0,1414)</v>
      </c>
      <c r="G17" t="str">
        <f>VLOOKUP(G3,'Thang đánh giá'!$C$2:$D$27,2,FALSE)</f>
        <v>(0,0837; 0,1673; 0,251)</v>
      </c>
      <c r="H17" t="str">
        <f>VLOOKUP(H3,'Thang đánh giá'!$C$2:$D$27,2,FALSE)</f>
        <v>(0,1673; 0,251; 0,3347)</v>
      </c>
      <c r="I17" t="str">
        <f>VLOOKUP(I3,'Thang đánh giá'!$C$2:$D$27,2,FALSE)</f>
        <v>(0; 0; 0,0316)</v>
      </c>
      <c r="J17" t="str">
        <f>VLOOKUP(J3,'Thang đánh giá'!$C$2:$D$27,2,FALSE)</f>
        <v>(0,1414; 0,2121; 0,2828)</v>
      </c>
      <c r="K17" t="str">
        <f>VLOOKUP(K3,'Thang đánh giá'!$C$2:$D$27,2,FALSE)</f>
        <v>(0,2846; 0,3795; 0,3795)</v>
      </c>
      <c r="L17" t="str">
        <f>VLOOKUP(L3,'Thang đánh giá'!$C$2:$D$27,2,FALSE)</f>
        <v>(0,0707; 0,1414; 0,2121)</v>
      </c>
      <c r="M17" t="str">
        <f>VLOOKUP(M3,'Thang đánh giá'!$C$2:$D$27,2,FALSE)</f>
        <v>(0,1897; 0,2846; 0,3795)</v>
      </c>
    </row>
    <row r="18" spans="1:13" x14ac:dyDescent="0.3">
      <c r="A18" t="s">
        <v>2</v>
      </c>
      <c r="B18" t="str">
        <f>VLOOKUP(B4,'Thang đánh giá'!$C$2:$D$27,2,FALSE)</f>
        <v>(0,0707; 0,1414; 0,2121)</v>
      </c>
      <c r="C18" t="str">
        <f>VLOOKUP(C4,'Thang đánh giá'!$C$2:$D$27,2,FALSE)</f>
        <v>(0; 0; 0,0707)</v>
      </c>
      <c r="D18" t="str">
        <f>VLOOKUP(D4,'Thang đánh giá'!$C$2:$D$27,2,FALSE)</f>
        <v>(0; 0; 0)</v>
      </c>
      <c r="E18" t="str">
        <f>VLOOKUP(E4,'Thang đánh giá'!$C$2:$D$27,2,FALSE)</f>
        <v>(0; 0; 0,0837)</v>
      </c>
      <c r="F18" t="str">
        <f>VLOOKUP(F4,'Thang đánh giá'!$C$2:$D$27,2,FALSE)</f>
        <v>(0; 0,0316; 0,0632)</v>
      </c>
      <c r="G18" t="str">
        <f>VLOOKUP(G4,'Thang đánh giá'!$C$2:$D$27,2,FALSE)</f>
        <v>(0,1414; 0,2121; 0,2828)</v>
      </c>
      <c r="H18" t="str">
        <f>VLOOKUP(H4,'Thang đánh giá'!$C$2:$D$27,2,FALSE)</f>
        <v>(0,0707; 0,1414; 0,2121)</v>
      </c>
      <c r="I18" t="str">
        <f>VLOOKUP(I4,'Thang đánh giá'!$C$2:$D$27,2,FALSE)</f>
        <v>(0; 0,0707; 0,1414)</v>
      </c>
      <c r="J18" t="str">
        <f>VLOOKUP(J4,'Thang đánh giá'!$C$2:$D$27,2,FALSE)</f>
        <v>(0,1897; 0,2846; 0,3795)</v>
      </c>
      <c r="K18" t="str">
        <f>VLOOKUP(K4,'Thang đánh giá'!$C$2:$D$27,2,FALSE)</f>
        <v>(0,2846; 0,3795; 0,3795)</v>
      </c>
      <c r="L18" t="str">
        <f>VLOOKUP(L4,'Thang đánh giá'!$C$2:$D$27,2,FALSE)</f>
        <v>(0,1897; 0,2846; 0,3795)</v>
      </c>
      <c r="M18" t="str">
        <f>VLOOKUP(M4,'Thang đánh giá'!$C$2:$D$27,2,FALSE)</f>
        <v>(0,1897; 0,2846; 0,3795)</v>
      </c>
    </row>
    <row r="19" spans="1:13" x14ac:dyDescent="0.3">
      <c r="A19" t="s">
        <v>3</v>
      </c>
      <c r="B19" t="str">
        <f>VLOOKUP(B5,'Thang đánh giá'!$C$2:$D$27,2,FALSE)</f>
        <v>(0,2846; 0,3795; 0,3795)</v>
      </c>
      <c r="C19" t="str">
        <f>VLOOKUP(C5,'Thang đánh giá'!$C$2:$D$27,2,FALSE)</f>
        <v>(0,1897; 0,2846; 0,3795)</v>
      </c>
      <c r="D19" t="str">
        <f>VLOOKUP(D5,'Thang đánh giá'!$C$2:$D$27,2,FALSE)</f>
        <v>(0,2846; 0,3795; 0,3795)</v>
      </c>
      <c r="E19" t="str">
        <f>VLOOKUP(E5,'Thang đánh giá'!$C$2:$D$27,2,FALSE)</f>
        <v>(0; 0; 0)</v>
      </c>
      <c r="F19" t="str">
        <f>VLOOKUP(F5,'Thang đánh giá'!$C$2:$D$27,2,FALSE)</f>
        <v>(0; 0; 0,0548)</v>
      </c>
      <c r="G19" t="str">
        <f>VLOOKUP(G5,'Thang đánh giá'!$C$2:$D$27,2,FALSE)</f>
        <v>(0,1897; 0,2846; 0,3795)</v>
      </c>
      <c r="H19" t="str">
        <f>VLOOKUP(H5,'Thang đánh giá'!$C$2:$D$27,2,FALSE)</f>
        <v>(0,251; 0,3347; 0,3347)</v>
      </c>
      <c r="I19" t="str">
        <f>VLOOKUP(I5,'Thang đánh giá'!$C$2:$D$27,2,FALSE)</f>
        <v>(0; 0,0837; 0,1673)</v>
      </c>
      <c r="J19" t="str">
        <f>VLOOKUP(J5,'Thang đánh giá'!$C$2:$D$27,2,FALSE)</f>
        <v>(0,1897; 0,2846; 0,3795)</v>
      </c>
      <c r="K19" t="str">
        <f>VLOOKUP(K5,'Thang đánh giá'!$C$2:$D$27,2,FALSE)</f>
        <v>(0; 0; 0,0707)</v>
      </c>
      <c r="L19" t="str">
        <f>VLOOKUP(L5,'Thang đánh giá'!$C$2:$D$27,2,FALSE)</f>
        <v>(0,2846; 0,3795; 0,3795)</v>
      </c>
      <c r="M19" t="str">
        <f>VLOOKUP(M5,'Thang đánh giá'!$C$2:$D$27,2,FALSE)</f>
        <v>(0; 0; 0,0548)</v>
      </c>
    </row>
    <row r="20" spans="1:13" x14ac:dyDescent="0.3">
      <c r="A20" t="s">
        <v>4</v>
      </c>
      <c r="B20" t="str">
        <f>VLOOKUP(B6,'Thang đánh giá'!$C$2:$D$27,2,FALSE)</f>
        <v>(0; 0,0707; 0,1414)</v>
      </c>
      <c r="C20" t="str">
        <f>VLOOKUP(C6,'Thang đánh giá'!$C$2:$D$27,2,FALSE)</f>
        <v>(0; 0,0707; 0,1414)</v>
      </c>
      <c r="D20" t="str">
        <f>VLOOKUP(D6,'Thang đánh giá'!$C$2:$D$27,2,FALSE)</f>
        <v>(0; 0; 0,0548)</v>
      </c>
      <c r="E20" t="str">
        <f>VLOOKUP(E6,'Thang đánh giá'!$C$2:$D$27,2,FALSE)</f>
        <v>(0; 0; 0,0707)</v>
      </c>
      <c r="F20" t="str">
        <f>VLOOKUP(F6,'Thang đánh giá'!$C$2:$D$27,2,FALSE)</f>
        <v>(0; 0; 0)</v>
      </c>
      <c r="G20" t="str">
        <f>VLOOKUP(G6,'Thang đánh giá'!$C$2:$D$27,2,FALSE)</f>
        <v>(0,251; 0,3347; 0,3347)</v>
      </c>
      <c r="H20" t="str">
        <f>VLOOKUP(H6,'Thang đánh giá'!$C$2:$D$27,2,FALSE)</f>
        <v>(0; 0; 0,0548)</v>
      </c>
      <c r="I20" t="str">
        <f>VLOOKUP(I6,'Thang đánh giá'!$C$2:$D$27,2,FALSE)</f>
        <v>(0; 0; 0,0707)</v>
      </c>
      <c r="J20" t="str">
        <f>VLOOKUP(J6,'Thang đánh giá'!$C$2:$D$27,2,FALSE)</f>
        <v>(0,1897; 0,2846; 0,3795)</v>
      </c>
      <c r="K20" t="str">
        <f>VLOOKUP(K6,'Thang đánh giá'!$C$2:$D$27,2,FALSE)</f>
        <v>(0,251; 0,3347; 0,3347)</v>
      </c>
      <c r="L20" t="str">
        <f>VLOOKUP(L6,'Thang đánh giá'!$C$2:$D$27,2,FALSE)</f>
        <v>(0; 0,0707; 0,1414)</v>
      </c>
      <c r="M20" t="str">
        <f>VLOOKUP(M6,'Thang đánh giá'!$C$2:$D$27,2,FALSE)</f>
        <v>(0; 0; 0,0548)</v>
      </c>
    </row>
    <row r="21" spans="1:13" x14ac:dyDescent="0.3">
      <c r="A21" t="s">
        <v>5</v>
      </c>
      <c r="B21" t="str">
        <f>VLOOKUP(B7,'Thang đánh giá'!$C$2:$D$27,2,FALSE)</f>
        <v>(0; 0,0707; 0,1414)</v>
      </c>
      <c r="C21" t="str">
        <f>VLOOKUP(C7,'Thang đánh giá'!$C$2:$D$27,2,FALSE)</f>
        <v>(0; 0; 0,0707)</v>
      </c>
      <c r="D21" t="str">
        <f>VLOOKUP(D7,'Thang đánh giá'!$C$2:$D$27,2,FALSE)</f>
        <v>(0; 0,0548; 0,1095)</v>
      </c>
      <c r="E21" t="str">
        <f>VLOOKUP(E7,'Thang đánh giá'!$C$2:$D$27,2,FALSE)</f>
        <v>(0; 0; 0,0707)</v>
      </c>
      <c r="F21" t="str">
        <f>VLOOKUP(F7,'Thang đánh giá'!$C$2:$D$27,2,FALSE)</f>
        <v>(0; 0; 0,0707)</v>
      </c>
      <c r="G21" t="str">
        <f>VLOOKUP(G7,'Thang đánh giá'!$C$2:$D$27,2,FALSE)</f>
        <v>(0; 0; 0)</v>
      </c>
      <c r="H21" t="str">
        <f>VLOOKUP(H7,'Thang đánh giá'!$C$2:$D$27,2,FALSE)</f>
        <v>(0; 0,0837; 0,1673)</v>
      </c>
      <c r="I21" t="str">
        <f>VLOOKUP(I7,'Thang đánh giá'!$C$2:$D$27,2,FALSE)</f>
        <v>(0; 0,0837; 0,1673)</v>
      </c>
      <c r="J21" t="str">
        <f>VLOOKUP(J7,'Thang đánh giá'!$C$2:$D$27,2,FALSE)</f>
        <v>(0; 0; 0,0707)</v>
      </c>
      <c r="K21" t="str">
        <f>VLOOKUP(K7,'Thang đánh giá'!$C$2:$D$27,2,FALSE)</f>
        <v>(0; 0,0707; 0,1414)</v>
      </c>
      <c r="L21" t="str">
        <f>VLOOKUP(L7,'Thang đánh giá'!$C$2:$D$27,2,FALSE)</f>
        <v>(0; 0,0548; 0,1095)</v>
      </c>
      <c r="M21" t="str">
        <f>VLOOKUP(M7,'Thang đánh giá'!$C$2:$D$27,2,FALSE)</f>
        <v>(0; 0; 0,0837)</v>
      </c>
    </row>
    <row r="22" spans="1:13" x14ac:dyDescent="0.3">
      <c r="A22" t="s">
        <v>6</v>
      </c>
      <c r="B22" t="str">
        <f>VLOOKUP(B8,'Thang đánh giá'!$C$2:$D$27,2,FALSE)</f>
        <v>(0,2846; 0,3795; 0,3795)</v>
      </c>
      <c r="C22" t="str">
        <f>VLOOKUP(C8,'Thang đánh giá'!$C$2:$D$27,2,FALSE)</f>
        <v>(0,2846; 0,3795; 0,3795)</v>
      </c>
      <c r="D22" t="str">
        <f>VLOOKUP(D8,'Thang đánh giá'!$C$2:$D$27,2,FALSE)</f>
        <v>(0,2846; 0,3795; 0,3795)</v>
      </c>
      <c r="E22" t="str">
        <f>VLOOKUP(E8,'Thang đánh giá'!$C$2:$D$27,2,FALSE)</f>
        <v>(0,2846; 0,3795; 0,3795)</v>
      </c>
      <c r="F22" t="str">
        <f>VLOOKUP(F8,'Thang đánh giá'!$C$2:$D$27,2,FALSE)</f>
        <v>(0,2846; 0,3795; 0,3795)</v>
      </c>
      <c r="G22" t="str">
        <f>VLOOKUP(G8,'Thang đánh giá'!$C$2:$D$27,2,FALSE)</f>
        <v>(0,2846; 0,3795; 0,3795)</v>
      </c>
      <c r="H22" t="str">
        <f>VLOOKUP(H8,'Thang đánh giá'!$C$2:$D$27,2,FALSE)</f>
        <v>(0; 0; 0)</v>
      </c>
      <c r="I22" t="str">
        <f>VLOOKUP(I8,'Thang đánh giá'!$C$2:$D$27,2,FALSE)</f>
        <v>(0; 0,0707; 0,1414)</v>
      </c>
      <c r="J22" t="str">
        <f>VLOOKUP(J8,'Thang đánh giá'!$C$2:$D$27,2,FALSE)</f>
        <v>(0,2846; 0,3795; 0,3795)</v>
      </c>
      <c r="K22" t="str">
        <f>VLOOKUP(K8,'Thang đánh giá'!$C$2:$D$27,2,FALSE)</f>
        <v>(0,2846; 0,3795; 0,3795)</v>
      </c>
      <c r="L22" t="str">
        <f>VLOOKUP(L8,'Thang đánh giá'!$C$2:$D$27,2,FALSE)</f>
        <v>(0,2846; 0,3795; 0,3795)</v>
      </c>
      <c r="M22" t="str">
        <f>VLOOKUP(M8,'Thang đánh giá'!$C$2:$D$27,2,FALSE)</f>
        <v>(0,2846; 0,3795; 0,3795)</v>
      </c>
    </row>
    <row r="23" spans="1:13" x14ac:dyDescent="0.3">
      <c r="A23" t="s">
        <v>7</v>
      </c>
      <c r="B23" t="str">
        <f>VLOOKUP(B9,'Thang đánh giá'!$C$2:$D$27,2,FALSE)</f>
        <v>(0; 0,0707; 0,1414)</v>
      </c>
      <c r="C23" t="str">
        <f>VLOOKUP(C9,'Thang đánh giá'!$C$2:$D$27,2,FALSE)</f>
        <v>(0; 0; 0,0707)</v>
      </c>
      <c r="D23" t="str">
        <f>VLOOKUP(D9,'Thang đánh giá'!$C$2:$D$27,2,FALSE)</f>
        <v>(0; 0; 0,0707)</v>
      </c>
      <c r="E23" t="str">
        <f>VLOOKUP(E9,'Thang đánh giá'!$C$2:$D$27,2,FALSE)</f>
        <v>(0; 0; 0,0837)</v>
      </c>
      <c r="F23" t="str">
        <f>VLOOKUP(F9,'Thang đánh giá'!$C$2:$D$27,2,FALSE)</f>
        <v>(0; 0; 0,0316)</v>
      </c>
      <c r="G23" t="str">
        <f>VLOOKUP(G9,'Thang đánh giá'!$C$2:$D$27,2,FALSE)</f>
        <v>(0; 0; 0,0316)</v>
      </c>
      <c r="H23" t="str">
        <f>VLOOKUP(H9,'Thang đánh giá'!$C$2:$D$27,2,FALSE)</f>
        <v>(0; 0,0548; 0,1095)</v>
      </c>
      <c r="I23" t="str">
        <f>VLOOKUP(I9,'Thang đánh giá'!$C$2:$D$27,2,FALSE)</f>
        <v>(0; 0; 0)</v>
      </c>
      <c r="J23" t="str">
        <f>VLOOKUP(J9,'Thang đánh giá'!$C$2:$D$27,2,FALSE)</f>
        <v>(0; 0; 0,0707)</v>
      </c>
      <c r="K23" t="str">
        <f>VLOOKUP(K9,'Thang đánh giá'!$C$2:$D$27,2,FALSE)</f>
        <v>(0,2846; 0,3795; 0,3795)</v>
      </c>
      <c r="L23" t="str">
        <f>VLOOKUP(L9,'Thang đánh giá'!$C$2:$D$27,2,FALSE)</f>
        <v>(0,1897; 0,2846; 0,3795)</v>
      </c>
      <c r="M23" t="str">
        <f>VLOOKUP(M9,'Thang đánh giá'!$C$2:$D$27,2,FALSE)</f>
        <v>(0,2846; 0,3795; 0,3795)</v>
      </c>
    </row>
    <row r="24" spans="1:13" x14ac:dyDescent="0.3">
      <c r="A24" t="s">
        <v>8</v>
      </c>
      <c r="B24" t="str">
        <f>VLOOKUP(B10,'Thang đánh giá'!$C$2:$D$27,2,FALSE)</f>
        <v>(0,0837; 0,1673; 0,251)</v>
      </c>
      <c r="C24" t="str">
        <f>VLOOKUP(C10,'Thang đánh giá'!$C$2:$D$27,2,FALSE)</f>
        <v>(0; 0; 0,0707)</v>
      </c>
      <c r="D24" t="str">
        <f>VLOOKUP(D10,'Thang đánh giá'!$C$2:$D$27,2,FALSE)</f>
        <v>(0; 0; 0,0548)</v>
      </c>
      <c r="E24" t="str">
        <f>VLOOKUP(E10,'Thang đánh giá'!$C$2:$D$27,2,FALSE)</f>
        <v>(0; 0,0548; 0,1095)</v>
      </c>
      <c r="F24" t="str">
        <f>VLOOKUP(F10,'Thang đánh giá'!$C$2:$D$27,2,FALSE)</f>
        <v>(0; 0; 0,0707)</v>
      </c>
      <c r="G24" t="str">
        <f>VLOOKUP(G10,'Thang đánh giá'!$C$2:$D$27,2,FALSE)</f>
        <v>(0; 0; 0,0837)</v>
      </c>
      <c r="H24" t="str">
        <f>VLOOKUP(H10,'Thang đánh giá'!$C$2:$D$27,2,FALSE)</f>
        <v>(0; 0; 0,0837)</v>
      </c>
      <c r="I24" t="str">
        <f>VLOOKUP(I10,'Thang đánh giá'!$C$2:$D$27,2,FALSE)</f>
        <v>(0; 0,0837; 0,1673)</v>
      </c>
      <c r="J24" t="str">
        <f>VLOOKUP(J10,'Thang đánh giá'!$C$2:$D$27,2,FALSE)</f>
        <v>(0; 0; 0)</v>
      </c>
      <c r="K24" t="str">
        <f>VLOOKUP(K10,'Thang đánh giá'!$C$2:$D$27,2,FALSE)</f>
        <v>(0,251; 0,3347; 0,3347)</v>
      </c>
      <c r="L24" t="str">
        <f>VLOOKUP(L10,'Thang đánh giá'!$C$2:$D$27,2,FALSE)</f>
        <v>(0,0707; 0,1414; 0,2121)</v>
      </c>
      <c r="M24" t="str">
        <f>VLOOKUP(M10,'Thang đánh giá'!$C$2:$D$27,2,FALSE)</f>
        <v>(0,1897; 0,2846; 0,3795)</v>
      </c>
    </row>
    <row r="25" spans="1:13" x14ac:dyDescent="0.3">
      <c r="A25" t="s">
        <v>9</v>
      </c>
      <c r="B25" t="str">
        <f>VLOOKUP(B11,'Thang đánh giá'!$C$2:$D$27,2,FALSE)</f>
        <v>(0; 0,0707; 0,1414)</v>
      </c>
      <c r="C25" t="str">
        <f>VLOOKUP(C11,'Thang đánh giá'!$C$2:$D$27,2,FALSE)</f>
        <v>(0; 0,0548; 0,1095)</v>
      </c>
      <c r="D25" t="str">
        <f>VLOOKUP(D11,'Thang đánh giá'!$C$2:$D$27,2,FALSE)</f>
        <v>(0; 0; 0,0707)</v>
      </c>
      <c r="E25" t="str">
        <f>VLOOKUP(E11,'Thang đánh giá'!$C$2:$D$27,2,FALSE)</f>
        <v>(0; 0; 0,0548)</v>
      </c>
      <c r="F25" t="str">
        <f>VLOOKUP(F11,'Thang đánh giá'!$C$2:$D$27,2,FALSE)</f>
        <v>(0; 0,0548; 0,1095)</v>
      </c>
      <c r="G25" t="str">
        <f>VLOOKUP(G11,'Thang đánh giá'!$C$2:$D$27,2,FALSE)</f>
        <v>(0; 0; 0,0707)</v>
      </c>
      <c r="H25" t="str">
        <f>VLOOKUP(H11,'Thang đánh giá'!$C$2:$D$27,2,FALSE)</f>
        <v>(0; 0,0548; 0,1095)</v>
      </c>
      <c r="I25" t="str">
        <f>VLOOKUP(I11,'Thang đánh giá'!$C$2:$D$27,2,FALSE)</f>
        <v>(0; 0,0548; 0,1095)</v>
      </c>
      <c r="J25" t="str">
        <f>VLOOKUP(J11,'Thang đánh giá'!$C$2:$D$27,2,FALSE)</f>
        <v>(0; 0; 0,0548)</v>
      </c>
      <c r="K25" t="str">
        <f>VLOOKUP(K11,'Thang đánh giá'!$C$2:$D$27,2,FALSE)</f>
        <v>(0; 0; 0)</v>
      </c>
      <c r="L25" t="str">
        <f>VLOOKUP(L11,'Thang đánh giá'!$C$2:$D$27,2,FALSE)</f>
        <v>(0; 0,0707; 0,1414)</v>
      </c>
      <c r="M25" t="str">
        <f>VLOOKUP(M11,'Thang đánh giá'!$C$2:$D$27,2,FALSE)</f>
        <v>(0; 0; 0,0707)</v>
      </c>
    </row>
    <row r="26" spans="1:13" x14ac:dyDescent="0.3">
      <c r="A26" t="s">
        <v>10</v>
      </c>
      <c r="B26" t="str">
        <f>VLOOKUP(B12,'Thang đánh giá'!$C$2:$D$27,2,FALSE)</f>
        <v>(0; 0; 0,0707)</v>
      </c>
      <c r="C26" t="str">
        <f>VLOOKUP(C12,'Thang đánh giá'!$C$2:$D$27,2,FALSE)</f>
        <v>(0; 0; 0,0707)</v>
      </c>
      <c r="D26" t="str">
        <f>VLOOKUP(D12,'Thang đánh giá'!$C$2:$D$27,2,FALSE)</f>
        <v>(0; 0,0707; 0,1414)</v>
      </c>
      <c r="E26" t="str">
        <f>VLOOKUP(E12,'Thang đánh giá'!$C$2:$D$27,2,FALSE)</f>
        <v>(0; 0,0707; 0,1414)</v>
      </c>
      <c r="F26" t="str">
        <f>VLOOKUP(F12,'Thang đánh giá'!$C$2:$D$27,2,FALSE)</f>
        <v>(0; 0; 0,0548)</v>
      </c>
      <c r="G26" t="str">
        <f>VLOOKUP(G12,'Thang đánh giá'!$C$2:$D$27,2,FALSE)</f>
        <v>(0; 0; 0,0548)</v>
      </c>
      <c r="H26" t="str">
        <f>VLOOKUP(H12,'Thang đánh giá'!$C$2:$D$27,2,FALSE)</f>
        <v>(0; 0; 0,0707)</v>
      </c>
      <c r="I26" t="str">
        <f>VLOOKUP(I12,'Thang đánh giá'!$C$2:$D$27,2,FALSE)</f>
        <v>(0; 0,0548; 0,1095)</v>
      </c>
      <c r="J26" t="str">
        <f>VLOOKUP(J12,'Thang đánh giá'!$C$2:$D$27,2,FALSE)</f>
        <v>(0; 0,0707; 0,1414)</v>
      </c>
      <c r="K26" t="str">
        <f>VLOOKUP(K12,'Thang đánh giá'!$C$2:$D$27,2,FALSE)</f>
        <v>(0; 0,0707; 0,1414)</v>
      </c>
      <c r="L26" t="str">
        <f>VLOOKUP(L12,'Thang đánh giá'!$C$2:$D$27,2,FALSE)</f>
        <v>(0; 0; 0)</v>
      </c>
      <c r="M26" t="str">
        <f>VLOOKUP(M12,'Thang đánh giá'!$C$2:$D$27,2,FALSE)</f>
        <v>(0,2846; 0,3795; 0,3795)</v>
      </c>
    </row>
    <row r="27" spans="1:13" x14ac:dyDescent="0.3">
      <c r="A27" t="s">
        <v>11</v>
      </c>
      <c r="B27" t="str">
        <f>VLOOKUP(B13,'Thang đánh giá'!$C$2:$D$27,2,FALSE)</f>
        <v>(0; 0; 0,0548)</v>
      </c>
      <c r="C27" t="str">
        <f>VLOOKUP(C13,'Thang đánh giá'!$C$2:$D$27,2,FALSE)</f>
        <v>(0; 0,0707; 0,1414)</v>
      </c>
      <c r="D27" t="str">
        <f>VLOOKUP(D13,'Thang đánh giá'!$C$2:$D$27,2,FALSE)</f>
        <v>(0; 0; 0,0548)</v>
      </c>
      <c r="E27" t="str">
        <f>VLOOKUP(E13,'Thang đánh giá'!$C$2:$D$27,2,FALSE)</f>
        <v>(0; 0,0548; 0,1095)</v>
      </c>
      <c r="F27" t="str">
        <f>VLOOKUP(F13,'Thang đánh giá'!$C$2:$D$27,2,FALSE)</f>
        <v>(0; 0; 0,0707)</v>
      </c>
      <c r="G27" t="str">
        <f>VLOOKUP(G13,'Thang đánh giá'!$C$2:$D$27,2,FALSE)</f>
        <v>(0; 0,0837; 0,1673)</v>
      </c>
      <c r="H27" t="str">
        <f>VLOOKUP(H13,'Thang đánh giá'!$C$2:$D$27,2,FALSE)</f>
        <v>(0; 0; 0,0548)</v>
      </c>
      <c r="I27" t="str">
        <f>VLOOKUP(I13,'Thang đánh giá'!$C$2:$D$27,2,FALSE)</f>
        <v>(0; 0; 0,0837)</v>
      </c>
      <c r="J27" t="str">
        <f>VLOOKUP(J13,'Thang đánh giá'!$C$2:$D$27,2,FALSE)</f>
        <v>(0; 0,0548; 0,1095)</v>
      </c>
      <c r="K27" t="str">
        <f>VLOOKUP(K13,'Thang đánh giá'!$C$2:$D$27,2,FALSE)</f>
        <v>(0; 0; 0,0548)</v>
      </c>
      <c r="L27" t="str">
        <f>VLOOKUP(L13,'Thang đánh giá'!$C$2:$D$27,2,FALSE)</f>
        <v>(0,2846; 0,3795; 0,3795)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0.1673</v>
      </c>
      <c r="D30">
        <f t="shared" si="0"/>
        <v>0.1673</v>
      </c>
      <c r="E30">
        <f t="shared" si="0"/>
        <v>0.18970000000000001</v>
      </c>
      <c r="F30">
        <f t="shared" si="0"/>
        <v>0.1673</v>
      </c>
      <c r="G30">
        <f t="shared" si="0"/>
        <v>0</v>
      </c>
      <c r="H30">
        <f t="shared" si="0"/>
        <v>0.18970000000000001</v>
      </c>
      <c r="I30">
        <f t="shared" si="0"/>
        <v>0</v>
      </c>
      <c r="J30">
        <f t="shared" si="0"/>
        <v>0.18970000000000001</v>
      </c>
      <c r="K30">
        <f t="shared" si="0"/>
        <v>0.251</v>
      </c>
      <c r="L30">
        <f t="shared" si="0"/>
        <v>0.28460000000000002</v>
      </c>
      <c r="M30">
        <f t="shared" si="0"/>
        <v>0</v>
      </c>
    </row>
    <row r="31" spans="1:13" x14ac:dyDescent="0.3">
      <c r="A31" t="s">
        <v>1</v>
      </c>
      <c r="B31">
        <f t="shared" ref="B31:M41" si="1">_xlfn.NUMBERVALUE(MID(B17,2,FIND(";",B17,1)-2))</f>
        <v>0</v>
      </c>
      <c r="C31">
        <f t="shared" si="1"/>
        <v>0</v>
      </c>
      <c r="D31">
        <f t="shared" si="1"/>
        <v>0.28460000000000002</v>
      </c>
      <c r="E31">
        <f t="shared" si="1"/>
        <v>8.3699999999999997E-2</v>
      </c>
      <c r="F31">
        <f t="shared" si="1"/>
        <v>0</v>
      </c>
      <c r="G31">
        <f t="shared" si="1"/>
        <v>8.3699999999999997E-2</v>
      </c>
      <c r="H31">
        <f t="shared" si="1"/>
        <v>0.1673</v>
      </c>
      <c r="I31">
        <f t="shared" si="1"/>
        <v>0</v>
      </c>
      <c r="J31">
        <f t="shared" si="1"/>
        <v>0.1414</v>
      </c>
      <c r="K31">
        <f t="shared" si="1"/>
        <v>0.28460000000000002</v>
      </c>
      <c r="L31">
        <f t="shared" si="1"/>
        <v>7.0699999999999999E-2</v>
      </c>
      <c r="M31">
        <f t="shared" si="1"/>
        <v>0.18970000000000001</v>
      </c>
    </row>
    <row r="32" spans="1:13" x14ac:dyDescent="0.3">
      <c r="A32" t="s">
        <v>2</v>
      </c>
      <c r="B32">
        <f t="shared" si="1"/>
        <v>7.0699999999999999E-2</v>
      </c>
      <c r="C32">
        <f t="shared" si="1"/>
        <v>0</v>
      </c>
      <c r="D32">
        <f t="shared" si="1"/>
        <v>0</v>
      </c>
      <c r="E32">
        <f t="shared" si="1"/>
        <v>0</v>
      </c>
      <c r="F32">
        <f t="shared" si="1"/>
        <v>0</v>
      </c>
      <c r="G32">
        <f t="shared" si="1"/>
        <v>0.1414</v>
      </c>
      <c r="H32">
        <f t="shared" si="1"/>
        <v>7.0699999999999999E-2</v>
      </c>
      <c r="I32">
        <f t="shared" si="1"/>
        <v>0</v>
      </c>
      <c r="J32">
        <f t="shared" si="1"/>
        <v>0.18970000000000001</v>
      </c>
      <c r="K32">
        <f t="shared" si="1"/>
        <v>0.28460000000000002</v>
      </c>
      <c r="L32">
        <f t="shared" si="1"/>
        <v>0.18970000000000001</v>
      </c>
      <c r="M32">
        <f t="shared" si="1"/>
        <v>0.18970000000000001</v>
      </c>
    </row>
    <row r="33" spans="1:13" x14ac:dyDescent="0.3">
      <c r="A33" t="s">
        <v>3</v>
      </c>
      <c r="B33">
        <f t="shared" si="1"/>
        <v>0.28460000000000002</v>
      </c>
      <c r="C33">
        <f t="shared" si="1"/>
        <v>0.18970000000000001</v>
      </c>
      <c r="D33">
        <f t="shared" si="1"/>
        <v>0.28460000000000002</v>
      </c>
      <c r="E33">
        <f t="shared" si="1"/>
        <v>0</v>
      </c>
      <c r="F33">
        <f t="shared" si="1"/>
        <v>0</v>
      </c>
      <c r="G33">
        <f t="shared" si="1"/>
        <v>0.18970000000000001</v>
      </c>
      <c r="H33">
        <f t="shared" si="1"/>
        <v>0.251</v>
      </c>
      <c r="I33">
        <f t="shared" si="1"/>
        <v>0</v>
      </c>
      <c r="J33">
        <f t="shared" si="1"/>
        <v>0.18970000000000001</v>
      </c>
      <c r="K33">
        <f t="shared" si="1"/>
        <v>0</v>
      </c>
      <c r="L33">
        <f t="shared" si="1"/>
        <v>0.28460000000000002</v>
      </c>
      <c r="M33">
        <f t="shared" si="1"/>
        <v>0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0</v>
      </c>
      <c r="D34">
        <f t="shared" si="2"/>
        <v>0</v>
      </c>
      <c r="E34">
        <f t="shared" si="2"/>
        <v>0</v>
      </c>
      <c r="F34">
        <f t="shared" si="2"/>
        <v>0</v>
      </c>
      <c r="G34">
        <f t="shared" si="2"/>
        <v>0.251</v>
      </c>
      <c r="H34">
        <f t="shared" si="2"/>
        <v>0</v>
      </c>
      <c r="I34">
        <f t="shared" si="2"/>
        <v>0</v>
      </c>
      <c r="J34">
        <f t="shared" si="2"/>
        <v>0.18970000000000001</v>
      </c>
      <c r="K34">
        <f t="shared" si="2"/>
        <v>0.251</v>
      </c>
      <c r="L34">
        <f t="shared" si="2"/>
        <v>0</v>
      </c>
      <c r="M34">
        <f t="shared" si="2"/>
        <v>0</v>
      </c>
    </row>
    <row r="35" spans="1:13" x14ac:dyDescent="0.3">
      <c r="A35" t="s">
        <v>5</v>
      </c>
      <c r="B35">
        <f t="shared" si="1"/>
        <v>0</v>
      </c>
      <c r="C35">
        <f t="shared" si="1"/>
        <v>0</v>
      </c>
      <c r="D35">
        <f t="shared" si="1"/>
        <v>0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0</v>
      </c>
      <c r="J35">
        <f t="shared" si="1"/>
        <v>0</v>
      </c>
      <c r="K35">
        <f t="shared" si="1"/>
        <v>0</v>
      </c>
      <c r="L35">
        <f t="shared" si="1"/>
        <v>0</v>
      </c>
      <c r="M35">
        <f t="shared" si="1"/>
        <v>0</v>
      </c>
    </row>
    <row r="36" spans="1:13" x14ac:dyDescent="0.3">
      <c r="A36" t="s">
        <v>6</v>
      </c>
      <c r="B36">
        <f t="shared" si="1"/>
        <v>0.28460000000000002</v>
      </c>
      <c r="C36">
        <f t="shared" si="1"/>
        <v>0.28460000000000002</v>
      </c>
      <c r="D36">
        <f t="shared" si="1"/>
        <v>0.28460000000000002</v>
      </c>
      <c r="E36">
        <f t="shared" si="1"/>
        <v>0.28460000000000002</v>
      </c>
      <c r="F36">
        <f t="shared" si="1"/>
        <v>0.28460000000000002</v>
      </c>
      <c r="G36">
        <f t="shared" si="1"/>
        <v>0.28460000000000002</v>
      </c>
      <c r="H36">
        <f t="shared" si="1"/>
        <v>0</v>
      </c>
      <c r="I36">
        <f t="shared" si="1"/>
        <v>0</v>
      </c>
      <c r="J36">
        <f t="shared" si="1"/>
        <v>0.28460000000000002</v>
      </c>
      <c r="K36">
        <f t="shared" si="1"/>
        <v>0.28460000000000002</v>
      </c>
      <c r="L36">
        <f t="shared" si="1"/>
        <v>0.28460000000000002</v>
      </c>
      <c r="M36">
        <f t="shared" si="1"/>
        <v>0.28460000000000002</v>
      </c>
    </row>
    <row r="37" spans="1:13" x14ac:dyDescent="0.3">
      <c r="A37" t="s">
        <v>7</v>
      </c>
      <c r="B37">
        <f t="shared" si="1"/>
        <v>0</v>
      </c>
      <c r="C37">
        <f t="shared" si="1"/>
        <v>0</v>
      </c>
      <c r="D37">
        <f t="shared" si="1"/>
        <v>0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0</v>
      </c>
      <c r="K37">
        <f t="shared" si="1"/>
        <v>0.28460000000000002</v>
      </c>
      <c r="L37">
        <f t="shared" si="1"/>
        <v>0.18970000000000001</v>
      </c>
      <c r="M37">
        <f t="shared" si="1"/>
        <v>0.28460000000000002</v>
      </c>
    </row>
    <row r="38" spans="1:13" x14ac:dyDescent="0.3">
      <c r="A38" t="s">
        <v>8</v>
      </c>
      <c r="B38">
        <f t="shared" si="1"/>
        <v>8.3699999999999997E-2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0</v>
      </c>
      <c r="I38">
        <f t="shared" si="1"/>
        <v>0</v>
      </c>
      <c r="J38">
        <f t="shared" si="1"/>
        <v>0</v>
      </c>
      <c r="K38">
        <f t="shared" si="1"/>
        <v>0.251</v>
      </c>
      <c r="L38">
        <f t="shared" si="1"/>
        <v>7.0699999999999999E-2</v>
      </c>
      <c r="M38">
        <f t="shared" si="1"/>
        <v>0.18970000000000001</v>
      </c>
    </row>
    <row r="39" spans="1:13" x14ac:dyDescent="0.3">
      <c r="A39" t="s">
        <v>9</v>
      </c>
      <c r="B39">
        <f t="shared" si="1"/>
        <v>0</v>
      </c>
      <c r="C39">
        <f t="shared" si="1"/>
        <v>0</v>
      </c>
      <c r="D39">
        <f t="shared" si="1"/>
        <v>0</v>
      </c>
      <c r="E39">
        <f t="shared" si="1"/>
        <v>0</v>
      </c>
      <c r="F39">
        <f t="shared" si="1"/>
        <v>0</v>
      </c>
      <c r="G39">
        <f t="shared" si="1"/>
        <v>0</v>
      </c>
      <c r="H39">
        <f t="shared" si="1"/>
        <v>0</v>
      </c>
      <c r="I39">
        <f t="shared" si="1"/>
        <v>0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0</v>
      </c>
    </row>
    <row r="40" spans="1:13" x14ac:dyDescent="0.3">
      <c r="A40" t="s">
        <v>10</v>
      </c>
      <c r="B40">
        <f t="shared" si="1"/>
        <v>0</v>
      </c>
      <c r="C40">
        <f t="shared" si="1"/>
        <v>0</v>
      </c>
      <c r="D40">
        <f t="shared" si="1"/>
        <v>0</v>
      </c>
      <c r="E40">
        <f t="shared" si="1"/>
        <v>0</v>
      </c>
      <c r="F40">
        <f t="shared" si="1"/>
        <v>0</v>
      </c>
      <c r="G40">
        <f t="shared" si="1"/>
        <v>0</v>
      </c>
      <c r="H40">
        <f t="shared" si="1"/>
        <v>0</v>
      </c>
      <c r="I40">
        <f t="shared" si="1"/>
        <v>0</v>
      </c>
      <c r="J40">
        <f t="shared" si="1"/>
        <v>0</v>
      </c>
      <c r="K40">
        <f t="shared" si="1"/>
        <v>0</v>
      </c>
      <c r="L40">
        <f t="shared" si="1"/>
        <v>0</v>
      </c>
      <c r="M40">
        <f t="shared" si="1"/>
        <v>0.28460000000000002</v>
      </c>
    </row>
    <row r="41" spans="1:13" x14ac:dyDescent="0.3">
      <c r="A41" t="s">
        <v>11</v>
      </c>
      <c r="B41">
        <f t="shared" si="1"/>
        <v>0</v>
      </c>
      <c r="C41">
        <f t="shared" si="1"/>
        <v>0</v>
      </c>
      <c r="D41">
        <f t="shared" si="1"/>
        <v>0</v>
      </c>
      <c r="E41">
        <f t="shared" si="1"/>
        <v>0</v>
      </c>
      <c r="F41">
        <f t="shared" si="1"/>
        <v>0</v>
      </c>
      <c r="G41">
        <f t="shared" si="1"/>
        <v>0</v>
      </c>
      <c r="H41">
        <f t="shared" si="1"/>
        <v>0</v>
      </c>
      <c r="I41">
        <f t="shared" si="1"/>
        <v>0</v>
      </c>
      <c r="J41">
        <f t="shared" si="1"/>
        <v>0</v>
      </c>
      <c r="K41">
        <f t="shared" si="1"/>
        <v>0</v>
      </c>
      <c r="L41">
        <f t="shared" si="1"/>
        <v>0.28460000000000002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0.251</v>
      </c>
      <c r="D44">
        <f t="shared" si="3"/>
        <v>0.251</v>
      </c>
      <c r="E44">
        <f t="shared" si="3"/>
        <v>0.28460000000000002</v>
      </c>
      <c r="F44">
        <f t="shared" si="3"/>
        <v>0.251</v>
      </c>
      <c r="G44">
        <f t="shared" si="3"/>
        <v>8.3699999999999997E-2</v>
      </c>
      <c r="H44">
        <f t="shared" si="3"/>
        <v>0.28460000000000002</v>
      </c>
      <c r="I44">
        <f t="shared" si="3"/>
        <v>5.4800000000000001E-2</v>
      </c>
      <c r="J44">
        <f t="shared" si="3"/>
        <v>0.28460000000000002</v>
      </c>
      <c r="K44">
        <f t="shared" si="3"/>
        <v>0.3347</v>
      </c>
      <c r="L44">
        <f t="shared" si="3"/>
        <v>0.3795</v>
      </c>
      <c r="M44">
        <f t="shared" si="3"/>
        <v>7.0699999999999999E-2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5.4800000000000001E-2</v>
      </c>
      <c r="C45">
        <f t="shared" si="4"/>
        <v>0</v>
      </c>
      <c r="D45">
        <f t="shared" si="4"/>
        <v>0.3795</v>
      </c>
      <c r="E45">
        <f t="shared" si="4"/>
        <v>0.1673</v>
      </c>
      <c r="F45">
        <f t="shared" si="4"/>
        <v>7.0699999999999999E-2</v>
      </c>
      <c r="G45">
        <f t="shared" si="4"/>
        <v>0.1673</v>
      </c>
      <c r="H45">
        <f t="shared" si="4"/>
        <v>0.251</v>
      </c>
      <c r="I45">
        <f t="shared" si="4"/>
        <v>0</v>
      </c>
      <c r="J45">
        <f t="shared" si="4"/>
        <v>0.21210000000000001</v>
      </c>
      <c r="K45">
        <f t="shared" si="4"/>
        <v>0.3795</v>
      </c>
      <c r="L45">
        <f t="shared" si="4"/>
        <v>0.1414</v>
      </c>
      <c r="M45">
        <f t="shared" si="4"/>
        <v>0.28460000000000002</v>
      </c>
    </row>
    <row r="46" spans="1:13" x14ac:dyDescent="0.3">
      <c r="A46" t="s">
        <v>2</v>
      </c>
      <c r="B46">
        <f t="shared" si="4"/>
        <v>0.1414</v>
      </c>
      <c r="C46">
        <f t="shared" si="4"/>
        <v>0</v>
      </c>
      <c r="D46">
        <f t="shared" si="4"/>
        <v>0</v>
      </c>
      <c r="E46">
        <f t="shared" si="4"/>
        <v>0</v>
      </c>
      <c r="F46">
        <f t="shared" si="4"/>
        <v>3.1600000000000003E-2</v>
      </c>
      <c r="G46">
        <f t="shared" si="4"/>
        <v>0.21210000000000001</v>
      </c>
      <c r="H46">
        <f t="shared" si="4"/>
        <v>0.1414</v>
      </c>
      <c r="I46">
        <f t="shared" si="4"/>
        <v>7.0699999999999999E-2</v>
      </c>
      <c r="J46">
        <f t="shared" si="4"/>
        <v>0.28460000000000002</v>
      </c>
      <c r="K46">
        <f t="shared" si="4"/>
        <v>0.3795</v>
      </c>
      <c r="L46">
        <f t="shared" si="4"/>
        <v>0.28460000000000002</v>
      </c>
      <c r="M46">
        <f t="shared" si="4"/>
        <v>0.28460000000000002</v>
      </c>
    </row>
    <row r="47" spans="1:13" x14ac:dyDescent="0.3">
      <c r="A47" t="s">
        <v>3</v>
      </c>
      <c r="B47">
        <f t="shared" si="4"/>
        <v>0.3795</v>
      </c>
      <c r="C47">
        <f t="shared" si="4"/>
        <v>0.28460000000000002</v>
      </c>
      <c r="D47">
        <f t="shared" si="4"/>
        <v>0.3795</v>
      </c>
      <c r="E47">
        <f t="shared" si="4"/>
        <v>0</v>
      </c>
      <c r="F47">
        <f t="shared" si="4"/>
        <v>0</v>
      </c>
      <c r="G47">
        <f t="shared" si="4"/>
        <v>0.28460000000000002</v>
      </c>
      <c r="H47">
        <f t="shared" si="4"/>
        <v>0.3347</v>
      </c>
      <c r="I47">
        <f t="shared" si="4"/>
        <v>8.3699999999999997E-2</v>
      </c>
      <c r="J47">
        <f t="shared" si="4"/>
        <v>0.28460000000000002</v>
      </c>
      <c r="K47">
        <f t="shared" si="4"/>
        <v>0</v>
      </c>
      <c r="L47">
        <f t="shared" si="4"/>
        <v>0.3795</v>
      </c>
      <c r="M47">
        <f t="shared" si="4"/>
        <v>0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7.0699999999999999E-2</v>
      </c>
      <c r="C48">
        <f t="shared" si="5"/>
        <v>7.0699999999999999E-2</v>
      </c>
      <c r="D48">
        <f t="shared" si="5"/>
        <v>0</v>
      </c>
      <c r="E48">
        <f t="shared" si="5"/>
        <v>0</v>
      </c>
      <c r="F48">
        <f t="shared" si="5"/>
        <v>0</v>
      </c>
      <c r="G48">
        <f t="shared" si="5"/>
        <v>0.3347</v>
      </c>
      <c r="H48">
        <f t="shared" si="5"/>
        <v>0</v>
      </c>
      <c r="I48">
        <f t="shared" si="5"/>
        <v>0</v>
      </c>
      <c r="J48">
        <f t="shared" si="5"/>
        <v>0.28460000000000002</v>
      </c>
      <c r="K48">
        <f t="shared" si="5"/>
        <v>0.3347</v>
      </c>
      <c r="L48">
        <f t="shared" si="5"/>
        <v>7.0699999999999999E-2</v>
      </c>
      <c r="M48">
        <f t="shared" si="5"/>
        <v>0</v>
      </c>
    </row>
    <row r="49" spans="1:13" x14ac:dyDescent="0.3">
      <c r="A49" t="s">
        <v>5</v>
      </c>
      <c r="B49">
        <f t="shared" si="4"/>
        <v>7.0699999999999999E-2</v>
      </c>
      <c r="C49">
        <f t="shared" si="4"/>
        <v>0</v>
      </c>
      <c r="D49">
        <f t="shared" si="4"/>
        <v>5.4800000000000001E-2</v>
      </c>
      <c r="E49">
        <f t="shared" si="4"/>
        <v>0</v>
      </c>
      <c r="F49">
        <f t="shared" si="4"/>
        <v>0</v>
      </c>
      <c r="G49">
        <f t="shared" si="4"/>
        <v>0</v>
      </c>
      <c r="H49">
        <f t="shared" si="4"/>
        <v>8.3699999999999997E-2</v>
      </c>
      <c r="I49">
        <f t="shared" si="4"/>
        <v>8.3699999999999997E-2</v>
      </c>
      <c r="J49">
        <f t="shared" si="4"/>
        <v>0</v>
      </c>
      <c r="K49">
        <f t="shared" si="4"/>
        <v>7.0699999999999999E-2</v>
      </c>
      <c r="L49">
        <f t="shared" si="4"/>
        <v>5.4800000000000001E-2</v>
      </c>
      <c r="M49">
        <f t="shared" si="4"/>
        <v>0</v>
      </c>
    </row>
    <row r="50" spans="1:13" x14ac:dyDescent="0.3">
      <c r="A50" t="s">
        <v>6</v>
      </c>
      <c r="B50">
        <f t="shared" si="4"/>
        <v>0.3795</v>
      </c>
      <c r="C50">
        <f t="shared" si="4"/>
        <v>0.3795</v>
      </c>
      <c r="D50">
        <f t="shared" si="4"/>
        <v>0.3795</v>
      </c>
      <c r="E50">
        <f t="shared" si="4"/>
        <v>0.3795</v>
      </c>
      <c r="F50">
        <f t="shared" si="4"/>
        <v>0.3795</v>
      </c>
      <c r="G50">
        <f t="shared" si="4"/>
        <v>0.3795</v>
      </c>
      <c r="H50">
        <f t="shared" si="4"/>
        <v>0</v>
      </c>
      <c r="I50">
        <f t="shared" si="4"/>
        <v>7.0699999999999999E-2</v>
      </c>
      <c r="J50">
        <f t="shared" si="4"/>
        <v>0.3795</v>
      </c>
      <c r="K50">
        <f t="shared" si="4"/>
        <v>0.3795</v>
      </c>
      <c r="L50">
        <f t="shared" si="4"/>
        <v>0.3795</v>
      </c>
      <c r="M50">
        <f t="shared" si="4"/>
        <v>0.3795</v>
      </c>
    </row>
    <row r="51" spans="1:13" x14ac:dyDescent="0.3">
      <c r="A51" t="s">
        <v>7</v>
      </c>
      <c r="B51">
        <f t="shared" si="4"/>
        <v>7.0699999999999999E-2</v>
      </c>
      <c r="C51">
        <f t="shared" si="4"/>
        <v>0</v>
      </c>
      <c r="D51">
        <f t="shared" si="4"/>
        <v>0</v>
      </c>
      <c r="E51">
        <f t="shared" si="4"/>
        <v>0</v>
      </c>
      <c r="F51">
        <f t="shared" si="4"/>
        <v>0</v>
      </c>
      <c r="G51">
        <f t="shared" si="4"/>
        <v>0</v>
      </c>
      <c r="H51">
        <f t="shared" si="4"/>
        <v>5.4800000000000001E-2</v>
      </c>
      <c r="I51">
        <f t="shared" si="4"/>
        <v>0</v>
      </c>
      <c r="J51">
        <f t="shared" si="4"/>
        <v>0</v>
      </c>
      <c r="K51">
        <f t="shared" si="4"/>
        <v>0.3795</v>
      </c>
      <c r="L51">
        <f t="shared" si="4"/>
        <v>0.28460000000000002</v>
      </c>
      <c r="M51">
        <f t="shared" si="4"/>
        <v>0.3795</v>
      </c>
    </row>
    <row r="52" spans="1:13" x14ac:dyDescent="0.3">
      <c r="A52" t="s">
        <v>8</v>
      </c>
      <c r="B52">
        <f t="shared" si="4"/>
        <v>0.1673</v>
      </c>
      <c r="C52">
        <f t="shared" si="4"/>
        <v>0</v>
      </c>
      <c r="D52">
        <f t="shared" si="4"/>
        <v>0</v>
      </c>
      <c r="E52">
        <f t="shared" si="4"/>
        <v>5.4800000000000001E-2</v>
      </c>
      <c r="F52">
        <f t="shared" si="4"/>
        <v>0</v>
      </c>
      <c r="G52">
        <f t="shared" si="4"/>
        <v>0</v>
      </c>
      <c r="H52">
        <f t="shared" si="4"/>
        <v>0</v>
      </c>
      <c r="I52">
        <f t="shared" si="4"/>
        <v>8.3699999999999997E-2</v>
      </c>
      <c r="J52">
        <f t="shared" si="4"/>
        <v>0</v>
      </c>
      <c r="K52">
        <f t="shared" si="4"/>
        <v>0.3347</v>
      </c>
      <c r="L52">
        <f t="shared" si="4"/>
        <v>0.1414</v>
      </c>
      <c r="M52">
        <f t="shared" si="4"/>
        <v>0.28460000000000002</v>
      </c>
    </row>
    <row r="53" spans="1:13" x14ac:dyDescent="0.3">
      <c r="A53" t="s">
        <v>9</v>
      </c>
      <c r="B53">
        <f t="shared" si="4"/>
        <v>7.0699999999999999E-2</v>
      </c>
      <c r="C53">
        <f t="shared" si="4"/>
        <v>5.4800000000000001E-2</v>
      </c>
      <c r="D53">
        <f t="shared" si="4"/>
        <v>0</v>
      </c>
      <c r="E53">
        <f t="shared" si="4"/>
        <v>0</v>
      </c>
      <c r="F53">
        <f t="shared" si="4"/>
        <v>5.4800000000000001E-2</v>
      </c>
      <c r="G53">
        <f t="shared" si="4"/>
        <v>0</v>
      </c>
      <c r="H53">
        <f t="shared" si="4"/>
        <v>5.4800000000000001E-2</v>
      </c>
      <c r="I53">
        <f t="shared" si="4"/>
        <v>5.4800000000000001E-2</v>
      </c>
      <c r="J53">
        <f t="shared" si="4"/>
        <v>0</v>
      </c>
      <c r="K53">
        <f t="shared" si="4"/>
        <v>0</v>
      </c>
      <c r="L53">
        <f t="shared" si="4"/>
        <v>7.0699999999999999E-2</v>
      </c>
      <c r="M53">
        <f t="shared" si="4"/>
        <v>0</v>
      </c>
    </row>
    <row r="54" spans="1:13" x14ac:dyDescent="0.3">
      <c r="A54" t="s">
        <v>10</v>
      </c>
      <c r="B54">
        <f t="shared" si="4"/>
        <v>0</v>
      </c>
      <c r="C54">
        <f t="shared" si="4"/>
        <v>0</v>
      </c>
      <c r="D54">
        <f t="shared" si="4"/>
        <v>7.0699999999999999E-2</v>
      </c>
      <c r="E54">
        <f t="shared" si="4"/>
        <v>7.0699999999999999E-2</v>
      </c>
      <c r="F54">
        <f t="shared" si="4"/>
        <v>0</v>
      </c>
      <c r="G54">
        <f t="shared" si="4"/>
        <v>0</v>
      </c>
      <c r="H54">
        <f t="shared" si="4"/>
        <v>0</v>
      </c>
      <c r="I54">
        <f t="shared" si="4"/>
        <v>5.4800000000000001E-2</v>
      </c>
      <c r="J54">
        <f t="shared" si="4"/>
        <v>7.0699999999999999E-2</v>
      </c>
      <c r="K54">
        <f t="shared" si="4"/>
        <v>7.0699999999999999E-2</v>
      </c>
      <c r="L54">
        <f t="shared" si="4"/>
        <v>0</v>
      </c>
      <c r="M54">
        <f t="shared" si="4"/>
        <v>0.3795</v>
      </c>
    </row>
    <row r="55" spans="1:13" x14ac:dyDescent="0.3">
      <c r="A55" t="s">
        <v>11</v>
      </c>
      <c r="B55">
        <f t="shared" si="4"/>
        <v>0</v>
      </c>
      <c r="C55">
        <f t="shared" si="4"/>
        <v>7.0699999999999999E-2</v>
      </c>
      <c r="D55">
        <f t="shared" si="4"/>
        <v>0</v>
      </c>
      <c r="E55">
        <f t="shared" si="4"/>
        <v>5.4800000000000001E-2</v>
      </c>
      <c r="F55">
        <f t="shared" si="4"/>
        <v>0</v>
      </c>
      <c r="G55">
        <f t="shared" si="4"/>
        <v>8.3699999999999997E-2</v>
      </c>
      <c r="H55">
        <f t="shared" si="4"/>
        <v>0</v>
      </c>
      <c r="I55">
        <f t="shared" si="4"/>
        <v>0</v>
      </c>
      <c r="J55">
        <f t="shared" si="4"/>
        <v>5.4800000000000001E-2</v>
      </c>
      <c r="K55">
        <f t="shared" si="4"/>
        <v>0</v>
      </c>
      <c r="L55">
        <f t="shared" si="4"/>
        <v>0.3795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0.3347</v>
      </c>
      <c r="D58">
        <f t="shared" si="6"/>
        <v>0.3347</v>
      </c>
      <c r="E58">
        <f t="shared" si="6"/>
        <v>0.3795</v>
      </c>
      <c r="F58">
        <f t="shared" si="6"/>
        <v>0.3347</v>
      </c>
      <c r="G58">
        <f t="shared" si="6"/>
        <v>0.1673</v>
      </c>
      <c r="H58">
        <f t="shared" si="6"/>
        <v>0.3795</v>
      </c>
      <c r="I58">
        <f t="shared" si="6"/>
        <v>0.1095</v>
      </c>
      <c r="J58">
        <f t="shared" si="6"/>
        <v>0.3795</v>
      </c>
      <c r="K58">
        <f t="shared" si="6"/>
        <v>0.3347</v>
      </c>
      <c r="L58">
        <f t="shared" si="6"/>
        <v>0.3795</v>
      </c>
      <c r="M58">
        <f t="shared" si="6"/>
        <v>0.1414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0.1095</v>
      </c>
      <c r="C59">
        <f t="shared" si="7"/>
        <v>0</v>
      </c>
      <c r="D59">
        <f t="shared" si="7"/>
        <v>0.3795</v>
      </c>
      <c r="E59">
        <f t="shared" si="7"/>
        <v>0.251</v>
      </c>
      <c r="F59">
        <f t="shared" si="7"/>
        <v>0.1414</v>
      </c>
      <c r="G59">
        <f t="shared" si="7"/>
        <v>0.251</v>
      </c>
      <c r="H59">
        <f t="shared" si="7"/>
        <v>0.3347</v>
      </c>
      <c r="I59">
        <f t="shared" si="7"/>
        <v>3.1600000000000003E-2</v>
      </c>
      <c r="J59">
        <f t="shared" si="7"/>
        <v>0.2828</v>
      </c>
      <c r="K59">
        <f t="shared" si="7"/>
        <v>0.3795</v>
      </c>
      <c r="L59">
        <f t="shared" si="7"/>
        <v>0.21210000000000001</v>
      </c>
      <c r="M59">
        <f t="shared" si="7"/>
        <v>0.3795</v>
      </c>
    </row>
    <row r="60" spans="1:13" x14ac:dyDescent="0.3">
      <c r="A60" t="s">
        <v>2</v>
      </c>
      <c r="B60">
        <f t="shared" si="7"/>
        <v>0.21210000000000001</v>
      </c>
      <c r="C60">
        <f t="shared" si="7"/>
        <v>7.0699999999999999E-2</v>
      </c>
      <c r="D60">
        <f t="shared" si="7"/>
        <v>0</v>
      </c>
      <c r="E60">
        <f t="shared" si="7"/>
        <v>8.3699999999999997E-2</v>
      </c>
      <c r="F60">
        <f t="shared" si="7"/>
        <v>6.3200000000000006E-2</v>
      </c>
      <c r="G60">
        <f t="shared" si="7"/>
        <v>0.2828</v>
      </c>
      <c r="H60">
        <f t="shared" si="7"/>
        <v>0.21210000000000001</v>
      </c>
      <c r="I60">
        <f t="shared" si="7"/>
        <v>0.1414</v>
      </c>
      <c r="J60">
        <f t="shared" si="7"/>
        <v>0.3795</v>
      </c>
      <c r="K60">
        <f t="shared" si="7"/>
        <v>0.3795</v>
      </c>
      <c r="L60">
        <f t="shared" si="7"/>
        <v>0.3795</v>
      </c>
      <c r="M60">
        <f t="shared" si="7"/>
        <v>0.3795</v>
      </c>
    </row>
    <row r="61" spans="1:13" x14ac:dyDescent="0.3">
      <c r="A61" t="s">
        <v>3</v>
      </c>
      <c r="B61">
        <f t="shared" si="7"/>
        <v>0.3795</v>
      </c>
      <c r="C61">
        <f t="shared" si="7"/>
        <v>0.3795</v>
      </c>
      <c r="D61">
        <f t="shared" si="7"/>
        <v>0.3795</v>
      </c>
      <c r="E61">
        <f t="shared" si="7"/>
        <v>0</v>
      </c>
      <c r="F61">
        <f t="shared" si="7"/>
        <v>5.4800000000000001E-2</v>
      </c>
      <c r="G61">
        <f t="shared" si="7"/>
        <v>0.3795</v>
      </c>
      <c r="H61">
        <f t="shared" si="7"/>
        <v>0.3347</v>
      </c>
      <c r="I61">
        <f t="shared" si="7"/>
        <v>0.1673</v>
      </c>
      <c r="J61">
        <f t="shared" si="7"/>
        <v>0.3795</v>
      </c>
      <c r="K61">
        <f t="shared" si="7"/>
        <v>7.0699999999999999E-2</v>
      </c>
      <c r="L61">
        <f t="shared" si="7"/>
        <v>0.3795</v>
      </c>
      <c r="M61">
        <f t="shared" si="7"/>
        <v>5.4800000000000001E-2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0.1414</v>
      </c>
      <c r="C62">
        <f t="shared" si="8"/>
        <v>0.1414</v>
      </c>
      <c r="D62">
        <f t="shared" si="8"/>
        <v>5.4800000000000001E-2</v>
      </c>
      <c r="E62">
        <f t="shared" si="8"/>
        <v>7.0699999999999999E-2</v>
      </c>
      <c r="F62">
        <f t="shared" si="8"/>
        <v>0</v>
      </c>
      <c r="G62">
        <f t="shared" si="8"/>
        <v>0.3347</v>
      </c>
      <c r="H62">
        <f t="shared" si="8"/>
        <v>5.4800000000000001E-2</v>
      </c>
      <c r="I62">
        <f t="shared" si="8"/>
        <v>7.0699999999999999E-2</v>
      </c>
      <c r="J62">
        <f t="shared" si="8"/>
        <v>0.3795</v>
      </c>
      <c r="K62">
        <f t="shared" si="8"/>
        <v>0.3347</v>
      </c>
      <c r="L62">
        <f t="shared" si="8"/>
        <v>0.1414</v>
      </c>
      <c r="M62">
        <f t="shared" si="8"/>
        <v>5.4800000000000001E-2</v>
      </c>
    </row>
    <row r="63" spans="1:13" x14ac:dyDescent="0.3">
      <c r="A63" t="s">
        <v>5</v>
      </c>
      <c r="B63">
        <f t="shared" si="7"/>
        <v>0.1414</v>
      </c>
      <c r="C63">
        <f t="shared" si="7"/>
        <v>7.0699999999999999E-2</v>
      </c>
      <c r="D63">
        <f t="shared" si="7"/>
        <v>0.1095</v>
      </c>
      <c r="E63">
        <f t="shared" si="7"/>
        <v>7.0699999999999999E-2</v>
      </c>
      <c r="F63">
        <f t="shared" si="7"/>
        <v>7.0699999999999999E-2</v>
      </c>
      <c r="G63">
        <f t="shared" si="7"/>
        <v>0</v>
      </c>
      <c r="H63">
        <f t="shared" si="7"/>
        <v>0.1673</v>
      </c>
      <c r="I63">
        <f t="shared" si="7"/>
        <v>0.1673</v>
      </c>
      <c r="J63">
        <f t="shared" si="7"/>
        <v>7.0699999999999999E-2</v>
      </c>
      <c r="K63">
        <f t="shared" si="7"/>
        <v>0.1414</v>
      </c>
      <c r="L63">
        <f t="shared" si="7"/>
        <v>0.1095</v>
      </c>
      <c r="M63">
        <f t="shared" si="7"/>
        <v>8.3699999999999997E-2</v>
      </c>
    </row>
    <row r="64" spans="1:13" x14ac:dyDescent="0.3">
      <c r="A64" t="s">
        <v>6</v>
      </c>
      <c r="B64">
        <f t="shared" si="7"/>
        <v>0.3795</v>
      </c>
      <c r="C64">
        <f t="shared" si="7"/>
        <v>0.3795</v>
      </c>
      <c r="D64">
        <f t="shared" si="7"/>
        <v>0.3795</v>
      </c>
      <c r="E64">
        <f t="shared" si="7"/>
        <v>0.3795</v>
      </c>
      <c r="F64">
        <f t="shared" si="7"/>
        <v>0.3795</v>
      </c>
      <c r="G64">
        <f t="shared" si="7"/>
        <v>0.3795</v>
      </c>
      <c r="H64">
        <f t="shared" si="7"/>
        <v>0</v>
      </c>
      <c r="I64">
        <f t="shared" si="7"/>
        <v>0.1414</v>
      </c>
      <c r="J64">
        <f t="shared" si="7"/>
        <v>0.3795</v>
      </c>
      <c r="K64">
        <f t="shared" si="7"/>
        <v>0.3795</v>
      </c>
      <c r="L64">
        <f t="shared" si="7"/>
        <v>0.3795</v>
      </c>
      <c r="M64">
        <f t="shared" si="7"/>
        <v>0.3795</v>
      </c>
    </row>
    <row r="65" spans="1:13" x14ac:dyDescent="0.3">
      <c r="A65" t="s">
        <v>7</v>
      </c>
      <c r="B65">
        <f t="shared" si="7"/>
        <v>0.1414</v>
      </c>
      <c r="C65">
        <f t="shared" si="7"/>
        <v>7.0699999999999999E-2</v>
      </c>
      <c r="D65">
        <f t="shared" si="7"/>
        <v>7.0699999999999999E-2</v>
      </c>
      <c r="E65">
        <f t="shared" si="7"/>
        <v>8.3699999999999997E-2</v>
      </c>
      <c r="F65">
        <f t="shared" si="7"/>
        <v>3.1600000000000003E-2</v>
      </c>
      <c r="G65">
        <f t="shared" si="7"/>
        <v>3.1600000000000003E-2</v>
      </c>
      <c r="H65">
        <f t="shared" si="7"/>
        <v>0.1095</v>
      </c>
      <c r="I65">
        <f t="shared" si="7"/>
        <v>0</v>
      </c>
      <c r="J65">
        <f t="shared" si="7"/>
        <v>7.0699999999999999E-2</v>
      </c>
      <c r="K65">
        <f t="shared" si="7"/>
        <v>0.3795</v>
      </c>
      <c r="L65">
        <f t="shared" si="7"/>
        <v>0.3795</v>
      </c>
      <c r="M65">
        <f t="shared" si="7"/>
        <v>0.3795</v>
      </c>
    </row>
    <row r="66" spans="1:13" x14ac:dyDescent="0.3">
      <c r="A66" t="s">
        <v>8</v>
      </c>
      <c r="B66">
        <f t="shared" si="7"/>
        <v>0.251</v>
      </c>
      <c r="C66">
        <f t="shared" si="7"/>
        <v>7.0699999999999999E-2</v>
      </c>
      <c r="D66">
        <f t="shared" si="7"/>
        <v>5.4800000000000001E-2</v>
      </c>
      <c r="E66">
        <f t="shared" si="7"/>
        <v>0.1095</v>
      </c>
      <c r="F66">
        <f t="shared" si="7"/>
        <v>7.0699999999999999E-2</v>
      </c>
      <c r="G66">
        <f t="shared" si="7"/>
        <v>8.3699999999999997E-2</v>
      </c>
      <c r="H66">
        <f t="shared" si="7"/>
        <v>8.3699999999999997E-2</v>
      </c>
      <c r="I66">
        <f t="shared" si="7"/>
        <v>0.1673</v>
      </c>
      <c r="J66">
        <f t="shared" si="7"/>
        <v>0</v>
      </c>
      <c r="K66">
        <f t="shared" si="7"/>
        <v>0.3347</v>
      </c>
      <c r="L66">
        <f t="shared" si="7"/>
        <v>0.21210000000000001</v>
      </c>
      <c r="M66">
        <f t="shared" si="7"/>
        <v>0.3795</v>
      </c>
    </row>
    <row r="67" spans="1:13" x14ac:dyDescent="0.3">
      <c r="A67" t="s">
        <v>9</v>
      </c>
      <c r="B67">
        <f t="shared" si="7"/>
        <v>0.1414</v>
      </c>
      <c r="C67">
        <f t="shared" si="7"/>
        <v>0.1095</v>
      </c>
      <c r="D67">
        <f t="shared" si="7"/>
        <v>7.0699999999999999E-2</v>
      </c>
      <c r="E67">
        <f t="shared" si="7"/>
        <v>5.4800000000000001E-2</v>
      </c>
      <c r="F67">
        <f t="shared" si="7"/>
        <v>0.1095</v>
      </c>
      <c r="G67">
        <f t="shared" si="7"/>
        <v>7.0699999999999999E-2</v>
      </c>
      <c r="H67">
        <f t="shared" si="7"/>
        <v>0.1095</v>
      </c>
      <c r="I67">
        <f t="shared" si="7"/>
        <v>0.1095</v>
      </c>
      <c r="J67">
        <f t="shared" si="7"/>
        <v>5.4800000000000001E-2</v>
      </c>
      <c r="K67">
        <f t="shared" si="7"/>
        <v>0</v>
      </c>
      <c r="L67">
        <f t="shared" si="7"/>
        <v>0.1414</v>
      </c>
      <c r="M67">
        <f t="shared" si="7"/>
        <v>7.0699999999999999E-2</v>
      </c>
    </row>
    <row r="68" spans="1:13" x14ac:dyDescent="0.3">
      <c r="A68" t="s">
        <v>10</v>
      </c>
      <c r="B68">
        <f t="shared" si="7"/>
        <v>7.0699999999999999E-2</v>
      </c>
      <c r="C68">
        <f t="shared" si="7"/>
        <v>7.0699999999999999E-2</v>
      </c>
      <c r="D68">
        <f t="shared" si="7"/>
        <v>0.1414</v>
      </c>
      <c r="E68">
        <f t="shared" si="7"/>
        <v>0.1414</v>
      </c>
      <c r="F68">
        <f t="shared" si="7"/>
        <v>5.4800000000000001E-2</v>
      </c>
      <c r="G68">
        <f t="shared" si="7"/>
        <v>5.4800000000000001E-2</v>
      </c>
      <c r="H68">
        <f t="shared" si="7"/>
        <v>7.0699999999999999E-2</v>
      </c>
      <c r="I68">
        <f t="shared" si="7"/>
        <v>0.1095</v>
      </c>
      <c r="J68">
        <f t="shared" si="7"/>
        <v>0.1414</v>
      </c>
      <c r="K68">
        <f t="shared" si="7"/>
        <v>0.1414</v>
      </c>
      <c r="L68">
        <f t="shared" si="7"/>
        <v>0</v>
      </c>
      <c r="M68">
        <f t="shared" si="7"/>
        <v>0.3795</v>
      </c>
    </row>
    <row r="69" spans="1:13" x14ac:dyDescent="0.3">
      <c r="A69" t="s">
        <v>11</v>
      </c>
      <c r="B69">
        <f t="shared" si="7"/>
        <v>5.4800000000000001E-2</v>
      </c>
      <c r="C69">
        <f t="shared" si="7"/>
        <v>0.1414</v>
      </c>
      <c r="D69">
        <f t="shared" si="7"/>
        <v>5.4800000000000001E-2</v>
      </c>
      <c r="E69">
        <f t="shared" si="7"/>
        <v>0.1095</v>
      </c>
      <c r="F69">
        <f t="shared" si="7"/>
        <v>7.0699999999999999E-2</v>
      </c>
      <c r="G69">
        <f t="shared" si="7"/>
        <v>0.1673</v>
      </c>
      <c r="H69">
        <f t="shared" si="7"/>
        <v>5.4800000000000001E-2</v>
      </c>
      <c r="I69">
        <f t="shared" si="7"/>
        <v>8.3699999999999997E-2</v>
      </c>
      <c r="J69">
        <f t="shared" si="7"/>
        <v>0.1095</v>
      </c>
      <c r="K69">
        <f t="shared" si="7"/>
        <v>5.4800000000000001E-2</v>
      </c>
      <c r="L69">
        <f t="shared" si="7"/>
        <v>0.3795</v>
      </c>
      <c r="M69">
        <f t="shared" si="7"/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9"/>
  <dimension ref="A1:M69"/>
  <sheetViews>
    <sheetView workbookViewId="0">
      <selection activeCell="A15" sqref="A15:M69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27</v>
      </c>
      <c r="D2" t="s">
        <v>12</v>
      </c>
      <c r="E2" t="s">
        <v>27</v>
      </c>
      <c r="F2" t="s">
        <v>12</v>
      </c>
      <c r="G2" t="s">
        <v>16</v>
      </c>
      <c r="H2" t="s">
        <v>12</v>
      </c>
      <c r="I2" t="s">
        <v>25</v>
      </c>
      <c r="J2" t="s">
        <v>25</v>
      </c>
      <c r="K2" t="s">
        <v>25</v>
      </c>
      <c r="L2" t="s">
        <v>13</v>
      </c>
      <c r="M2" t="s">
        <v>12</v>
      </c>
    </row>
    <row r="3" spans="1:13" x14ac:dyDescent="0.3">
      <c r="A3" s="1" t="s">
        <v>1</v>
      </c>
      <c r="B3" t="s">
        <v>15</v>
      </c>
      <c r="C3">
        <v>0</v>
      </c>
      <c r="D3" t="s">
        <v>18</v>
      </c>
      <c r="E3" t="s">
        <v>22</v>
      </c>
      <c r="F3" t="s">
        <v>16</v>
      </c>
      <c r="G3" t="s">
        <v>19</v>
      </c>
      <c r="H3" t="s">
        <v>17</v>
      </c>
      <c r="I3" t="s">
        <v>22</v>
      </c>
      <c r="J3" t="s">
        <v>12</v>
      </c>
      <c r="K3" t="s">
        <v>18</v>
      </c>
      <c r="L3" t="s">
        <v>21</v>
      </c>
      <c r="M3" t="s">
        <v>13</v>
      </c>
    </row>
    <row r="4" spans="1:13" x14ac:dyDescent="0.3">
      <c r="A4" s="1" t="s">
        <v>2</v>
      </c>
      <c r="B4" t="s">
        <v>19</v>
      </c>
      <c r="C4" t="s">
        <v>71</v>
      </c>
      <c r="D4">
        <v>0</v>
      </c>
      <c r="E4" t="s">
        <v>12</v>
      </c>
      <c r="F4" t="s">
        <v>16</v>
      </c>
      <c r="G4" t="s">
        <v>19</v>
      </c>
      <c r="H4" t="s">
        <v>19</v>
      </c>
      <c r="I4" t="s">
        <v>22</v>
      </c>
      <c r="J4" t="s">
        <v>13</v>
      </c>
      <c r="K4" t="s">
        <v>25</v>
      </c>
      <c r="L4" t="s">
        <v>12</v>
      </c>
      <c r="M4" t="s">
        <v>13</v>
      </c>
    </row>
    <row r="5" spans="1:13" x14ac:dyDescent="0.3">
      <c r="A5" s="1" t="s">
        <v>3</v>
      </c>
      <c r="B5" t="s">
        <v>23</v>
      </c>
      <c r="C5" t="s">
        <v>25</v>
      </c>
      <c r="D5" t="s">
        <v>20</v>
      </c>
      <c r="E5">
        <v>0</v>
      </c>
      <c r="F5" t="s">
        <v>24</v>
      </c>
      <c r="G5" t="s">
        <v>12</v>
      </c>
      <c r="H5" t="s">
        <v>25</v>
      </c>
      <c r="I5" t="s">
        <v>18</v>
      </c>
      <c r="J5" t="s">
        <v>18</v>
      </c>
      <c r="K5" t="s">
        <v>13</v>
      </c>
      <c r="L5" t="s">
        <v>16</v>
      </c>
      <c r="M5" t="s">
        <v>13</v>
      </c>
    </row>
    <row r="6" spans="1:13" x14ac:dyDescent="0.3">
      <c r="A6" s="1" t="s">
        <v>4</v>
      </c>
      <c r="B6" t="s">
        <v>24</v>
      </c>
      <c r="C6" t="s">
        <v>24</v>
      </c>
      <c r="D6" t="s">
        <v>17</v>
      </c>
      <c r="E6" t="s">
        <v>62</v>
      </c>
      <c r="F6">
        <v>0</v>
      </c>
      <c r="G6" t="s">
        <v>12</v>
      </c>
      <c r="H6" t="s">
        <v>20</v>
      </c>
      <c r="I6" t="s">
        <v>22</v>
      </c>
      <c r="J6" t="s">
        <v>25</v>
      </c>
      <c r="K6" t="s">
        <v>13</v>
      </c>
      <c r="L6" t="s">
        <v>15</v>
      </c>
      <c r="M6" t="s">
        <v>24</v>
      </c>
    </row>
    <row r="7" spans="1:13" x14ac:dyDescent="0.3">
      <c r="A7" s="1" t="s">
        <v>5</v>
      </c>
      <c r="B7" t="s">
        <v>16</v>
      </c>
      <c r="C7" t="s">
        <v>17</v>
      </c>
      <c r="D7" t="s">
        <v>20</v>
      </c>
      <c r="E7" t="s">
        <v>20</v>
      </c>
      <c r="F7" t="s">
        <v>16</v>
      </c>
      <c r="G7">
        <v>0</v>
      </c>
      <c r="H7" t="s">
        <v>24</v>
      </c>
      <c r="I7" t="s">
        <v>24</v>
      </c>
      <c r="J7" t="s">
        <v>16</v>
      </c>
      <c r="K7" t="s">
        <v>15</v>
      </c>
      <c r="L7" t="s">
        <v>71</v>
      </c>
      <c r="M7" t="s">
        <v>17</v>
      </c>
    </row>
    <row r="8" spans="1:13" x14ac:dyDescent="0.3">
      <c r="A8" s="1" t="s">
        <v>6</v>
      </c>
      <c r="B8" t="s">
        <v>17</v>
      </c>
      <c r="C8" t="s">
        <v>15</v>
      </c>
      <c r="D8" t="s">
        <v>71</v>
      </c>
      <c r="E8" t="s">
        <v>17</v>
      </c>
      <c r="F8" t="s">
        <v>24</v>
      </c>
      <c r="G8" t="s">
        <v>16</v>
      </c>
      <c r="H8">
        <v>0</v>
      </c>
      <c r="I8" t="s">
        <v>15</v>
      </c>
      <c r="J8" t="s">
        <v>23</v>
      </c>
      <c r="K8" t="s">
        <v>12</v>
      </c>
      <c r="L8" t="s">
        <v>62</v>
      </c>
      <c r="M8" t="s">
        <v>20</v>
      </c>
    </row>
    <row r="9" spans="1:13" x14ac:dyDescent="0.3">
      <c r="A9" s="1" t="s">
        <v>7</v>
      </c>
      <c r="B9" t="s">
        <v>16</v>
      </c>
      <c r="C9" t="s">
        <v>24</v>
      </c>
      <c r="D9" t="s">
        <v>16</v>
      </c>
      <c r="E9" t="s">
        <v>23</v>
      </c>
      <c r="F9" t="s">
        <v>71</v>
      </c>
      <c r="G9" t="s">
        <v>20</v>
      </c>
      <c r="H9" t="s">
        <v>71</v>
      </c>
      <c r="I9">
        <v>0</v>
      </c>
      <c r="J9" t="s">
        <v>24</v>
      </c>
      <c r="K9" t="s">
        <v>18</v>
      </c>
      <c r="L9" t="s">
        <v>12</v>
      </c>
      <c r="M9" t="s">
        <v>21</v>
      </c>
    </row>
    <row r="10" spans="1:13" x14ac:dyDescent="0.3">
      <c r="A10" s="1" t="s">
        <v>8</v>
      </c>
      <c r="B10" t="s">
        <v>21</v>
      </c>
      <c r="C10" t="s">
        <v>16</v>
      </c>
      <c r="D10" t="s">
        <v>16</v>
      </c>
      <c r="E10" t="s">
        <v>16</v>
      </c>
      <c r="F10" t="s">
        <v>24</v>
      </c>
      <c r="G10" t="s">
        <v>16</v>
      </c>
      <c r="H10" t="s">
        <v>16</v>
      </c>
      <c r="I10" t="s">
        <v>16</v>
      </c>
      <c r="J10">
        <v>0</v>
      </c>
      <c r="K10" t="s">
        <v>18</v>
      </c>
      <c r="L10" t="s">
        <v>25</v>
      </c>
      <c r="M10" t="s">
        <v>12</v>
      </c>
    </row>
    <row r="11" spans="1:13" x14ac:dyDescent="0.3">
      <c r="A11" s="1" t="s">
        <v>9</v>
      </c>
      <c r="B11" t="s">
        <v>24</v>
      </c>
      <c r="C11" t="s">
        <v>16</v>
      </c>
      <c r="D11" t="s">
        <v>15</v>
      </c>
      <c r="E11" t="s">
        <v>71</v>
      </c>
      <c r="F11" t="s">
        <v>71</v>
      </c>
      <c r="G11" t="s">
        <v>24</v>
      </c>
      <c r="H11" t="s">
        <v>16</v>
      </c>
      <c r="I11" t="s">
        <v>24</v>
      </c>
      <c r="J11" t="s">
        <v>16</v>
      </c>
      <c r="K11">
        <v>0</v>
      </c>
      <c r="L11" t="s">
        <v>20</v>
      </c>
      <c r="M11" t="s">
        <v>24</v>
      </c>
    </row>
    <row r="12" spans="1:13" x14ac:dyDescent="0.3">
      <c r="A12" s="1" t="s">
        <v>10</v>
      </c>
      <c r="B12" t="s">
        <v>16</v>
      </c>
      <c r="C12" t="s">
        <v>71</v>
      </c>
      <c r="D12" t="s">
        <v>16</v>
      </c>
      <c r="E12" t="s">
        <v>15</v>
      </c>
      <c r="F12" t="s">
        <v>24</v>
      </c>
      <c r="G12" t="s">
        <v>15</v>
      </c>
      <c r="H12" t="s">
        <v>15</v>
      </c>
      <c r="I12" t="s">
        <v>20</v>
      </c>
      <c r="J12" t="s">
        <v>17</v>
      </c>
      <c r="K12" t="s">
        <v>20</v>
      </c>
      <c r="L12">
        <v>0</v>
      </c>
      <c r="M12" t="s">
        <v>18</v>
      </c>
    </row>
    <row r="13" spans="1:13" x14ac:dyDescent="0.3">
      <c r="A13" s="1" t="s">
        <v>11</v>
      </c>
      <c r="B13" t="s">
        <v>23</v>
      </c>
      <c r="C13" t="s">
        <v>71</v>
      </c>
      <c r="D13" t="s">
        <v>15</v>
      </c>
      <c r="E13" t="s">
        <v>23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20</v>
      </c>
      <c r="L13" t="s">
        <v>16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(0,0949; 0,1897; 0,2846)</v>
      </c>
      <c r="D16" t="str">
        <f>VLOOKUP(D2,'Thang đánh giá'!$C$2:$D$27,2,FALSE)</f>
        <v>(0,1673; 0,251; 0,3347)</v>
      </c>
      <c r="E16" t="str">
        <f>VLOOKUP(E2,'Thang đánh giá'!$C$2:$D$27,2,FALSE)</f>
        <v>(0,0949; 0,1897; 0,2846)</v>
      </c>
      <c r="F16" t="str">
        <f>VLOOKUP(F2,'Thang đánh giá'!$C$2:$D$27,2,FALSE)</f>
        <v>(0,1673; 0,251; 0,3347)</v>
      </c>
      <c r="G16" t="str">
        <f>VLOOKUP(G2,'Thang đánh giá'!$C$2:$D$27,2,FALSE)</f>
        <v>(0; 0; 0,0707)</v>
      </c>
      <c r="H16" t="str">
        <f>VLOOKUP(H2,'Thang đánh giá'!$C$2:$D$27,2,FALSE)</f>
        <v>(0,1673; 0,251; 0,3347)</v>
      </c>
      <c r="I16" t="str">
        <f>VLOOKUP(I2,'Thang đánh giá'!$C$2:$D$27,2,FALSE)</f>
        <v>(0,251; 0,3347; 0,3347)</v>
      </c>
      <c r="J16" t="str">
        <f>VLOOKUP(J2,'Thang đánh giá'!$C$2:$D$27,2,FALSE)</f>
        <v>(0,251; 0,3347; 0,3347)</v>
      </c>
      <c r="K16" t="str">
        <f>VLOOKUP(K2,'Thang đánh giá'!$C$2:$D$27,2,FALSE)</f>
        <v>(0,251; 0,3347; 0,3347)</v>
      </c>
      <c r="L16" t="str">
        <f>VLOOKUP(L2,'Thang đánh giá'!$C$2:$D$27,2,FALSE)</f>
        <v>(0,1897; 0,2846; 0,3795)</v>
      </c>
      <c r="M16" t="str">
        <f>VLOOKUP(M2,'Thang đánh giá'!$C$2:$D$27,2,FALSE)</f>
        <v>(0,1673; 0,251; 0,3347)</v>
      </c>
    </row>
    <row r="17" spans="1:13" x14ac:dyDescent="0.3">
      <c r="A17" t="s">
        <v>1</v>
      </c>
      <c r="B17" t="str">
        <f>VLOOKUP(B3,'Thang đánh giá'!$C$2:$D$27,2,FALSE)</f>
        <v>(0; 0,0707; 0,1414)</v>
      </c>
      <c r="C17" t="str">
        <f>VLOOKUP(C3,'Thang đánh giá'!$C$2:$D$27,2,FALSE)</f>
        <v>(0; 0; 0)</v>
      </c>
      <c r="D17" t="str">
        <f>VLOOKUP(D3,'Thang đánh giá'!$C$2:$D$27,2,FALSE)</f>
        <v>(0,2846; 0,3795; 0,3795)</v>
      </c>
      <c r="E17" t="str">
        <f>VLOOKUP(E3,'Thang đánh giá'!$C$2:$D$27,2,FALSE)</f>
        <v>(0,0707; 0,1414; 0,2121)</v>
      </c>
      <c r="F17" t="str">
        <f>VLOOKUP(F3,'Thang đánh giá'!$C$2:$D$27,2,FALSE)</f>
        <v>(0; 0; 0,0707)</v>
      </c>
      <c r="G17" t="str">
        <f>VLOOKUP(G3,'Thang đánh giá'!$C$2:$D$27,2,FALSE)</f>
        <v>(0,1414; 0,2121; 0,2828)</v>
      </c>
      <c r="H17" t="str">
        <f>VLOOKUP(H3,'Thang đánh giá'!$C$2:$D$27,2,FALSE)</f>
        <v>(0; 0,0316; 0,0632)</v>
      </c>
      <c r="I17" t="str">
        <f>VLOOKUP(I3,'Thang đánh giá'!$C$2:$D$27,2,FALSE)</f>
        <v>(0,0707; 0,1414; 0,2121)</v>
      </c>
      <c r="J17" t="str">
        <f>VLOOKUP(J3,'Thang đánh giá'!$C$2:$D$27,2,FALSE)</f>
        <v>(0,1673; 0,251; 0,3347)</v>
      </c>
      <c r="K17" t="str">
        <f>VLOOKUP(K3,'Thang đánh giá'!$C$2:$D$27,2,FALSE)</f>
        <v>(0,2846; 0,3795; 0,3795)</v>
      </c>
      <c r="L17" t="str">
        <f>VLOOKUP(L3,'Thang đánh giá'!$C$2:$D$27,2,FALSE)</f>
        <v>(0,0837; 0,1673; 0,251)</v>
      </c>
      <c r="M17" t="str">
        <f>VLOOKUP(M3,'Thang đánh giá'!$C$2:$D$27,2,FALSE)</f>
        <v>(0,1897; 0,2846; 0,3795)</v>
      </c>
    </row>
    <row r="18" spans="1:13" x14ac:dyDescent="0.3">
      <c r="A18" t="s">
        <v>2</v>
      </c>
      <c r="B18" t="str">
        <f>VLOOKUP(B4,'Thang đánh giá'!$C$2:$D$27,2,FALSE)</f>
        <v>(0,1414; 0,2121; 0,2828)</v>
      </c>
      <c r="C18" t="str">
        <f>VLOOKUP(C4,'Thang đánh giá'!$C$2:$D$27,2,FALSE)</f>
        <v>(0; 0; 0,0837)</v>
      </c>
      <c r="D18" t="str">
        <f>VLOOKUP(D4,'Thang đánh giá'!$C$2:$D$27,2,FALSE)</f>
        <v>(0; 0; 0)</v>
      </c>
      <c r="E18" t="str">
        <f>VLOOKUP(E4,'Thang đánh giá'!$C$2:$D$27,2,FALSE)</f>
        <v>(0,1673; 0,251; 0,3347)</v>
      </c>
      <c r="F18" t="str">
        <f>VLOOKUP(F4,'Thang đánh giá'!$C$2:$D$27,2,FALSE)</f>
        <v>(0; 0; 0,0707)</v>
      </c>
      <c r="G18" t="str">
        <f>VLOOKUP(G4,'Thang đánh giá'!$C$2:$D$27,2,FALSE)</f>
        <v>(0,1414; 0,2121; 0,2828)</v>
      </c>
      <c r="H18" t="str">
        <f>VLOOKUP(H4,'Thang đánh giá'!$C$2:$D$27,2,FALSE)</f>
        <v>(0,1414; 0,2121; 0,2828)</v>
      </c>
      <c r="I18" t="str">
        <f>VLOOKUP(I4,'Thang đánh giá'!$C$2:$D$27,2,FALSE)</f>
        <v>(0,0707; 0,1414; 0,2121)</v>
      </c>
      <c r="J18" t="str">
        <f>VLOOKUP(J4,'Thang đánh giá'!$C$2:$D$27,2,FALSE)</f>
        <v>(0,1897; 0,2846; 0,3795)</v>
      </c>
      <c r="K18" t="str">
        <f>VLOOKUP(K4,'Thang đánh giá'!$C$2:$D$27,2,FALSE)</f>
        <v>(0,251; 0,3347; 0,3347)</v>
      </c>
      <c r="L18" t="str">
        <f>VLOOKUP(L4,'Thang đánh giá'!$C$2:$D$27,2,FALSE)</f>
        <v>(0,1673; 0,251; 0,3347)</v>
      </c>
      <c r="M18" t="str">
        <f>VLOOKUP(M4,'Thang đánh giá'!$C$2:$D$27,2,FALSE)</f>
        <v>(0,1897; 0,2846; 0,3795)</v>
      </c>
    </row>
    <row r="19" spans="1:13" x14ac:dyDescent="0.3">
      <c r="A19" t="s">
        <v>3</v>
      </c>
      <c r="B19" t="str">
        <f>VLOOKUP(B5,'Thang đánh giá'!$C$2:$D$27,2,FALSE)</f>
        <v>(0; 0; 0,0316)</v>
      </c>
      <c r="C19" t="str">
        <f>VLOOKUP(C5,'Thang đánh giá'!$C$2:$D$27,2,FALSE)</f>
        <v>(0,251; 0,3347; 0,3347)</v>
      </c>
      <c r="D19" t="str">
        <f>VLOOKUP(D5,'Thang đánh giá'!$C$2:$D$27,2,FALSE)</f>
        <v>(0; 0,0548; 0,1095)</v>
      </c>
      <c r="E19" t="str">
        <f>VLOOKUP(E5,'Thang đánh giá'!$C$2:$D$27,2,FALSE)</f>
        <v>(0; 0; 0)</v>
      </c>
      <c r="F19" t="str">
        <f>VLOOKUP(F5,'Thang đánh giá'!$C$2:$D$27,2,FALSE)</f>
        <v>(0; 0; 0,0548)</v>
      </c>
      <c r="G19" t="str">
        <f>VLOOKUP(G5,'Thang đánh giá'!$C$2:$D$27,2,FALSE)</f>
        <v>(0,1673; 0,251; 0,3347)</v>
      </c>
      <c r="H19" t="str">
        <f>VLOOKUP(H5,'Thang đánh giá'!$C$2:$D$27,2,FALSE)</f>
        <v>(0,251; 0,3347; 0,3347)</v>
      </c>
      <c r="I19" t="str">
        <f>VLOOKUP(I5,'Thang đánh giá'!$C$2:$D$27,2,FALSE)</f>
        <v>(0,2846; 0,3795; 0,3795)</v>
      </c>
      <c r="J19" t="str">
        <f>VLOOKUP(J5,'Thang đánh giá'!$C$2:$D$27,2,FALSE)</f>
        <v>(0,2846; 0,3795; 0,3795)</v>
      </c>
      <c r="K19" t="str">
        <f>VLOOKUP(K5,'Thang đánh giá'!$C$2:$D$27,2,FALSE)</f>
        <v>(0,1897; 0,2846; 0,3795)</v>
      </c>
      <c r="L19" t="str">
        <f>VLOOKUP(L5,'Thang đánh giá'!$C$2:$D$27,2,FALSE)</f>
        <v>(0; 0; 0,0707)</v>
      </c>
      <c r="M19" t="str">
        <f>VLOOKUP(M5,'Thang đánh giá'!$C$2:$D$27,2,FALSE)</f>
        <v>(0,1897; 0,2846; 0,3795)</v>
      </c>
    </row>
    <row r="20" spans="1:13" x14ac:dyDescent="0.3">
      <c r="A20" t="s">
        <v>4</v>
      </c>
      <c r="B20" t="str">
        <f>VLOOKUP(B6,'Thang đánh giá'!$C$2:$D$27,2,FALSE)</f>
        <v>(0; 0; 0,0548)</v>
      </c>
      <c r="C20" t="str">
        <f>VLOOKUP(C6,'Thang đánh giá'!$C$2:$D$27,2,FALSE)</f>
        <v>(0; 0; 0,0548)</v>
      </c>
      <c r="D20" t="str">
        <f>VLOOKUP(D6,'Thang đánh giá'!$C$2:$D$27,2,FALSE)</f>
        <v>(0; 0,0316; 0,0632)</v>
      </c>
      <c r="E20" t="str">
        <f>VLOOKUP(E6,'Thang đánh giá'!$C$2:$D$27,2,FALSE)</f>
        <v>(0; 0,0837; 0,1673)</v>
      </c>
      <c r="F20" t="str">
        <f>VLOOKUP(F6,'Thang đánh giá'!$C$2:$D$27,2,FALSE)</f>
        <v>(0; 0; 0)</v>
      </c>
      <c r="G20" t="str">
        <f>VLOOKUP(G6,'Thang đánh giá'!$C$2:$D$27,2,FALSE)</f>
        <v>(0,1673; 0,251; 0,3347)</v>
      </c>
      <c r="H20" t="str">
        <f>VLOOKUP(H6,'Thang đánh giá'!$C$2:$D$27,2,FALSE)</f>
        <v>(0; 0,0548; 0,1095)</v>
      </c>
      <c r="I20" t="str">
        <f>VLOOKUP(I6,'Thang đánh giá'!$C$2:$D$27,2,FALSE)</f>
        <v>(0,0707; 0,1414; 0,2121)</v>
      </c>
      <c r="J20" t="str">
        <f>VLOOKUP(J6,'Thang đánh giá'!$C$2:$D$27,2,FALSE)</f>
        <v>(0,251; 0,3347; 0,3347)</v>
      </c>
      <c r="K20" t="str">
        <f>VLOOKUP(K6,'Thang đánh giá'!$C$2:$D$27,2,FALSE)</f>
        <v>(0,1897; 0,2846; 0,3795)</v>
      </c>
      <c r="L20" t="str">
        <f>VLOOKUP(L6,'Thang đánh giá'!$C$2:$D$27,2,FALSE)</f>
        <v>(0; 0,0707; 0,1414)</v>
      </c>
      <c r="M20" t="str">
        <f>VLOOKUP(M6,'Thang đánh giá'!$C$2:$D$27,2,FALSE)</f>
        <v>(0; 0; 0,0548)</v>
      </c>
    </row>
    <row r="21" spans="1:13" x14ac:dyDescent="0.3">
      <c r="A21" t="s">
        <v>5</v>
      </c>
      <c r="B21" t="str">
        <f>VLOOKUP(B7,'Thang đánh giá'!$C$2:$D$27,2,FALSE)</f>
        <v>(0; 0; 0,0707)</v>
      </c>
      <c r="C21" t="str">
        <f>VLOOKUP(C7,'Thang đánh giá'!$C$2:$D$27,2,FALSE)</f>
        <v>(0; 0,0316; 0,0632)</v>
      </c>
      <c r="D21" t="str">
        <f>VLOOKUP(D7,'Thang đánh giá'!$C$2:$D$27,2,FALSE)</f>
        <v>(0; 0,0548; 0,1095)</v>
      </c>
      <c r="E21" t="str">
        <f>VLOOKUP(E7,'Thang đánh giá'!$C$2:$D$27,2,FALSE)</f>
        <v>(0; 0,0548; 0,1095)</v>
      </c>
      <c r="F21" t="str">
        <f>VLOOKUP(F7,'Thang đánh giá'!$C$2:$D$27,2,FALSE)</f>
        <v>(0; 0; 0,0707)</v>
      </c>
      <c r="G21" t="str">
        <f>VLOOKUP(G7,'Thang đánh giá'!$C$2:$D$27,2,FALSE)</f>
        <v>(0; 0; 0)</v>
      </c>
      <c r="H21" t="str">
        <f>VLOOKUP(H7,'Thang đánh giá'!$C$2:$D$27,2,FALSE)</f>
        <v>(0; 0; 0,0548)</v>
      </c>
      <c r="I21" t="str">
        <f>VLOOKUP(I7,'Thang đánh giá'!$C$2:$D$27,2,FALSE)</f>
        <v>(0; 0; 0,0548)</v>
      </c>
      <c r="J21" t="str">
        <f>VLOOKUP(J7,'Thang đánh giá'!$C$2:$D$27,2,FALSE)</f>
        <v>(0; 0; 0,0707)</v>
      </c>
      <c r="K21" t="str">
        <f>VLOOKUP(K7,'Thang đánh giá'!$C$2:$D$27,2,FALSE)</f>
        <v>(0; 0,0707; 0,1414)</v>
      </c>
      <c r="L21" t="str">
        <f>VLOOKUP(L7,'Thang đánh giá'!$C$2:$D$27,2,FALSE)</f>
        <v>(0; 0; 0,0837)</v>
      </c>
      <c r="M21" t="str">
        <f>VLOOKUP(M7,'Thang đánh giá'!$C$2:$D$27,2,FALSE)</f>
        <v>(0; 0,0316; 0,0632)</v>
      </c>
    </row>
    <row r="22" spans="1:13" x14ac:dyDescent="0.3">
      <c r="A22" t="s">
        <v>6</v>
      </c>
      <c r="B22" t="str">
        <f>VLOOKUP(B8,'Thang đánh giá'!$C$2:$D$27,2,FALSE)</f>
        <v>(0; 0,0316; 0,0632)</v>
      </c>
      <c r="C22" t="str">
        <f>VLOOKUP(C8,'Thang đánh giá'!$C$2:$D$27,2,FALSE)</f>
        <v>(0; 0,0707; 0,1414)</v>
      </c>
      <c r="D22" t="str">
        <f>VLOOKUP(D8,'Thang đánh giá'!$C$2:$D$27,2,FALSE)</f>
        <v>(0; 0; 0,0837)</v>
      </c>
      <c r="E22" t="str">
        <f>VLOOKUP(E8,'Thang đánh giá'!$C$2:$D$27,2,FALSE)</f>
        <v>(0; 0,0316; 0,0632)</v>
      </c>
      <c r="F22" t="str">
        <f>VLOOKUP(F8,'Thang đánh giá'!$C$2:$D$27,2,FALSE)</f>
        <v>(0; 0; 0,0548)</v>
      </c>
      <c r="G22" t="str">
        <f>VLOOKUP(G8,'Thang đánh giá'!$C$2:$D$27,2,FALSE)</f>
        <v>(0; 0; 0,0707)</v>
      </c>
      <c r="H22" t="str">
        <f>VLOOKUP(H8,'Thang đánh giá'!$C$2:$D$27,2,FALSE)</f>
        <v>(0; 0; 0)</v>
      </c>
      <c r="I22" t="str">
        <f>VLOOKUP(I8,'Thang đánh giá'!$C$2:$D$27,2,FALSE)</f>
        <v>(0; 0,0707; 0,1414)</v>
      </c>
      <c r="J22" t="str">
        <f>VLOOKUP(J8,'Thang đánh giá'!$C$2:$D$27,2,FALSE)</f>
        <v>(0; 0; 0,0316)</v>
      </c>
      <c r="K22" t="str">
        <f>VLOOKUP(K8,'Thang đánh giá'!$C$2:$D$27,2,FALSE)</f>
        <v>(0,1673; 0,251; 0,3347)</v>
      </c>
      <c r="L22" t="str">
        <f>VLOOKUP(L8,'Thang đánh giá'!$C$2:$D$27,2,FALSE)</f>
        <v>(0; 0,0837; 0,1673)</v>
      </c>
      <c r="M22" t="str">
        <f>VLOOKUP(M8,'Thang đánh giá'!$C$2:$D$27,2,FALSE)</f>
        <v>(0; 0,0548; 0,1095)</v>
      </c>
    </row>
    <row r="23" spans="1:13" x14ac:dyDescent="0.3">
      <c r="A23" t="s">
        <v>7</v>
      </c>
      <c r="B23" t="str">
        <f>VLOOKUP(B9,'Thang đánh giá'!$C$2:$D$27,2,FALSE)</f>
        <v>(0; 0; 0,0707)</v>
      </c>
      <c r="C23" t="str">
        <f>VLOOKUP(C9,'Thang đánh giá'!$C$2:$D$27,2,FALSE)</f>
        <v>(0; 0; 0,0548)</v>
      </c>
      <c r="D23" t="str">
        <f>VLOOKUP(D9,'Thang đánh giá'!$C$2:$D$27,2,FALSE)</f>
        <v>(0; 0; 0,0707)</v>
      </c>
      <c r="E23" t="str">
        <f>VLOOKUP(E9,'Thang đánh giá'!$C$2:$D$27,2,FALSE)</f>
        <v>(0; 0; 0,0316)</v>
      </c>
      <c r="F23" t="str">
        <f>VLOOKUP(F9,'Thang đánh giá'!$C$2:$D$27,2,FALSE)</f>
        <v>(0; 0; 0,0837)</v>
      </c>
      <c r="G23" t="str">
        <f>VLOOKUP(G9,'Thang đánh giá'!$C$2:$D$27,2,FALSE)</f>
        <v>(0; 0,0548; 0,1095)</v>
      </c>
      <c r="H23" t="str">
        <f>VLOOKUP(H9,'Thang đánh giá'!$C$2:$D$27,2,FALSE)</f>
        <v>(0; 0; 0,0837)</v>
      </c>
      <c r="I23" t="str">
        <f>VLOOKUP(I9,'Thang đánh giá'!$C$2:$D$27,2,FALSE)</f>
        <v>(0; 0; 0)</v>
      </c>
      <c r="J23" t="str">
        <f>VLOOKUP(J9,'Thang đánh giá'!$C$2:$D$27,2,FALSE)</f>
        <v>(0; 0; 0,0548)</v>
      </c>
      <c r="K23" t="str">
        <f>VLOOKUP(K9,'Thang đánh giá'!$C$2:$D$27,2,FALSE)</f>
        <v>(0,2846; 0,3795; 0,3795)</v>
      </c>
      <c r="L23" t="str">
        <f>VLOOKUP(L9,'Thang đánh giá'!$C$2:$D$27,2,FALSE)</f>
        <v>(0,1673; 0,251; 0,3347)</v>
      </c>
      <c r="M23" t="str">
        <f>VLOOKUP(M9,'Thang đánh giá'!$C$2:$D$27,2,FALSE)</f>
        <v>(0,0837; 0,1673; 0,251)</v>
      </c>
    </row>
    <row r="24" spans="1:13" x14ac:dyDescent="0.3">
      <c r="A24" t="s">
        <v>8</v>
      </c>
      <c r="B24" t="str">
        <f>VLOOKUP(B10,'Thang đánh giá'!$C$2:$D$27,2,FALSE)</f>
        <v>(0,0837; 0,1673; 0,251)</v>
      </c>
      <c r="C24" t="str">
        <f>VLOOKUP(C10,'Thang đánh giá'!$C$2:$D$27,2,FALSE)</f>
        <v>(0; 0; 0,0707)</v>
      </c>
      <c r="D24" t="str">
        <f>VLOOKUP(D10,'Thang đánh giá'!$C$2:$D$27,2,FALSE)</f>
        <v>(0; 0; 0,0707)</v>
      </c>
      <c r="E24" t="str">
        <f>VLOOKUP(E10,'Thang đánh giá'!$C$2:$D$27,2,FALSE)</f>
        <v>(0; 0; 0,0707)</v>
      </c>
      <c r="F24" t="str">
        <f>VLOOKUP(F10,'Thang đánh giá'!$C$2:$D$27,2,FALSE)</f>
        <v>(0; 0; 0,0548)</v>
      </c>
      <c r="G24" t="str">
        <f>VLOOKUP(G10,'Thang đánh giá'!$C$2:$D$27,2,FALSE)</f>
        <v>(0; 0; 0,0707)</v>
      </c>
      <c r="H24" t="str">
        <f>VLOOKUP(H10,'Thang đánh giá'!$C$2:$D$27,2,FALSE)</f>
        <v>(0; 0; 0,0707)</v>
      </c>
      <c r="I24" t="str">
        <f>VLOOKUP(I10,'Thang đánh giá'!$C$2:$D$27,2,FALSE)</f>
        <v>(0; 0; 0,0707)</v>
      </c>
      <c r="J24" t="str">
        <f>VLOOKUP(J10,'Thang đánh giá'!$C$2:$D$27,2,FALSE)</f>
        <v>(0; 0; 0)</v>
      </c>
      <c r="K24" t="str">
        <f>VLOOKUP(K10,'Thang đánh giá'!$C$2:$D$27,2,FALSE)</f>
        <v>(0,2846; 0,3795; 0,3795)</v>
      </c>
      <c r="L24" t="str">
        <f>VLOOKUP(L10,'Thang đánh giá'!$C$2:$D$27,2,FALSE)</f>
        <v>(0,251; 0,3347; 0,3347)</v>
      </c>
      <c r="M24" t="str">
        <f>VLOOKUP(M10,'Thang đánh giá'!$C$2:$D$27,2,FALSE)</f>
        <v>(0,1673; 0,251; 0,3347)</v>
      </c>
    </row>
    <row r="25" spans="1:13" x14ac:dyDescent="0.3">
      <c r="A25" t="s">
        <v>9</v>
      </c>
      <c r="B25" t="str">
        <f>VLOOKUP(B11,'Thang đánh giá'!$C$2:$D$27,2,FALSE)</f>
        <v>(0; 0; 0,0548)</v>
      </c>
      <c r="C25" t="str">
        <f>VLOOKUP(C11,'Thang đánh giá'!$C$2:$D$27,2,FALSE)</f>
        <v>(0; 0; 0,0707)</v>
      </c>
      <c r="D25" t="str">
        <f>VLOOKUP(D11,'Thang đánh giá'!$C$2:$D$27,2,FALSE)</f>
        <v>(0; 0,0707; 0,1414)</v>
      </c>
      <c r="E25" t="str">
        <f>VLOOKUP(E11,'Thang đánh giá'!$C$2:$D$27,2,FALSE)</f>
        <v>(0; 0; 0,0837)</v>
      </c>
      <c r="F25" t="str">
        <f>VLOOKUP(F11,'Thang đánh giá'!$C$2:$D$27,2,FALSE)</f>
        <v>(0; 0; 0,0837)</v>
      </c>
      <c r="G25" t="str">
        <f>VLOOKUP(G11,'Thang đánh giá'!$C$2:$D$27,2,FALSE)</f>
        <v>(0; 0; 0,0548)</v>
      </c>
      <c r="H25" t="str">
        <f>VLOOKUP(H11,'Thang đánh giá'!$C$2:$D$27,2,FALSE)</f>
        <v>(0; 0; 0,0707)</v>
      </c>
      <c r="I25" t="str">
        <f>VLOOKUP(I11,'Thang đánh giá'!$C$2:$D$27,2,FALSE)</f>
        <v>(0; 0; 0,0548)</v>
      </c>
      <c r="J25" t="str">
        <f>VLOOKUP(J11,'Thang đánh giá'!$C$2:$D$27,2,FALSE)</f>
        <v>(0; 0; 0,0707)</v>
      </c>
      <c r="K25" t="str">
        <f>VLOOKUP(K11,'Thang đánh giá'!$C$2:$D$27,2,FALSE)</f>
        <v>(0; 0; 0)</v>
      </c>
      <c r="L25" t="str">
        <f>VLOOKUP(L11,'Thang đánh giá'!$C$2:$D$27,2,FALSE)</f>
        <v>(0; 0,0548; 0,1095)</v>
      </c>
      <c r="M25" t="str">
        <f>VLOOKUP(M11,'Thang đánh giá'!$C$2:$D$27,2,FALSE)</f>
        <v>(0; 0; 0,0548)</v>
      </c>
    </row>
    <row r="26" spans="1:13" x14ac:dyDescent="0.3">
      <c r="A26" t="s">
        <v>10</v>
      </c>
      <c r="B26" t="str">
        <f>VLOOKUP(B12,'Thang đánh giá'!$C$2:$D$27,2,FALSE)</f>
        <v>(0; 0; 0,0707)</v>
      </c>
      <c r="C26" t="str">
        <f>VLOOKUP(C12,'Thang đánh giá'!$C$2:$D$27,2,FALSE)</f>
        <v>(0; 0; 0,0837)</v>
      </c>
      <c r="D26" t="str">
        <f>VLOOKUP(D12,'Thang đánh giá'!$C$2:$D$27,2,FALSE)</f>
        <v>(0; 0; 0,0707)</v>
      </c>
      <c r="E26" t="str">
        <f>VLOOKUP(E12,'Thang đánh giá'!$C$2:$D$27,2,FALSE)</f>
        <v>(0; 0,0707; 0,1414)</v>
      </c>
      <c r="F26" t="str">
        <f>VLOOKUP(F12,'Thang đánh giá'!$C$2:$D$27,2,FALSE)</f>
        <v>(0; 0; 0,0548)</v>
      </c>
      <c r="G26" t="str">
        <f>VLOOKUP(G12,'Thang đánh giá'!$C$2:$D$27,2,FALSE)</f>
        <v>(0; 0,0707; 0,1414)</v>
      </c>
      <c r="H26" t="str">
        <f>VLOOKUP(H12,'Thang đánh giá'!$C$2:$D$27,2,FALSE)</f>
        <v>(0; 0,0707; 0,1414)</v>
      </c>
      <c r="I26" t="str">
        <f>VLOOKUP(I12,'Thang đánh giá'!$C$2:$D$27,2,FALSE)</f>
        <v>(0; 0,0548; 0,1095)</v>
      </c>
      <c r="J26" t="str">
        <f>VLOOKUP(J12,'Thang đánh giá'!$C$2:$D$27,2,FALSE)</f>
        <v>(0; 0,0316; 0,0632)</v>
      </c>
      <c r="K26" t="str">
        <f>VLOOKUP(K12,'Thang đánh giá'!$C$2:$D$27,2,FALSE)</f>
        <v>(0; 0,0548; 0,1095)</v>
      </c>
      <c r="L26" t="str">
        <f>VLOOKUP(L12,'Thang đánh giá'!$C$2:$D$27,2,FALSE)</f>
        <v>(0; 0; 0)</v>
      </c>
      <c r="M26" t="str">
        <f>VLOOKUP(M12,'Thang đánh giá'!$C$2:$D$27,2,FALSE)</f>
        <v>(0,2846; 0,3795; 0,3795)</v>
      </c>
    </row>
    <row r="27" spans="1:13" x14ac:dyDescent="0.3">
      <c r="A27" t="s">
        <v>11</v>
      </c>
      <c r="B27" t="str">
        <f>VLOOKUP(B13,'Thang đánh giá'!$C$2:$D$27,2,FALSE)</f>
        <v>(0; 0; 0,0316)</v>
      </c>
      <c r="C27" t="str">
        <f>VLOOKUP(C13,'Thang đánh giá'!$C$2:$D$27,2,FALSE)</f>
        <v>(0; 0; 0,0837)</v>
      </c>
      <c r="D27" t="str">
        <f>VLOOKUP(D13,'Thang đánh giá'!$C$2:$D$27,2,FALSE)</f>
        <v>(0; 0,0707; 0,1414)</v>
      </c>
      <c r="E27" t="str">
        <f>VLOOKUP(E13,'Thang đánh giá'!$C$2:$D$27,2,FALSE)</f>
        <v>(0; 0; 0,0316)</v>
      </c>
      <c r="F27" t="str">
        <f>VLOOKUP(F13,'Thang đánh giá'!$C$2:$D$27,2,FALSE)</f>
        <v>(0; 0; 0,0707)</v>
      </c>
      <c r="G27" t="str">
        <f>VLOOKUP(G13,'Thang đánh giá'!$C$2:$D$27,2,FALSE)</f>
        <v>(0; 0; 0,0707)</v>
      </c>
      <c r="H27" t="str">
        <f>VLOOKUP(H13,'Thang đánh giá'!$C$2:$D$27,2,FALSE)</f>
        <v>(0; 0; 0,0707)</v>
      </c>
      <c r="I27" t="str">
        <f>VLOOKUP(I13,'Thang đánh giá'!$C$2:$D$27,2,FALSE)</f>
        <v>(0; 0; 0,0707)</v>
      </c>
      <c r="J27" t="str">
        <f>VLOOKUP(J13,'Thang đánh giá'!$C$2:$D$27,2,FALSE)</f>
        <v>(0; 0; 0,0707)</v>
      </c>
      <c r="K27" t="str">
        <f>VLOOKUP(K13,'Thang đánh giá'!$C$2:$D$27,2,FALSE)</f>
        <v>(0; 0,0548; 0,1095)</v>
      </c>
      <c r="L27" t="str">
        <f>VLOOKUP(L13,'Thang đánh giá'!$C$2:$D$27,2,FALSE)</f>
        <v>(0; 0; 0,0707)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9.4899999999999998E-2</v>
      </c>
      <c r="D30">
        <f t="shared" si="0"/>
        <v>0.1673</v>
      </c>
      <c r="E30">
        <f t="shared" si="0"/>
        <v>9.4899999999999998E-2</v>
      </c>
      <c r="F30">
        <f t="shared" si="0"/>
        <v>0.1673</v>
      </c>
      <c r="G30">
        <f t="shared" si="0"/>
        <v>0</v>
      </c>
      <c r="H30">
        <f t="shared" si="0"/>
        <v>0.1673</v>
      </c>
      <c r="I30">
        <f t="shared" si="0"/>
        <v>0.251</v>
      </c>
      <c r="J30">
        <f t="shared" si="0"/>
        <v>0.251</v>
      </c>
      <c r="K30">
        <f t="shared" si="0"/>
        <v>0.251</v>
      </c>
      <c r="L30">
        <f t="shared" si="0"/>
        <v>0.18970000000000001</v>
      </c>
      <c r="M30">
        <f t="shared" si="0"/>
        <v>0.1673</v>
      </c>
    </row>
    <row r="31" spans="1:13" x14ac:dyDescent="0.3">
      <c r="A31" t="s">
        <v>1</v>
      </c>
      <c r="B31">
        <f t="shared" ref="B31:M41" si="1">_xlfn.NUMBERVALUE(MID(B17,2,FIND(";",B17,1)-2))</f>
        <v>0</v>
      </c>
      <c r="C31">
        <f t="shared" si="1"/>
        <v>0</v>
      </c>
      <c r="D31">
        <f t="shared" si="1"/>
        <v>0.28460000000000002</v>
      </c>
      <c r="E31">
        <f t="shared" si="1"/>
        <v>7.0699999999999999E-2</v>
      </c>
      <c r="F31">
        <f t="shared" si="1"/>
        <v>0</v>
      </c>
      <c r="G31">
        <f t="shared" si="1"/>
        <v>0.1414</v>
      </c>
      <c r="H31">
        <f t="shared" si="1"/>
        <v>0</v>
      </c>
      <c r="I31">
        <f t="shared" si="1"/>
        <v>7.0699999999999999E-2</v>
      </c>
      <c r="J31">
        <f t="shared" si="1"/>
        <v>0.1673</v>
      </c>
      <c r="K31">
        <f t="shared" si="1"/>
        <v>0.28460000000000002</v>
      </c>
      <c r="L31">
        <f t="shared" si="1"/>
        <v>8.3699999999999997E-2</v>
      </c>
      <c r="M31">
        <f t="shared" si="1"/>
        <v>0.18970000000000001</v>
      </c>
    </row>
    <row r="32" spans="1:13" x14ac:dyDescent="0.3">
      <c r="A32" t="s">
        <v>2</v>
      </c>
      <c r="B32">
        <f t="shared" si="1"/>
        <v>0.1414</v>
      </c>
      <c r="C32">
        <f t="shared" si="1"/>
        <v>0</v>
      </c>
      <c r="D32">
        <f t="shared" si="1"/>
        <v>0</v>
      </c>
      <c r="E32">
        <f t="shared" si="1"/>
        <v>0.1673</v>
      </c>
      <c r="F32">
        <f t="shared" si="1"/>
        <v>0</v>
      </c>
      <c r="G32">
        <f t="shared" si="1"/>
        <v>0.1414</v>
      </c>
      <c r="H32">
        <f t="shared" si="1"/>
        <v>0.1414</v>
      </c>
      <c r="I32">
        <f t="shared" si="1"/>
        <v>7.0699999999999999E-2</v>
      </c>
      <c r="J32">
        <f t="shared" si="1"/>
        <v>0.18970000000000001</v>
      </c>
      <c r="K32">
        <f t="shared" si="1"/>
        <v>0.251</v>
      </c>
      <c r="L32">
        <f t="shared" si="1"/>
        <v>0.1673</v>
      </c>
      <c r="M32">
        <f t="shared" si="1"/>
        <v>0.18970000000000001</v>
      </c>
    </row>
    <row r="33" spans="1:13" x14ac:dyDescent="0.3">
      <c r="A33" t="s">
        <v>3</v>
      </c>
      <c r="B33">
        <f t="shared" si="1"/>
        <v>0</v>
      </c>
      <c r="C33">
        <f t="shared" si="1"/>
        <v>0.251</v>
      </c>
      <c r="D33">
        <f t="shared" si="1"/>
        <v>0</v>
      </c>
      <c r="E33">
        <f t="shared" si="1"/>
        <v>0</v>
      </c>
      <c r="F33">
        <f t="shared" si="1"/>
        <v>0</v>
      </c>
      <c r="G33">
        <f t="shared" si="1"/>
        <v>0.1673</v>
      </c>
      <c r="H33">
        <f t="shared" si="1"/>
        <v>0.251</v>
      </c>
      <c r="I33">
        <f t="shared" si="1"/>
        <v>0.28460000000000002</v>
      </c>
      <c r="J33">
        <f t="shared" si="1"/>
        <v>0.28460000000000002</v>
      </c>
      <c r="K33">
        <f t="shared" si="1"/>
        <v>0.18970000000000001</v>
      </c>
      <c r="L33">
        <f t="shared" si="1"/>
        <v>0</v>
      </c>
      <c r="M33">
        <f t="shared" si="1"/>
        <v>0.18970000000000001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0</v>
      </c>
      <c r="D34">
        <f t="shared" si="2"/>
        <v>0</v>
      </c>
      <c r="E34">
        <f t="shared" si="2"/>
        <v>0</v>
      </c>
      <c r="F34">
        <f t="shared" si="2"/>
        <v>0</v>
      </c>
      <c r="G34">
        <f t="shared" si="2"/>
        <v>0.1673</v>
      </c>
      <c r="H34">
        <f t="shared" si="2"/>
        <v>0</v>
      </c>
      <c r="I34">
        <f t="shared" si="2"/>
        <v>7.0699999999999999E-2</v>
      </c>
      <c r="J34">
        <f t="shared" si="2"/>
        <v>0.251</v>
      </c>
      <c r="K34">
        <f t="shared" si="2"/>
        <v>0.18970000000000001</v>
      </c>
      <c r="L34">
        <f t="shared" si="2"/>
        <v>0</v>
      </c>
      <c r="M34">
        <f t="shared" si="2"/>
        <v>0</v>
      </c>
    </row>
    <row r="35" spans="1:13" x14ac:dyDescent="0.3">
      <c r="A35" t="s">
        <v>5</v>
      </c>
      <c r="B35">
        <f t="shared" si="1"/>
        <v>0</v>
      </c>
      <c r="C35">
        <f t="shared" si="1"/>
        <v>0</v>
      </c>
      <c r="D35">
        <f t="shared" si="1"/>
        <v>0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0</v>
      </c>
      <c r="J35">
        <f t="shared" si="1"/>
        <v>0</v>
      </c>
      <c r="K35">
        <f t="shared" si="1"/>
        <v>0</v>
      </c>
      <c r="L35">
        <f t="shared" si="1"/>
        <v>0</v>
      </c>
      <c r="M35">
        <f t="shared" si="1"/>
        <v>0</v>
      </c>
    </row>
    <row r="36" spans="1:13" x14ac:dyDescent="0.3">
      <c r="A36" t="s">
        <v>6</v>
      </c>
      <c r="B36">
        <f t="shared" si="1"/>
        <v>0</v>
      </c>
      <c r="C36">
        <f t="shared" si="1"/>
        <v>0</v>
      </c>
      <c r="D36">
        <f t="shared" si="1"/>
        <v>0</v>
      </c>
      <c r="E36">
        <f t="shared" si="1"/>
        <v>0</v>
      </c>
      <c r="F36">
        <f t="shared" si="1"/>
        <v>0</v>
      </c>
      <c r="G36">
        <f t="shared" si="1"/>
        <v>0</v>
      </c>
      <c r="H36">
        <f t="shared" si="1"/>
        <v>0</v>
      </c>
      <c r="I36">
        <f t="shared" si="1"/>
        <v>0</v>
      </c>
      <c r="J36">
        <f t="shared" si="1"/>
        <v>0</v>
      </c>
      <c r="K36">
        <f t="shared" si="1"/>
        <v>0.1673</v>
      </c>
      <c r="L36">
        <f t="shared" si="1"/>
        <v>0</v>
      </c>
      <c r="M36">
        <f t="shared" si="1"/>
        <v>0</v>
      </c>
    </row>
    <row r="37" spans="1:13" x14ac:dyDescent="0.3">
      <c r="A37" t="s">
        <v>7</v>
      </c>
      <c r="B37">
        <f t="shared" si="1"/>
        <v>0</v>
      </c>
      <c r="C37">
        <f t="shared" si="1"/>
        <v>0</v>
      </c>
      <c r="D37">
        <f t="shared" si="1"/>
        <v>0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0</v>
      </c>
      <c r="K37">
        <f t="shared" si="1"/>
        <v>0.28460000000000002</v>
      </c>
      <c r="L37">
        <f t="shared" si="1"/>
        <v>0.1673</v>
      </c>
      <c r="M37">
        <f t="shared" si="1"/>
        <v>8.3699999999999997E-2</v>
      </c>
    </row>
    <row r="38" spans="1:13" x14ac:dyDescent="0.3">
      <c r="A38" t="s">
        <v>8</v>
      </c>
      <c r="B38">
        <f t="shared" si="1"/>
        <v>8.3699999999999997E-2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0</v>
      </c>
      <c r="I38">
        <f t="shared" si="1"/>
        <v>0</v>
      </c>
      <c r="J38">
        <f t="shared" si="1"/>
        <v>0</v>
      </c>
      <c r="K38">
        <f t="shared" si="1"/>
        <v>0.28460000000000002</v>
      </c>
      <c r="L38">
        <f t="shared" si="1"/>
        <v>0.251</v>
      </c>
      <c r="M38">
        <f t="shared" si="1"/>
        <v>0.1673</v>
      </c>
    </row>
    <row r="39" spans="1:13" x14ac:dyDescent="0.3">
      <c r="A39" t="s">
        <v>9</v>
      </c>
      <c r="B39">
        <f t="shared" si="1"/>
        <v>0</v>
      </c>
      <c r="C39">
        <f t="shared" si="1"/>
        <v>0</v>
      </c>
      <c r="D39">
        <f t="shared" si="1"/>
        <v>0</v>
      </c>
      <c r="E39">
        <f t="shared" si="1"/>
        <v>0</v>
      </c>
      <c r="F39">
        <f t="shared" si="1"/>
        <v>0</v>
      </c>
      <c r="G39">
        <f t="shared" si="1"/>
        <v>0</v>
      </c>
      <c r="H39">
        <f t="shared" si="1"/>
        <v>0</v>
      </c>
      <c r="I39">
        <f t="shared" si="1"/>
        <v>0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0</v>
      </c>
    </row>
    <row r="40" spans="1:13" x14ac:dyDescent="0.3">
      <c r="A40" t="s">
        <v>10</v>
      </c>
      <c r="B40">
        <f t="shared" si="1"/>
        <v>0</v>
      </c>
      <c r="C40">
        <f t="shared" si="1"/>
        <v>0</v>
      </c>
      <c r="D40">
        <f t="shared" si="1"/>
        <v>0</v>
      </c>
      <c r="E40">
        <f t="shared" si="1"/>
        <v>0</v>
      </c>
      <c r="F40">
        <f t="shared" si="1"/>
        <v>0</v>
      </c>
      <c r="G40">
        <f t="shared" si="1"/>
        <v>0</v>
      </c>
      <c r="H40">
        <f t="shared" si="1"/>
        <v>0</v>
      </c>
      <c r="I40">
        <f t="shared" si="1"/>
        <v>0</v>
      </c>
      <c r="J40">
        <f t="shared" si="1"/>
        <v>0</v>
      </c>
      <c r="K40">
        <f t="shared" si="1"/>
        <v>0</v>
      </c>
      <c r="L40">
        <f t="shared" si="1"/>
        <v>0</v>
      </c>
      <c r="M40">
        <f t="shared" si="1"/>
        <v>0.28460000000000002</v>
      </c>
    </row>
    <row r="41" spans="1:13" x14ac:dyDescent="0.3">
      <c r="A41" t="s">
        <v>11</v>
      </c>
      <c r="B41">
        <f t="shared" si="1"/>
        <v>0</v>
      </c>
      <c r="C41">
        <f t="shared" si="1"/>
        <v>0</v>
      </c>
      <c r="D41">
        <f t="shared" si="1"/>
        <v>0</v>
      </c>
      <c r="E41">
        <f t="shared" si="1"/>
        <v>0</v>
      </c>
      <c r="F41">
        <f t="shared" si="1"/>
        <v>0</v>
      </c>
      <c r="G41">
        <f t="shared" si="1"/>
        <v>0</v>
      </c>
      <c r="H41">
        <f t="shared" si="1"/>
        <v>0</v>
      </c>
      <c r="I41">
        <f t="shared" si="1"/>
        <v>0</v>
      </c>
      <c r="J41">
        <f t="shared" si="1"/>
        <v>0</v>
      </c>
      <c r="K41">
        <f t="shared" si="1"/>
        <v>0</v>
      </c>
      <c r="L41">
        <f t="shared" si="1"/>
        <v>0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0.18970000000000001</v>
      </c>
      <c r="D44">
        <f t="shared" si="3"/>
        <v>0.251</v>
      </c>
      <c r="E44">
        <f t="shared" si="3"/>
        <v>0.18970000000000001</v>
      </c>
      <c r="F44">
        <f t="shared" si="3"/>
        <v>0.251</v>
      </c>
      <c r="G44">
        <f t="shared" si="3"/>
        <v>0</v>
      </c>
      <c r="H44">
        <f t="shared" si="3"/>
        <v>0.251</v>
      </c>
      <c r="I44">
        <f t="shared" si="3"/>
        <v>0.3347</v>
      </c>
      <c r="J44">
        <f t="shared" si="3"/>
        <v>0.3347</v>
      </c>
      <c r="K44">
        <f t="shared" si="3"/>
        <v>0.3347</v>
      </c>
      <c r="L44">
        <f t="shared" si="3"/>
        <v>0.28460000000000002</v>
      </c>
      <c r="M44">
        <f t="shared" si="3"/>
        <v>0.251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7.0699999999999999E-2</v>
      </c>
      <c r="C45">
        <f t="shared" si="4"/>
        <v>0</v>
      </c>
      <c r="D45">
        <f t="shared" si="4"/>
        <v>0.3795</v>
      </c>
      <c r="E45">
        <f t="shared" si="4"/>
        <v>0.1414</v>
      </c>
      <c r="F45">
        <f t="shared" si="4"/>
        <v>0</v>
      </c>
      <c r="G45">
        <f t="shared" si="4"/>
        <v>0.21210000000000001</v>
      </c>
      <c r="H45">
        <f t="shared" si="4"/>
        <v>3.1600000000000003E-2</v>
      </c>
      <c r="I45">
        <f t="shared" si="4"/>
        <v>0.1414</v>
      </c>
      <c r="J45">
        <f t="shared" si="4"/>
        <v>0.251</v>
      </c>
      <c r="K45">
        <f t="shared" si="4"/>
        <v>0.3795</v>
      </c>
      <c r="L45">
        <f t="shared" si="4"/>
        <v>0.1673</v>
      </c>
      <c r="M45">
        <f t="shared" si="4"/>
        <v>0.28460000000000002</v>
      </c>
    </row>
    <row r="46" spans="1:13" x14ac:dyDescent="0.3">
      <c r="A46" t="s">
        <v>2</v>
      </c>
      <c r="B46">
        <f t="shared" si="4"/>
        <v>0.21210000000000001</v>
      </c>
      <c r="C46">
        <f t="shared" si="4"/>
        <v>0</v>
      </c>
      <c r="D46">
        <f t="shared" si="4"/>
        <v>0</v>
      </c>
      <c r="E46">
        <f t="shared" si="4"/>
        <v>0.251</v>
      </c>
      <c r="F46">
        <f t="shared" si="4"/>
        <v>0</v>
      </c>
      <c r="G46">
        <f t="shared" si="4"/>
        <v>0.21210000000000001</v>
      </c>
      <c r="H46">
        <f t="shared" si="4"/>
        <v>0.21210000000000001</v>
      </c>
      <c r="I46">
        <f t="shared" si="4"/>
        <v>0.1414</v>
      </c>
      <c r="J46">
        <f t="shared" si="4"/>
        <v>0.28460000000000002</v>
      </c>
      <c r="K46">
        <f t="shared" si="4"/>
        <v>0.3347</v>
      </c>
      <c r="L46">
        <f t="shared" si="4"/>
        <v>0.251</v>
      </c>
      <c r="M46">
        <f t="shared" si="4"/>
        <v>0.28460000000000002</v>
      </c>
    </row>
    <row r="47" spans="1:13" x14ac:dyDescent="0.3">
      <c r="A47" t="s">
        <v>3</v>
      </c>
      <c r="B47">
        <f t="shared" si="4"/>
        <v>0</v>
      </c>
      <c r="C47">
        <f t="shared" si="4"/>
        <v>0.3347</v>
      </c>
      <c r="D47">
        <f t="shared" si="4"/>
        <v>5.4800000000000001E-2</v>
      </c>
      <c r="E47">
        <f t="shared" si="4"/>
        <v>0</v>
      </c>
      <c r="F47">
        <f t="shared" si="4"/>
        <v>0</v>
      </c>
      <c r="G47">
        <f t="shared" si="4"/>
        <v>0.251</v>
      </c>
      <c r="H47">
        <f t="shared" si="4"/>
        <v>0.3347</v>
      </c>
      <c r="I47">
        <f t="shared" si="4"/>
        <v>0.3795</v>
      </c>
      <c r="J47">
        <f t="shared" si="4"/>
        <v>0.3795</v>
      </c>
      <c r="K47">
        <f t="shared" si="4"/>
        <v>0.28460000000000002</v>
      </c>
      <c r="L47">
        <f t="shared" si="4"/>
        <v>0</v>
      </c>
      <c r="M47">
        <f t="shared" si="4"/>
        <v>0.28460000000000002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0</v>
      </c>
      <c r="C48">
        <f t="shared" si="5"/>
        <v>0</v>
      </c>
      <c r="D48">
        <f t="shared" si="5"/>
        <v>3.1600000000000003E-2</v>
      </c>
      <c r="E48">
        <f t="shared" si="5"/>
        <v>8.3699999999999997E-2</v>
      </c>
      <c r="F48">
        <f t="shared" si="5"/>
        <v>0</v>
      </c>
      <c r="G48">
        <f t="shared" si="5"/>
        <v>0.251</v>
      </c>
      <c r="H48">
        <f t="shared" si="5"/>
        <v>5.4800000000000001E-2</v>
      </c>
      <c r="I48">
        <f t="shared" si="5"/>
        <v>0.1414</v>
      </c>
      <c r="J48">
        <f t="shared" si="5"/>
        <v>0.3347</v>
      </c>
      <c r="K48">
        <f t="shared" si="5"/>
        <v>0.28460000000000002</v>
      </c>
      <c r="L48">
        <f t="shared" si="5"/>
        <v>7.0699999999999999E-2</v>
      </c>
      <c r="M48">
        <f t="shared" si="5"/>
        <v>0</v>
      </c>
    </row>
    <row r="49" spans="1:13" x14ac:dyDescent="0.3">
      <c r="A49" t="s">
        <v>5</v>
      </c>
      <c r="B49">
        <f t="shared" si="4"/>
        <v>0</v>
      </c>
      <c r="C49">
        <f t="shared" si="4"/>
        <v>3.1600000000000003E-2</v>
      </c>
      <c r="D49">
        <f t="shared" si="4"/>
        <v>5.4800000000000001E-2</v>
      </c>
      <c r="E49">
        <f t="shared" si="4"/>
        <v>5.4800000000000001E-2</v>
      </c>
      <c r="F49">
        <f t="shared" si="4"/>
        <v>0</v>
      </c>
      <c r="G49">
        <f t="shared" si="4"/>
        <v>0</v>
      </c>
      <c r="H49">
        <f t="shared" si="4"/>
        <v>0</v>
      </c>
      <c r="I49">
        <f t="shared" si="4"/>
        <v>0</v>
      </c>
      <c r="J49">
        <f t="shared" si="4"/>
        <v>0</v>
      </c>
      <c r="K49">
        <f t="shared" si="4"/>
        <v>7.0699999999999999E-2</v>
      </c>
      <c r="L49">
        <f t="shared" si="4"/>
        <v>0</v>
      </c>
      <c r="M49">
        <f t="shared" si="4"/>
        <v>3.1600000000000003E-2</v>
      </c>
    </row>
    <row r="50" spans="1:13" x14ac:dyDescent="0.3">
      <c r="A50" t="s">
        <v>6</v>
      </c>
      <c r="B50">
        <f t="shared" si="4"/>
        <v>3.1600000000000003E-2</v>
      </c>
      <c r="C50">
        <f t="shared" si="4"/>
        <v>7.0699999999999999E-2</v>
      </c>
      <c r="D50">
        <f t="shared" si="4"/>
        <v>0</v>
      </c>
      <c r="E50">
        <f t="shared" si="4"/>
        <v>3.1600000000000003E-2</v>
      </c>
      <c r="F50">
        <f t="shared" si="4"/>
        <v>0</v>
      </c>
      <c r="G50">
        <f t="shared" si="4"/>
        <v>0</v>
      </c>
      <c r="H50">
        <f t="shared" si="4"/>
        <v>0</v>
      </c>
      <c r="I50">
        <f t="shared" si="4"/>
        <v>7.0699999999999999E-2</v>
      </c>
      <c r="J50">
        <f t="shared" si="4"/>
        <v>0</v>
      </c>
      <c r="K50">
        <f t="shared" si="4"/>
        <v>0.251</v>
      </c>
      <c r="L50">
        <f t="shared" si="4"/>
        <v>8.3699999999999997E-2</v>
      </c>
      <c r="M50">
        <f t="shared" si="4"/>
        <v>5.4800000000000001E-2</v>
      </c>
    </row>
    <row r="51" spans="1:13" x14ac:dyDescent="0.3">
      <c r="A51" t="s">
        <v>7</v>
      </c>
      <c r="B51">
        <f t="shared" si="4"/>
        <v>0</v>
      </c>
      <c r="C51">
        <f t="shared" si="4"/>
        <v>0</v>
      </c>
      <c r="D51">
        <f t="shared" si="4"/>
        <v>0</v>
      </c>
      <c r="E51">
        <f t="shared" si="4"/>
        <v>0</v>
      </c>
      <c r="F51">
        <f t="shared" si="4"/>
        <v>0</v>
      </c>
      <c r="G51">
        <f t="shared" si="4"/>
        <v>5.4800000000000001E-2</v>
      </c>
      <c r="H51">
        <f t="shared" si="4"/>
        <v>0</v>
      </c>
      <c r="I51">
        <f t="shared" si="4"/>
        <v>0</v>
      </c>
      <c r="J51">
        <f t="shared" si="4"/>
        <v>0</v>
      </c>
      <c r="K51">
        <f t="shared" si="4"/>
        <v>0.3795</v>
      </c>
      <c r="L51">
        <f t="shared" si="4"/>
        <v>0.251</v>
      </c>
      <c r="M51">
        <f t="shared" si="4"/>
        <v>0.1673</v>
      </c>
    </row>
    <row r="52" spans="1:13" x14ac:dyDescent="0.3">
      <c r="A52" t="s">
        <v>8</v>
      </c>
      <c r="B52">
        <f t="shared" si="4"/>
        <v>0.1673</v>
      </c>
      <c r="C52">
        <f t="shared" si="4"/>
        <v>0</v>
      </c>
      <c r="D52">
        <f t="shared" si="4"/>
        <v>0</v>
      </c>
      <c r="E52">
        <f t="shared" si="4"/>
        <v>0</v>
      </c>
      <c r="F52">
        <f t="shared" si="4"/>
        <v>0</v>
      </c>
      <c r="G52">
        <f t="shared" si="4"/>
        <v>0</v>
      </c>
      <c r="H52">
        <f t="shared" si="4"/>
        <v>0</v>
      </c>
      <c r="I52">
        <f t="shared" si="4"/>
        <v>0</v>
      </c>
      <c r="J52">
        <f t="shared" si="4"/>
        <v>0</v>
      </c>
      <c r="K52">
        <f t="shared" si="4"/>
        <v>0.3795</v>
      </c>
      <c r="L52">
        <f t="shared" si="4"/>
        <v>0.3347</v>
      </c>
      <c r="M52">
        <f t="shared" si="4"/>
        <v>0.251</v>
      </c>
    </row>
    <row r="53" spans="1:13" x14ac:dyDescent="0.3">
      <c r="A53" t="s">
        <v>9</v>
      </c>
      <c r="B53">
        <f t="shared" si="4"/>
        <v>0</v>
      </c>
      <c r="C53">
        <f t="shared" si="4"/>
        <v>0</v>
      </c>
      <c r="D53">
        <f t="shared" si="4"/>
        <v>7.0699999999999999E-2</v>
      </c>
      <c r="E53">
        <f t="shared" si="4"/>
        <v>0</v>
      </c>
      <c r="F53">
        <f t="shared" si="4"/>
        <v>0</v>
      </c>
      <c r="G53">
        <f t="shared" si="4"/>
        <v>0</v>
      </c>
      <c r="H53">
        <f t="shared" si="4"/>
        <v>0</v>
      </c>
      <c r="I53">
        <f t="shared" si="4"/>
        <v>0</v>
      </c>
      <c r="J53">
        <f t="shared" si="4"/>
        <v>0</v>
      </c>
      <c r="K53">
        <f t="shared" si="4"/>
        <v>0</v>
      </c>
      <c r="L53">
        <f t="shared" si="4"/>
        <v>5.4800000000000001E-2</v>
      </c>
      <c r="M53">
        <f t="shared" si="4"/>
        <v>0</v>
      </c>
    </row>
    <row r="54" spans="1:13" x14ac:dyDescent="0.3">
      <c r="A54" t="s">
        <v>10</v>
      </c>
      <c r="B54">
        <f t="shared" si="4"/>
        <v>0</v>
      </c>
      <c r="C54">
        <f t="shared" si="4"/>
        <v>0</v>
      </c>
      <c r="D54">
        <f t="shared" si="4"/>
        <v>0</v>
      </c>
      <c r="E54">
        <f t="shared" si="4"/>
        <v>7.0699999999999999E-2</v>
      </c>
      <c r="F54">
        <f t="shared" si="4"/>
        <v>0</v>
      </c>
      <c r="G54">
        <f t="shared" si="4"/>
        <v>7.0699999999999999E-2</v>
      </c>
      <c r="H54">
        <f t="shared" si="4"/>
        <v>7.0699999999999999E-2</v>
      </c>
      <c r="I54">
        <f t="shared" si="4"/>
        <v>5.4800000000000001E-2</v>
      </c>
      <c r="J54">
        <f t="shared" si="4"/>
        <v>3.1600000000000003E-2</v>
      </c>
      <c r="K54">
        <f t="shared" si="4"/>
        <v>5.4800000000000001E-2</v>
      </c>
      <c r="L54">
        <f t="shared" si="4"/>
        <v>0</v>
      </c>
      <c r="M54">
        <f t="shared" si="4"/>
        <v>0.3795</v>
      </c>
    </row>
    <row r="55" spans="1:13" x14ac:dyDescent="0.3">
      <c r="A55" t="s">
        <v>11</v>
      </c>
      <c r="B55">
        <f t="shared" si="4"/>
        <v>0</v>
      </c>
      <c r="C55">
        <f t="shared" si="4"/>
        <v>0</v>
      </c>
      <c r="D55">
        <f t="shared" si="4"/>
        <v>7.0699999999999999E-2</v>
      </c>
      <c r="E55">
        <f t="shared" si="4"/>
        <v>0</v>
      </c>
      <c r="F55">
        <f t="shared" si="4"/>
        <v>0</v>
      </c>
      <c r="G55">
        <f t="shared" si="4"/>
        <v>0</v>
      </c>
      <c r="H55">
        <f t="shared" si="4"/>
        <v>0</v>
      </c>
      <c r="I55">
        <f t="shared" si="4"/>
        <v>0</v>
      </c>
      <c r="J55">
        <f t="shared" si="4"/>
        <v>0</v>
      </c>
      <c r="K55">
        <f t="shared" si="4"/>
        <v>5.4800000000000001E-2</v>
      </c>
      <c r="L55">
        <f t="shared" si="4"/>
        <v>0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0.28460000000000002</v>
      </c>
      <c r="D58">
        <f t="shared" si="6"/>
        <v>0.3347</v>
      </c>
      <c r="E58">
        <f t="shared" si="6"/>
        <v>0.28460000000000002</v>
      </c>
      <c r="F58">
        <f t="shared" si="6"/>
        <v>0.3347</v>
      </c>
      <c r="G58">
        <f t="shared" si="6"/>
        <v>7.0699999999999999E-2</v>
      </c>
      <c r="H58">
        <f t="shared" si="6"/>
        <v>0.3347</v>
      </c>
      <c r="I58">
        <f t="shared" si="6"/>
        <v>0.3347</v>
      </c>
      <c r="J58">
        <f t="shared" si="6"/>
        <v>0.3347</v>
      </c>
      <c r="K58">
        <f t="shared" si="6"/>
        <v>0.3347</v>
      </c>
      <c r="L58">
        <f t="shared" si="6"/>
        <v>0.3795</v>
      </c>
      <c r="M58">
        <f t="shared" si="6"/>
        <v>0.3347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0.1414</v>
      </c>
      <c r="C59">
        <f t="shared" si="7"/>
        <v>0</v>
      </c>
      <c r="D59">
        <f t="shared" si="7"/>
        <v>0.3795</v>
      </c>
      <c r="E59">
        <f t="shared" si="7"/>
        <v>0.21210000000000001</v>
      </c>
      <c r="F59">
        <f t="shared" si="7"/>
        <v>7.0699999999999999E-2</v>
      </c>
      <c r="G59">
        <f t="shared" si="7"/>
        <v>0.2828</v>
      </c>
      <c r="H59">
        <f t="shared" si="7"/>
        <v>6.3200000000000006E-2</v>
      </c>
      <c r="I59">
        <f t="shared" si="7"/>
        <v>0.21210000000000001</v>
      </c>
      <c r="J59">
        <f t="shared" si="7"/>
        <v>0.3347</v>
      </c>
      <c r="K59">
        <f t="shared" si="7"/>
        <v>0.3795</v>
      </c>
      <c r="L59">
        <f t="shared" si="7"/>
        <v>0.251</v>
      </c>
      <c r="M59">
        <f t="shared" si="7"/>
        <v>0.3795</v>
      </c>
    </row>
    <row r="60" spans="1:13" x14ac:dyDescent="0.3">
      <c r="A60" t="s">
        <v>2</v>
      </c>
      <c r="B60">
        <f t="shared" si="7"/>
        <v>0.2828</v>
      </c>
      <c r="C60">
        <f t="shared" si="7"/>
        <v>8.3699999999999997E-2</v>
      </c>
      <c r="D60">
        <f t="shared" si="7"/>
        <v>0</v>
      </c>
      <c r="E60">
        <f t="shared" si="7"/>
        <v>0.3347</v>
      </c>
      <c r="F60">
        <f t="shared" si="7"/>
        <v>7.0699999999999999E-2</v>
      </c>
      <c r="G60">
        <f t="shared" si="7"/>
        <v>0.2828</v>
      </c>
      <c r="H60">
        <f t="shared" si="7"/>
        <v>0.2828</v>
      </c>
      <c r="I60">
        <f t="shared" si="7"/>
        <v>0.21210000000000001</v>
      </c>
      <c r="J60">
        <f t="shared" si="7"/>
        <v>0.3795</v>
      </c>
      <c r="K60">
        <f t="shared" si="7"/>
        <v>0.3347</v>
      </c>
      <c r="L60">
        <f t="shared" si="7"/>
        <v>0.3347</v>
      </c>
      <c r="M60">
        <f t="shared" si="7"/>
        <v>0.3795</v>
      </c>
    </row>
    <row r="61" spans="1:13" x14ac:dyDescent="0.3">
      <c r="A61" t="s">
        <v>3</v>
      </c>
      <c r="B61">
        <f t="shared" si="7"/>
        <v>3.1600000000000003E-2</v>
      </c>
      <c r="C61">
        <f t="shared" si="7"/>
        <v>0.3347</v>
      </c>
      <c r="D61">
        <f t="shared" si="7"/>
        <v>0.1095</v>
      </c>
      <c r="E61">
        <f t="shared" si="7"/>
        <v>0</v>
      </c>
      <c r="F61">
        <f t="shared" si="7"/>
        <v>5.4800000000000001E-2</v>
      </c>
      <c r="G61">
        <f t="shared" si="7"/>
        <v>0.3347</v>
      </c>
      <c r="H61">
        <f t="shared" si="7"/>
        <v>0.3347</v>
      </c>
      <c r="I61">
        <f t="shared" si="7"/>
        <v>0.3795</v>
      </c>
      <c r="J61">
        <f t="shared" si="7"/>
        <v>0.3795</v>
      </c>
      <c r="K61">
        <f t="shared" si="7"/>
        <v>0.3795</v>
      </c>
      <c r="L61">
        <f t="shared" si="7"/>
        <v>7.0699999999999999E-2</v>
      </c>
      <c r="M61">
        <f t="shared" si="7"/>
        <v>0.3795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5.4800000000000001E-2</v>
      </c>
      <c r="C62">
        <f t="shared" si="8"/>
        <v>5.4800000000000001E-2</v>
      </c>
      <c r="D62">
        <f t="shared" si="8"/>
        <v>6.3200000000000006E-2</v>
      </c>
      <c r="E62">
        <f t="shared" si="8"/>
        <v>0.1673</v>
      </c>
      <c r="F62">
        <f t="shared" si="8"/>
        <v>0</v>
      </c>
      <c r="G62">
        <f t="shared" si="8"/>
        <v>0.3347</v>
      </c>
      <c r="H62">
        <f t="shared" si="8"/>
        <v>0.1095</v>
      </c>
      <c r="I62">
        <f t="shared" si="8"/>
        <v>0.21210000000000001</v>
      </c>
      <c r="J62">
        <f t="shared" si="8"/>
        <v>0.3347</v>
      </c>
      <c r="K62">
        <f t="shared" si="8"/>
        <v>0.3795</v>
      </c>
      <c r="L62">
        <f t="shared" si="8"/>
        <v>0.1414</v>
      </c>
      <c r="M62">
        <f t="shared" si="8"/>
        <v>5.4800000000000001E-2</v>
      </c>
    </row>
    <row r="63" spans="1:13" x14ac:dyDescent="0.3">
      <c r="A63" t="s">
        <v>5</v>
      </c>
      <c r="B63">
        <f t="shared" si="7"/>
        <v>7.0699999999999999E-2</v>
      </c>
      <c r="C63">
        <f t="shared" si="7"/>
        <v>6.3200000000000006E-2</v>
      </c>
      <c r="D63">
        <f t="shared" si="7"/>
        <v>0.1095</v>
      </c>
      <c r="E63">
        <f t="shared" si="7"/>
        <v>0.1095</v>
      </c>
      <c r="F63">
        <f t="shared" si="7"/>
        <v>7.0699999999999999E-2</v>
      </c>
      <c r="G63">
        <f t="shared" si="7"/>
        <v>0</v>
      </c>
      <c r="H63">
        <f t="shared" si="7"/>
        <v>5.4800000000000001E-2</v>
      </c>
      <c r="I63">
        <f t="shared" si="7"/>
        <v>5.4800000000000001E-2</v>
      </c>
      <c r="J63">
        <f t="shared" si="7"/>
        <v>7.0699999999999999E-2</v>
      </c>
      <c r="K63">
        <f t="shared" si="7"/>
        <v>0.1414</v>
      </c>
      <c r="L63">
        <f t="shared" si="7"/>
        <v>8.3699999999999997E-2</v>
      </c>
      <c r="M63">
        <f t="shared" si="7"/>
        <v>6.3200000000000006E-2</v>
      </c>
    </row>
    <row r="64" spans="1:13" x14ac:dyDescent="0.3">
      <c r="A64" t="s">
        <v>6</v>
      </c>
      <c r="B64">
        <f t="shared" si="7"/>
        <v>6.3200000000000006E-2</v>
      </c>
      <c r="C64">
        <f t="shared" si="7"/>
        <v>0.1414</v>
      </c>
      <c r="D64">
        <f t="shared" si="7"/>
        <v>8.3699999999999997E-2</v>
      </c>
      <c r="E64">
        <f t="shared" si="7"/>
        <v>6.3200000000000006E-2</v>
      </c>
      <c r="F64">
        <f t="shared" si="7"/>
        <v>5.4800000000000001E-2</v>
      </c>
      <c r="G64">
        <f t="shared" si="7"/>
        <v>7.0699999999999999E-2</v>
      </c>
      <c r="H64">
        <f t="shared" si="7"/>
        <v>0</v>
      </c>
      <c r="I64">
        <f t="shared" si="7"/>
        <v>0.1414</v>
      </c>
      <c r="J64">
        <f t="shared" si="7"/>
        <v>3.1600000000000003E-2</v>
      </c>
      <c r="K64">
        <f t="shared" si="7"/>
        <v>0.3347</v>
      </c>
      <c r="L64">
        <f t="shared" si="7"/>
        <v>0.1673</v>
      </c>
      <c r="M64">
        <f t="shared" si="7"/>
        <v>0.1095</v>
      </c>
    </row>
    <row r="65" spans="1:13" x14ac:dyDescent="0.3">
      <c r="A65" t="s">
        <v>7</v>
      </c>
      <c r="B65">
        <f t="shared" si="7"/>
        <v>7.0699999999999999E-2</v>
      </c>
      <c r="C65">
        <f t="shared" si="7"/>
        <v>5.4800000000000001E-2</v>
      </c>
      <c r="D65">
        <f t="shared" si="7"/>
        <v>7.0699999999999999E-2</v>
      </c>
      <c r="E65">
        <f t="shared" si="7"/>
        <v>3.1600000000000003E-2</v>
      </c>
      <c r="F65">
        <f t="shared" si="7"/>
        <v>8.3699999999999997E-2</v>
      </c>
      <c r="G65">
        <f t="shared" si="7"/>
        <v>0.1095</v>
      </c>
      <c r="H65">
        <f t="shared" si="7"/>
        <v>8.3699999999999997E-2</v>
      </c>
      <c r="I65">
        <f t="shared" si="7"/>
        <v>0</v>
      </c>
      <c r="J65">
        <f t="shared" si="7"/>
        <v>5.4800000000000001E-2</v>
      </c>
      <c r="K65">
        <f t="shared" si="7"/>
        <v>0.3795</v>
      </c>
      <c r="L65">
        <f t="shared" si="7"/>
        <v>0.3347</v>
      </c>
      <c r="M65">
        <f t="shared" si="7"/>
        <v>0.251</v>
      </c>
    </row>
    <row r="66" spans="1:13" x14ac:dyDescent="0.3">
      <c r="A66" t="s">
        <v>8</v>
      </c>
      <c r="B66">
        <f t="shared" si="7"/>
        <v>0.251</v>
      </c>
      <c r="C66">
        <f t="shared" si="7"/>
        <v>7.0699999999999999E-2</v>
      </c>
      <c r="D66">
        <f t="shared" si="7"/>
        <v>7.0699999999999999E-2</v>
      </c>
      <c r="E66">
        <f t="shared" si="7"/>
        <v>7.0699999999999999E-2</v>
      </c>
      <c r="F66">
        <f t="shared" si="7"/>
        <v>5.4800000000000001E-2</v>
      </c>
      <c r="G66">
        <f t="shared" si="7"/>
        <v>7.0699999999999999E-2</v>
      </c>
      <c r="H66">
        <f t="shared" si="7"/>
        <v>7.0699999999999999E-2</v>
      </c>
      <c r="I66">
        <f t="shared" si="7"/>
        <v>7.0699999999999999E-2</v>
      </c>
      <c r="J66">
        <f t="shared" si="7"/>
        <v>0</v>
      </c>
      <c r="K66">
        <f t="shared" si="7"/>
        <v>0.3795</v>
      </c>
      <c r="L66">
        <f t="shared" si="7"/>
        <v>0.3347</v>
      </c>
      <c r="M66">
        <f t="shared" si="7"/>
        <v>0.3347</v>
      </c>
    </row>
    <row r="67" spans="1:13" x14ac:dyDescent="0.3">
      <c r="A67" t="s">
        <v>9</v>
      </c>
      <c r="B67">
        <f t="shared" si="7"/>
        <v>5.4800000000000001E-2</v>
      </c>
      <c r="C67">
        <f t="shared" si="7"/>
        <v>7.0699999999999999E-2</v>
      </c>
      <c r="D67">
        <f t="shared" si="7"/>
        <v>0.1414</v>
      </c>
      <c r="E67">
        <f t="shared" si="7"/>
        <v>8.3699999999999997E-2</v>
      </c>
      <c r="F67">
        <f t="shared" si="7"/>
        <v>8.3699999999999997E-2</v>
      </c>
      <c r="G67">
        <f t="shared" si="7"/>
        <v>5.4800000000000001E-2</v>
      </c>
      <c r="H67">
        <f t="shared" si="7"/>
        <v>7.0699999999999999E-2</v>
      </c>
      <c r="I67">
        <f t="shared" si="7"/>
        <v>5.4800000000000001E-2</v>
      </c>
      <c r="J67">
        <f t="shared" si="7"/>
        <v>7.0699999999999999E-2</v>
      </c>
      <c r="K67">
        <f t="shared" si="7"/>
        <v>0</v>
      </c>
      <c r="L67">
        <f t="shared" si="7"/>
        <v>0.1095</v>
      </c>
      <c r="M67">
        <f t="shared" si="7"/>
        <v>5.4800000000000001E-2</v>
      </c>
    </row>
    <row r="68" spans="1:13" x14ac:dyDescent="0.3">
      <c r="A68" t="s">
        <v>10</v>
      </c>
      <c r="B68">
        <f t="shared" si="7"/>
        <v>7.0699999999999999E-2</v>
      </c>
      <c r="C68">
        <f t="shared" si="7"/>
        <v>8.3699999999999997E-2</v>
      </c>
      <c r="D68">
        <f t="shared" si="7"/>
        <v>7.0699999999999999E-2</v>
      </c>
      <c r="E68">
        <f t="shared" si="7"/>
        <v>0.1414</v>
      </c>
      <c r="F68">
        <f t="shared" si="7"/>
        <v>5.4800000000000001E-2</v>
      </c>
      <c r="G68">
        <f t="shared" si="7"/>
        <v>0.1414</v>
      </c>
      <c r="H68">
        <f t="shared" si="7"/>
        <v>0.1414</v>
      </c>
      <c r="I68">
        <f t="shared" si="7"/>
        <v>0.1095</v>
      </c>
      <c r="J68">
        <f t="shared" si="7"/>
        <v>6.3200000000000006E-2</v>
      </c>
      <c r="K68">
        <f t="shared" si="7"/>
        <v>0.1095</v>
      </c>
      <c r="L68">
        <f t="shared" si="7"/>
        <v>0</v>
      </c>
      <c r="M68">
        <f t="shared" si="7"/>
        <v>0.3795</v>
      </c>
    </row>
    <row r="69" spans="1:13" x14ac:dyDescent="0.3">
      <c r="A69" t="s">
        <v>11</v>
      </c>
      <c r="B69">
        <f t="shared" si="7"/>
        <v>3.1600000000000003E-2</v>
      </c>
      <c r="C69">
        <f t="shared" si="7"/>
        <v>8.3699999999999997E-2</v>
      </c>
      <c r="D69">
        <f t="shared" si="7"/>
        <v>0.1414</v>
      </c>
      <c r="E69">
        <f t="shared" si="7"/>
        <v>3.1600000000000003E-2</v>
      </c>
      <c r="F69">
        <f t="shared" si="7"/>
        <v>7.0699999999999999E-2</v>
      </c>
      <c r="G69">
        <f t="shared" si="7"/>
        <v>7.0699999999999999E-2</v>
      </c>
      <c r="H69">
        <f t="shared" si="7"/>
        <v>7.0699999999999999E-2</v>
      </c>
      <c r="I69">
        <f t="shared" si="7"/>
        <v>7.0699999999999999E-2</v>
      </c>
      <c r="J69">
        <f t="shared" si="7"/>
        <v>7.0699999999999999E-2</v>
      </c>
      <c r="K69">
        <f t="shared" si="7"/>
        <v>0.1095</v>
      </c>
      <c r="L69">
        <f t="shared" si="7"/>
        <v>7.0699999999999999E-2</v>
      </c>
      <c r="M69">
        <f t="shared" si="7"/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40"/>
  <dimension ref="A1:M69"/>
  <sheetViews>
    <sheetView workbookViewId="0">
      <selection activeCell="A15" sqref="A15:M69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21</v>
      </c>
      <c r="D2" t="s">
        <v>12</v>
      </c>
      <c r="E2" t="s">
        <v>27</v>
      </c>
      <c r="F2" t="s">
        <v>12</v>
      </c>
      <c r="G2" t="s">
        <v>15</v>
      </c>
      <c r="H2" t="s">
        <v>12</v>
      </c>
      <c r="I2" t="s">
        <v>12</v>
      </c>
      <c r="J2" t="s">
        <v>13</v>
      </c>
      <c r="K2" t="s">
        <v>16</v>
      </c>
      <c r="L2" s="6" t="s">
        <v>18</v>
      </c>
      <c r="M2" t="s">
        <v>18</v>
      </c>
    </row>
    <row r="3" spans="1:13" x14ac:dyDescent="0.3">
      <c r="A3" s="1" t="s">
        <v>1</v>
      </c>
      <c r="B3" t="s">
        <v>22</v>
      </c>
      <c r="C3">
        <v>0</v>
      </c>
      <c r="D3" t="s">
        <v>25</v>
      </c>
      <c r="E3" t="s">
        <v>12</v>
      </c>
      <c r="F3" t="s">
        <v>21</v>
      </c>
      <c r="G3" t="s">
        <v>19</v>
      </c>
      <c r="H3" t="s">
        <v>21</v>
      </c>
      <c r="I3" t="s">
        <v>15</v>
      </c>
      <c r="J3" t="s">
        <v>20</v>
      </c>
      <c r="K3" t="s">
        <v>18</v>
      </c>
      <c r="L3" s="6" t="s">
        <v>12</v>
      </c>
      <c r="M3" t="s">
        <v>12</v>
      </c>
    </row>
    <row r="4" spans="1:13" x14ac:dyDescent="0.3">
      <c r="A4" s="1" t="s">
        <v>2</v>
      </c>
      <c r="B4" t="s">
        <v>15</v>
      </c>
      <c r="C4" t="s">
        <v>16</v>
      </c>
      <c r="D4">
        <v>0</v>
      </c>
      <c r="E4" t="s">
        <v>21</v>
      </c>
      <c r="F4" t="s">
        <v>24</v>
      </c>
      <c r="G4" t="s">
        <v>24</v>
      </c>
      <c r="H4" t="s">
        <v>21</v>
      </c>
      <c r="I4" t="s">
        <v>24</v>
      </c>
      <c r="J4" t="s">
        <v>18</v>
      </c>
      <c r="K4" t="s">
        <v>18</v>
      </c>
      <c r="L4" s="6" t="s">
        <v>12</v>
      </c>
      <c r="M4" t="s">
        <v>13</v>
      </c>
    </row>
    <row r="5" spans="1:13" x14ac:dyDescent="0.3">
      <c r="A5" s="1" t="s">
        <v>3</v>
      </c>
      <c r="B5" t="s">
        <v>18</v>
      </c>
      <c r="C5" t="s">
        <v>25</v>
      </c>
      <c r="D5" t="s">
        <v>15</v>
      </c>
      <c r="E5">
        <v>0</v>
      </c>
      <c r="F5" t="s">
        <v>21</v>
      </c>
      <c r="G5" t="s">
        <v>12</v>
      </c>
      <c r="H5" t="s">
        <v>12</v>
      </c>
      <c r="I5" t="s">
        <v>16</v>
      </c>
      <c r="J5" t="s">
        <v>12</v>
      </c>
      <c r="K5" t="s">
        <v>18</v>
      </c>
      <c r="L5" s="6" t="s">
        <v>25</v>
      </c>
      <c r="M5" t="s">
        <v>13</v>
      </c>
    </row>
    <row r="6" spans="1:13" x14ac:dyDescent="0.3">
      <c r="A6" s="1" t="s">
        <v>4</v>
      </c>
      <c r="B6" t="s">
        <v>71</v>
      </c>
      <c r="C6" t="s">
        <v>15</v>
      </c>
      <c r="D6" t="s">
        <v>20</v>
      </c>
      <c r="E6" t="s">
        <v>16</v>
      </c>
      <c r="F6">
        <v>0</v>
      </c>
      <c r="G6" t="s">
        <v>12</v>
      </c>
      <c r="H6" t="s">
        <v>62</v>
      </c>
      <c r="I6" t="s">
        <v>24</v>
      </c>
      <c r="J6" t="s">
        <v>12</v>
      </c>
      <c r="K6" t="s">
        <v>13</v>
      </c>
      <c r="L6" s="6" t="s">
        <v>16</v>
      </c>
      <c r="M6" t="s">
        <v>15</v>
      </c>
    </row>
    <row r="7" spans="1:13" x14ac:dyDescent="0.3">
      <c r="A7" s="1" t="s">
        <v>5</v>
      </c>
      <c r="B7" t="s">
        <v>71</v>
      </c>
      <c r="C7" t="s">
        <v>20</v>
      </c>
      <c r="D7" t="s">
        <v>24</v>
      </c>
      <c r="E7" t="s">
        <v>24</v>
      </c>
      <c r="F7" t="s">
        <v>15</v>
      </c>
      <c r="G7">
        <v>0</v>
      </c>
      <c r="H7" t="s">
        <v>16</v>
      </c>
      <c r="I7" t="s">
        <v>16</v>
      </c>
      <c r="J7" t="s">
        <v>15</v>
      </c>
      <c r="K7" t="s">
        <v>15</v>
      </c>
      <c r="L7" t="s">
        <v>17</v>
      </c>
      <c r="M7" t="s">
        <v>15</v>
      </c>
    </row>
    <row r="8" spans="1:13" x14ac:dyDescent="0.3">
      <c r="A8" s="1" t="s">
        <v>6</v>
      </c>
      <c r="B8" t="s">
        <v>24</v>
      </c>
      <c r="C8" t="s">
        <v>16</v>
      </c>
      <c r="D8" t="s">
        <v>16</v>
      </c>
      <c r="E8" t="s">
        <v>20</v>
      </c>
      <c r="F8" t="s">
        <v>16</v>
      </c>
      <c r="G8" t="s">
        <v>71</v>
      </c>
      <c r="H8">
        <v>0</v>
      </c>
      <c r="I8" t="s">
        <v>15</v>
      </c>
      <c r="J8" t="s">
        <v>16</v>
      </c>
      <c r="K8" t="s">
        <v>12</v>
      </c>
      <c r="L8" t="s">
        <v>20</v>
      </c>
      <c r="M8" t="s">
        <v>16</v>
      </c>
    </row>
    <row r="9" spans="1:13" x14ac:dyDescent="0.3">
      <c r="A9" s="1" t="s">
        <v>7</v>
      </c>
      <c r="B9" t="s">
        <v>24</v>
      </c>
      <c r="C9" t="s">
        <v>16</v>
      </c>
      <c r="D9" t="s">
        <v>16</v>
      </c>
      <c r="E9" t="s">
        <v>20</v>
      </c>
      <c r="F9" t="s">
        <v>16</v>
      </c>
      <c r="G9" t="s">
        <v>62</v>
      </c>
      <c r="H9" t="s">
        <v>16</v>
      </c>
      <c r="I9">
        <v>0</v>
      </c>
      <c r="J9" t="s">
        <v>24</v>
      </c>
      <c r="K9" t="s">
        <v>13</v>
      </c>
      <c r="L9" t="s">
        <v>18</v>
      </c>
      <c r="M9" t="s">
        <v>18</v>
      </c>
    </row>
    <row r="10" spans="1:13" x14ac:dyDescent="0.3">
      <c r="A10" s="1" t="s">
        <v>8</v>
      </c>
      <c r="B10" t="s">
        <v>21</v>
      </c>
      <c r="C10" t="s">
        <v>20</v>
      </c>
      <c r="D10" t="s">
        <v>62</v>
      </c>
      <c r="E10" t="s">
        <v>20</v>
      </c>
      <c r="F10" t="s">
        <v>62</v>
      </c>
      <c r="G10" t="s">
        <v>24</v>
      </c>
      <c r="H10" t="s">
        <v>20</v>
      </c>
      <c r="I10" t="s">
        <v>20</v>
      </c>
      <c r="J10">
        <v>0</v>
      </c>
      <c r="K10" t="s">
        <v>18</v>
      </c>
      <c r="L10" t="s">
        <v>18</v>
      </c>
      <c r="M10" t="s">
        <v>13</v>
      </c>
    </row>
    <row r="11" spans="1:13" x14ac:dyDescent="0.3">
      <c r="A11" s="1" t="s">
        <v>9</v>
      </c>
      <c r="B11" t="s">
        <v>24</v>
      </c>
      <c r="C11" t="s">
        <v>15</v>
      </c>
      <c r="D11" t="s">
        <v>15</v>
      </c>
      <c r="E11" t="s">
        <v>20</v>
      </c>
      <c r="F11" t="s">
        <v>15</v>
      </c>
      <c r="G11" t="s">
        <v>16</v>
      </c>
      <c r="H11" t="s">
        <v>16</v>
      </c>
      <c r="I11" t="s">
        <v>15</v>
      </c>
      <c r="J11" t="s">
        <v>16</v>
      </c>
      <c r="K11">
        <v>0</v>
      </c>
      <c r="L11" t="s">
        <v>23</v>
      </c>
      <c r="M11" t="s">
        <v>71</v>
      </c>
    </row>
    <row r="12" spans="1:13" x14ac:dyDescent="0.3">
      <c r="A12" s="1" t="s">
        <v>10</v>
      </c>
      <c r="B12" t="s">
        <v>16</v>
      </c>
      <c r="C12" t="s">
        <v>20</v>
      </c>
      <c r="D12" t="s">
        <v>71</v>
      </c>
      <c r="E12" t="s">
        <v>23</v>
      </c>
      <c r="F12" t="s">
        <v>16</v>
      </c>
      <c r="G12" t="s">
        <v>23</v>
      </c>
      <c r="H12" t="s">
        <v>62</v>
      </c>
      <c r="I12" t="s">
        <v>24</v>
      </c>
      <c r="J12" t="s">
        <v>24</v>
      </c>
      <c r="K12" t="s">
        <v>16</v>
      </c>
      <c r="L12">
        <v>0</v>
      </c>
      <c r="M12" t="s">
        <v>18</v>
      </c>
    </row>
    <row r="13" spans="1:13" x14ac:dyDescent="0.3">
      <c r="A13" s="1" t="s">
        <v>11</v>
      </c>
      <c r="B13" t="s">
        <v>15</v>
      </c>
      <c r="C13" t="s">
        <v>16</v>
      </c>
      <c r="D13" t="s">
        <v>20</v>
      </c>
      <c r="E13" t="s">
        <v>16</v>
      </c>
      <c r="F13" t="s">
        <v>17</v>
      </c>
      <c r="G13" t="s">
        <v>24</v>
      </c>
      <c r="H13" t="s">
        <v>15</v>
      </c>
      <c r="I13" t="s">
        <v>16</v>
      </c>
      <c r="J13" t="s">
        <v>16</v>
      </c>
      <c r="K13" t="s">
        <v>16</v>
      </c>
      <c r="L13" t="s">
        <v>71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(0,0837; 0,1673; 0,251)</v>
      </c>
      <c r="D16" t="str">
        <f>VLOOKUP(D2,'Thang đánh giá'!$C$2:$D$27,2,FALSE)</f>
        <v>(0,1673; 0,251; 0,3347)</v>
      </c>
      <c r="E16" t="str">
        <f>VLOOKUP(E2,'Thang đánh giá'!$C$2:$D$27,2,FALSE)</f>
        <v>(0,0949; 0,1897; 0,2846)</v>
      </c>
      <c r="F16" t="str">
        <f>VLOOKUP(F2,'Thang đánh giá'!$C$2:$D$27,2,FALSE)</f>
        <v>(0,1673; 0,251; 0,3347)</v>
      </c>
      <c r="G16" t="str">
        <f>VLOOKUP(G2,'Thang đánh giá'!$C$2:$D$27,2,FALSE)</f>
        <v>(0; 0,0707; 0,1414)</v>
      </c>
      <c r="H16" t="str">
        <f>VLOOKUP(H2,'Thang đánh giá'!$C$2:$D$27,2,FALSE)</f>
        <v>(0,1673; 0,251; 0,3347)</v>
      </c>
      <c r="I16" t="str">
        <f>VLOOKUP(I2,'Thang đánh giá'!$C$2:$D$27,2,FALSE)</f>
        <v>(0,1673; 0,251; 0,3347)</v>
      </c>
      <c r="J16" t="str">
        <f>VLOOKUP(J2,'Thang đánh giá'!$C$2:$D$27,2,FALSE)</f>
        <v>(0,1897; 0,2846; 0,3795)</v>
      </c>
      <c r="K16" t="str">
        <f>VLOOKUP(K2,'Thang đánh giá'!$C$2:$D$27,2,FALSE)</f>
        <v>(0; 0; 0,0707)</v>
      </c>
      <c r="L16" t="str">
        <f>VLOOKUP(L2,'Thang đánh giá'!$C$2:$D$27,2,FALSE)</f>
        <v>(0,2846; 0,3795; 0,3795)</v>
      </c>
      <c r="M16" t="str">
        <f>VLOOKUP(M2,'Thang đánh giá'!$C$2:$D$27,2,FALSE)</f>
        <v>(0,2846; 0,3795; 0,3795)</v>
      </c>
    </row>
    <row r="17" spans="1:13" x14ac:dyDescent="0.3">
      <c r="A17" t="s">
        <v>1</v>
      </c>
      <c r="B17" t="str">
        <f>VLOOKUP(B3,'Thang đánh giá'!$C$2:$D$27,2,FALSE)</f>
        <v>(0,0707; 0,1414; 0,2121)</v>
      </c>
      <c r="C17" t="str">
        <f>VLOOKUP(C3,'Thang đánh giá'!$C$2:$D$27,2,FALSE)</f>
        <v>(0; 0; 0)</v>
      </c>
      <c r="D17" t="str">
        <f>VLOOKUP(D3,'Thang đánh giá'!$C$2:$D$27,2,FALSE)</f>
        <v>(0,251; 0,3347; 0,3347)</v>
      </c>
      <c r="E17" t="str">
        <f>VLOOKUP(E3,'Thang đánh giá'!$C$2:$D$27,2,FALSE)</f>
        <v>(0,1673; 0,251; 0,3347)</v>
      </c>
      <c r="F17" t="str">
        <f>VLOOKUP(F3,'Thang đánh giá'!$C$2:$D$27,2,FALSE)</f>
        <v>(0,0837; 0,1673; 0,251)</v>
      </c>
      <c r="G17" t="str">
        <f>VLOOKUP(G3,'Thang đánh giá'!$C$2:$D$27,2,FALSE)</f>
        <v>(0,1414; 0,2121; 0,2828)</v>
      </c>
      <c r="H17" t="str">
        <f>VLOOKUP(H3,'Thang đánh giá'!$C$2:$D$27,2,FALSE)</f>
        <v>(0,0837; 0,1673; 0,251)</v>
      </c>
      <c r="I17" t="str">
        <f>VLOOKUP(I3,'Thang đánh giá'!$C$2:$D$27,2,FALSE)</f>
        <v>(0; 0,0707; 0,1414)</v>
      </c>
      <c r="J17" t="str">
        <f>VLOOKUP(J3,'Thang đánh giá'!$C$2:$D$27,2,FALSE)</f>
        <v>(0; 0,0548; 0,1095)</v>
      </c>
      <c r="K17" t="str">
        <f>VLOOKUP(K3,'Thang đánh giá'!$C$2:$D$27,2,FALSE)</f>
        <v>(0,2846; 0,3795; 0,3795)</v>
      </c>
      <c r="L17" t="str">
        <f>VLOOKUP(L3,'Thang đánh giá'!$C$2:$D$27,2,FALSE)</f>
        <v>(0,1673; 0,251; 0,3347)</v>
      </c>
      <c r="M17" t="str">
        <f>VLOOKUP(M3,'Thang đánh giá'!$C$2:$D$27,2,FALSE)</f>
        <v>(0,1673; 0,251; 0,3347)</v>
      </c>
    </row>
    <row r="18" spans="1:13" x14ac:dyDescent="0.3">
      <c r="A18" t="s">
        <v>2</v>
      </c>
      <c r="B18" t="str">
        <f>VLOOKUP(B4,'Thang đánh giá'!$C$2:$D$27,2,FALSE)</f>
        <v>(0; 0,0707; 0,1414)</v>
      </c>
      <c r="C18" t="str">
        <f>VLOOKUP(C4,'Thang đánh giá'!$C$2:$D$27,2,FALSE)</f>
        <v>(0; 0; 0,0707)</v>
      </c>
      <c r="D18" t="str">
        <f>VLOOKUP(D4,'Thang đánh giá'!$C$2:$D$27,2,FALSE)</f>
        <v>(0; 0; 0)</v>
      </c>
      <c r="E18" t="str">
        <f>VLOOKUP(E4,'Thang đánh giá'!$C$2:$D$27,2,FALSE)</f>
        <v>(0,0837; 0,1673; 0,251)</v>
      </c>
      <c r="F18" t="str">
        <f>VLOOKUP(F4,'Thang đánh giá'!$C$2:$D$27,2,FALSE)</f>
        <v>(0; 0; 0,0548)</v>
      </c>
      <c r="G18" t="str">
        <f>VLOOKUP(G4,'Thang đánh giá'!$C$2:$D$27,2,FALSE)</f>
        <v>(0; 0; 0,0548)</v>
      </c>
      <c r="H18" t="str">
        <f>VLOOKUP(H4,'Thang đánh giá'!$C$2:$D$27,2,FALSE)</f>
        <v>(0,0837; 0,1673; 0,251)</v>
      </c>
      <c r="I18" t="str">
        <f>VLOOKUP(I4,'Thang đánh giá'!$C$2:$D$27,2,FALSE)</f>
        <v>(0; 0; 0,0548)</v>
      </c>
      <c r="J18" t="str">
        <f>VLOOKUP(J4,'Thang đánh giá'!$C$2:$D$27,2,FALSE)</f>
        <v>(0,2846; 0,3795; 0,3795)</v>
      </c>
      <c r="K18" t="str">
        <f>VLOOKUP(K4,'Thang đánh giá'!$C$2:$D$27,2,FALSE)</f>
        <v>(0,2846; 0,3795; 0,3795)</v>
      </c>
      <c r="L18" t="str">
        <f>VLOOKUP(L4,'Thang đánh giá'!$C$2:$D$27,2,FALSE)</f>
        <v>(0,1673; 0,251; 0,3347)</v>
      </c>
      <c r="M18" t="str">
        <f>VLOOKUP(M4,'Thang đánh giá'!$C$2:$D$27,2,FALSE)</f>
        <v>(0,1897; 0,2846; 0,3795)</v>
      </c>
    </row>
    <row r="19" spans="1:13" x14ac:dyDescent="0.3">
      <c r="A19" t="s">
        <v>3</v>
      </c>
      <c r="B19" t="str">
        <f>VLOOKUP(B5,'Thang đánh giá'!$C$2:$D$27,2,FALSE)</f>
        <v>(0,2846; 0,3795; 0,3795)</v>
      </c>
      <c r="C19" t="str">
        <f>VLOOKUP(C5,'Thang đánh giá'!$C$2:$D$27,2,FALSE)</f>
        <v>(0,251; 0,3347; 0,3347)</v>
      </c>
      <c r="D19" t="str">
        <f>VLOOKUP(D5,'Thang đánh giá'!$C$2:$D$27,2,FALSE)</f>
        <v>(0; 0,0707; 0,1414)</v>
      </c>
      <c r="E19" t="str">
        <f>VLOOKUP(E5,'Thang đánh giá'!$C$2:$D$27,2,FALSE)</f>
        <v>(0; 0; 0)</v>
      </c>
      <c r="F19" t="str">
        <f>VLOOKUP(F5,'Thang đánh giá'!$C$2:$D$27,2,FALSE)</f>
        <v>(0,0837; 0,1673; 0,251)</v>
      </c>
      <c r="G19" t="str">
        <f>VLOOKUP(G5,'Thang đánh giá'!$C$2:$D$27,2,FALSE)</f>
        <v>(0,1673; 0,251; 0,3347)</v>
      </c>
      <c r="H19" t="str">
        <f>VLOOKUP(H5,'Thang đánh giá'!$C$2:$D$27,2,FALSE)</f>
        <v>(0,1673; 0,251; 0,3347)</v>
      </c>
      <c r="I19" t="str">
        <f>VLOOKUP(I5,'Thang đánh giá'!$C$2:$D$27,2,FALSE)</f>
        <v>(0; 0; 0,0707)</v>
      </c>
      <c r="J19" t="str">
        <f>VLOOKUP(J5,'Thang đánh giá'!$C$2:$D$27,2,FALSE)</f>
        <v>(0,1673; 0,251; 0,3347)</v>
      </c>
      <c r="K19" t="str">
        <f>VLOOKUP(K5,'Thang đánh giá'!$C$2:$D$27,2,FALSE)</f>
        <v>(0,2846; 0,3795; 0,3795)</v>
      </c>
      <c r="L19" t="str">
        <f>VLOOKUP(L5,'Thang đánh giá'!$C$2:$D$27,2,FALSE)</f>
        <v>(0,251; 0,3347; 0,3347)</v>
      </c>
      <c r="M19" t="str">
        <f>VLOOKUP(M5,'Thang đánh giá'!$C$2:$D$27,2,FALSE)</f>
        <v>(0,1897; 0,2846; 0,3795)</v>
      </c>
    </row>
    <row r="20" spans="1:13" x14ac:dyDescent="0.3">
      <c r="A20" t="s">
        <v>4</v>
      </c>
      <c r="B20" t="str">
        <f>VLOOKUP(B6,'Thang đánh giá'!$C$2:$D$27,2,FALSE)</f>
        <v>(0; 0; 0,0837)</v>
      </c>
      <c r="C20" t="str">
        <f>VLOOKUP(C6,'Thang đánh giá'!$C$2:$D$27,2,FALSE)</f>
        <v>(0; 0,0707; 0,1414)</v>
      </c>
      <c r="D20" t="str">
        <f>VLOOKUP(D6,'Thang đánh giá'!$C$2:$D$27,2,FALSE)</f>
        <v>(0; 0,0548; 0,1095)</v>
      </c>
      <c r="E20" t="str">
        <f>VLOOKUP(E6,'Thang đánh giá'!$C$2:$D$27,2,FALSE)</f>
        <v>(0; 0; 0,0707)</v>
      </c>
      <c r="F20" t="str">
        <f>VLOOKUP(F6,'Thang đánh giá'!$C$2:$D$27,2,FALSE)</f>
        <v>(0; 0; 0)</v>
      </c>
      <c r="G20" t="str">
        <f>VLOOKUP(G6,'Thang đánh giá'!$C$2:$D$27,2,FALSE)</f>
        <v>(0,1673; 0,251; 0,3347)</v>
      </c>
      <c r="H20" t="str">
        <f>VLOOKUP(H6,'Thang đánh giá'!$C$2:$D$27,2,FALSE)</f>
        <v>(0; 0,0837; 0,1673)</v>
      </c>
      <c r="I20" t="str">
        <f>VLOOKUP(I6,'Thang đánh giá'!$C$2:$D$27,2,FALSE)</f>
        <v>(0; 0; 0,0548)</v>
      </c>
      <c r="J20" t="str">
        <f>VLOOKUP(J6,'Thang đánh giá'!$C$2:$D$27,2,FALSE)</f>
        <v>(0,1673; 0,251; 0,3347)</v>
      </c>
      <c r="K20" t="str">
        <f>VLOOKUP(K6,'Thang đánh giá'!$C$2:$D$27,2,FALSE)</f>
        <v>(0,1897; 0,2846; 0,3795)</v>
      </c>
      <c r="L20" t="str">
        <f>VLOOKUP(L6,'Thang đánh giá'!$C$2:$D$27,2,FALSE)</f>
        <v>(0; 0; 0,0707)</v>
      </c>
      <c r="M20" t="str">
        <f>VLOOKUP(M6,'Thang đánh giá'!$C$2:$D$27,2,FALSE)</f>
        <v>(0; 0,0707; 0,1414)</v>
      </c>
    </row>
    <row r="21" spans="1:13" x14ac:dyDescent="0.3">
      <c r="A21" t="s">
        <v>5</v>
      </c>
      <c r="B21" t="str">
        <f>VLOOKUP(B7,'Thang đánh giá'!$C$2:$D$27,2,FALSE)</f>
        <v>(0; 0; 0,0837)</v>
      </c>
      <c r="C21" t="str">
        <f>VLOOKUP(C7,'Thang đánh giá'!$C$2:$D$27,2,FALSE)</f>
        <v>(0; 0,0548; 0,1095)</v>
      </c>
      <c r="D21" t="str">
        <f>VLOOKUP(D7,'Thang đánh giá'!$C$2:$D$27,2,FALSE)</f>
        <v>(0; 0; 0,0548)</v>
      </c>
      <c r="E21" t="str">
        <f>VLOOKUP(E7,'Thang đánh giá'!$C$2:$D$27,2,FALSE)</f>
        <v>(0; 0; 0,0548)</v>
      </c>
      <c r="F21" t="str">
        <f>VLOOKUP(F7,'Thang đánh giá'!$C$2:$D$27,2,FALSE)</f>
        <v>(0; 0,0707; 0,1414)</v>
      </c>
      <c r="G21" t="str">
        <f>VLOOKUP(G7,'Thang đánh giá'!$C$2:$D$27,2,FALSE)</f>
        <v>(0; 0; 0)</v>
      </c>
      <c r="H21" t="str">
        <f>VLOOKUP(H7,'Thang đánh giá'!$C$2:$D$27,2,FALSE)</f>
        <v>(0; 0; 0,0707)</v>
      </c>
      <c r="I21" t="str">
        <f>VLOOKUP(I7,'Thang đánh giá'!$C$2:$D$27,2,FALSE)</f>
        <v>(0; 0; 0,0707)</v>
      </c>
      <c r="J21" t="str">
        <f>VLOOKUP(J7,'Thang đánh giá'!$C$2:$D$27,2,FALSE)</f>
        <v>(0; 0,0707; 0,1414)</v>
      </c>
      <c r="K21" t="str">
        <f>VLOOKUP(K7,'Thang đánh giá'!$C$2:$D$27,2,FALSE)</f>
        <v>(0; 0,0707; 0,1414)</v>
      </c>
      <c r="L21" t="str">
        <f>VLOOKUP(L7,'Thang đánh giá'!$C$2:$D$27,2,FALSE)</f>
        <v>(0; 0,0316; 0,0632)</v>
      </c>
      <c r="M21" t="str">
        <f>VLOOKUP(M7,'Thang đánh giá'!$C$2:$D$27,2,FALSE)</f>
        <v>(0; 0,0707; 0,1414)</v>
      </c>
    </row>
    <row r="22" spans="1:13" x14ac:dyDescent="0.3">
      <c r="A22" t="s">
        <v>6</v>
      </c>
      <c r="B22" t="str">
        <f>VLOOKUP(B8,'Thang đánh giá'!$C$2:$D$27,2,FALSE)</f>
        <v>(0; 0; 0,0548)</v>
      </c>
      <c r="C22" t="str">
        <f>VLOOKUP(C8,'Thang đánh giá'!$C$2:$D$27,2,FALSE)</f>
        <v>(0; 0; 0,0707)</v>
      </c>
      <c r="D22" t="str">
        <f>VLOOKUP(D8,'Thang đánh giá'!$C$2:$D$27,2,FALSE)</f>
        <v>(0; 0; 0,0707)</v>
      </c>
      <c r="E22" t="str">
        <f>VLOOKUP(E8,'Thang đánh giá'!$C$2:$D$27,2,FALSE)</f>
        <v>(0; 0,0548; 0,1095)</v>
      </c>
      <c r="F22" t="str">
        <f>VLOOKUP(F8,'Thang đánh giá'!$C$2:$D$27,2,FALSE)</f>
        <v>(0; 0; 0,0707)</v>
      </c>
      <c r="G22" t="str">
        <f>VLOOKUP(G8,'Thang đánh giá'!$C$2:$D$27,2,FALSE)</f>
        <v>(0; 0; 0,0837)</v>
      </c>
      <c r="H22" t="str">
        <f>VLOOKUP(H8,'Thang đánh giá'!$C$2:$D$27,2,FALSE)</f>
        <v>(0; 0; 0)</v>
      </c>
      <c r="I22" t="str">
        <f>VLOOKUP(I8,'Thang đánh giá'!$C$2:$D$27,2,FALSE)</f>
        <v>(0; 0,0707; 0,1414)</v>
      </c>
      <c r="J22" t="str">
        <f>VLOOKUP(J8,'Thang đánh giá'!$C$2:$D$27,2,FALSE)</f>
        <v>(0; 0; 0,0707)</v>
      </c>
      <c r="K22" t="str">
        <f>VLOOKUP(K8,'Thang đánh giá'!$C$2:$D$27,2,FALSE)</f>
        <v>(0,1673; 0,251; 0,3347)</v>
      </c>
      <c r="L22" t="str">
        <f>VLOOKUP(L8,'Thang đánh giá'!$C$2:$D$27,2,FALSE)</f>
        <v>(0; 0,0548; 0,1095)</v>
      </c>
      <c r="M22" t="str">
        <f>VLOOKUP(M8,'Thang đánh giá'!$C$2:$D$27,2,FALSE)</f>
        <v>(0; 0; 0,0707)</v>
      </c>
    </row>
    <row r="23" spans="1:13" x14ac:dyDescent="0.3">
      <c r="A23" t="s">
        <v>7</v>
      </c>
      <c r="B23" t="str">
        <f>VLOOKUP(B9,'Thang đánh giá'!$C$2:$D$27,2,FALSE)</f>
        <v>(0; 0; 0,0548)</v>
      </c>
      <c r="C23" t="str">
        <f>VLOOKUP(C9,'Thang đánh giá'!$C$2:$D$27,2,FALSE)</f>
        <v>(0; 0; 0,0707)</v>
      </c>
      <c r="D23" t="str">
        <f>VLOOKUP(D9,'Thang đánh giá'!$C$2:$D$27,2,FALSE)</f>
        <v>(0; 0; 0,0707)</v>
      </c>
      <c r="E23" t="str">
        <f>VLOOKUP(E9,'Thang đánh giá'!$C$2:$D$27,2,FALSE)</f>
        <v>(0; 0,0548; 0,1095)</v>
      </c>
      <c r="F23" t="str">
        <f>VLOOKUP(F9,'Thang đánh giá'!$C$2:$D$27,2,FALSE)</f>
        <v>(0; 0; 0,0707)</v>
      </c>
      <c r="G23" t="str">
        <f>VLOOKUP(G9,'Thang đánh giá'!$C$2:$D$27,2,FALSE)</f>
        <v>(0; 0,0837; 0,1673)</v>
      </c>
      <c r="H23" t="str">
        <f>VLOOKUP(H9,'Thang đánh giá'!$C$2:$D$27,2,FALSE)</f>
        <v>(0; 0; 0,0707)</v>
      </c>
      <c r="I23" t="str">
        <f>VLOOKUP(I9,'Thang đánh giá'!$C$2:$D$27,2,FALSE)</f>
        <v>(0; 0; 0)</v>
      </c>
      <c r="J23" t="str">
        <f>VLOOKUP(J9,'Thang đánh giá'!$C$2:$D$27,2,FALSE)</f>
        <v>(0; 0; 0,0548)</v>
      </c>
      <c r="K23" t="str">
        <f>VLOOKUP(K9,'Thang đánh giá'!$C$2:$D$27,2,FALSE)</f>
        <v>(0,1897; 0,2846; 0,3795)</v>
      </c>
      <c r="L23" t="str">
        <f>VLOOKUP(L9,'Thang đánh giá'!$C$2:$D$27,2,FALSE)</f>
        <v>(0,2846; 0,3795; 0,3795)</v>
      </c>
      <c r="M23" t="str">
        <f>VLOOKUP(M9,'Thang đánh giá'!$C$2:$D$27,2,FALSE)</f>
        <v>(0,2846; 0,3795; 0,3795)</v>
      </c>
    </row>
    <row r="24" spans="1:13" x14ac:dyDescent="0.3">
      <c r="A24" t="s">
        <v>8</v>
      </c>
      <c r="B24" t="str">
        <f>VLOOKUP(B10,'Thang đánh giá'!$C$2:$D$27,2,FALSE)</f>
        <v>(0,0837; 0,1673; 0,251)</v>
      </c>
      <c r="C24" t="str">
        <f>VLOOKUP(C10,'Thang đánh giá'!$C$2:$D$27,2,FALSE)</f>
        <v>(0; 0,0548; 0,1095)</v>
      </c>
      <c r="D24" t="str">
        <f>VLOOKUP(D10,'Thang đánh giá'!$C$2:$D$27,2,FALSE)</f>
        <v>(0; 0,0837; 0,1673)</v>
      </c>
      <c r="E24" t="str">
        <f>VLOOKUP(E10,'Thang đánh giá'!$C$2:$D$27,2,FALSE)</f>
        <v>(0; 0,0548; 0,1095)</v>
      </c>
      <c r="F24" t="str">
        <f>VLOOKUP(F10,'Thang đánh giá'!$C$2:$D$27,2,FALSE)</f>
        <v>(0; 0,0837; 0,1673)</v>
      </c>
      <c r="G24" t="str">
        <f>VLOOKUP(G10,'Thang đánh giá'!$C$2:$D$27,2,FALSE)</f>
        <v>(0; 0; 0,0548)</v>
      </c>
      <c r="H24" t="str">
        <f>VLOOKUP(H10,'Thang đánh giá'!$C$2:$D$27,2,FALSE)</f>
        <v>(0; 0,0548; 0,1095)</v>
      </c>
      <c r="I24" t="str">
        <f>VLOOKUP(I10,'Thang đánh giá'!$C$2:$D$27,2,FALSE)</f>
        <v>(0; 0,0548; 0,1095)</v>
      </c>
      <c r="J24" t="str">
        <f>VLOOKUP(J10,'Thang đánh giá'!$C$2:$D$27,2,FALSE)</f>
        <v>(0; 0; 0)</v>
      </c>
      <c r="K24" t="str">
        <f>VLOOKUP(K10,'Thang đánh giá'!$C$2:$D$27,2,FALSE)</f>
        <v>(0,2846; 0,3795; 0,3795)</v>
      </c>
      <c r="L24" t="str">
        <f>VLOOKUP(L10,'Thang đánh giá'!$C$2:$D$27,2,FALSE)</f>
        <v>(0,2846; 0,3795; 0,3795)</v>
      </c>
      <c r="M24" t="str">
        <f>VLOOKUP(M10,'Thang đánh giá'!$C$2:$D$27,2,FALSE)</f>
        <v>(0,1897; 0,2846; 0,3795)</v>
      </c>
    </row>
    <row r="25" spans="1:13" x14ac:dyDescent="0.3">
      <c r="A25" t="s">
        <v>9</v>
      </c>
      <c r="B25" t="str">
        <f>VLOOKUP(B11,'Thang đánh giá'!$C$2:$D$27,2,FALSE)</f>
        <v>(0; 0; 0,0548)</v>
      </c>
      <c r="C25" t="str">
        <f>VLOOKUP(C11,'Thang đánh giá'!$C$2:$D$27,2,FALSE)</f>
        <v>(0; 0,0707; 0,1414)</v>
      </c>
      <c r="D25" t="str">
        <f>VLOOKUP(D11,'Thang đánh giá'!$C$2:$D$27,2,FALSE)</f>
        <v>(0; 0,0707; 0,1414)</v>
      </c>
      <c r="E25" t="str">
        <f>VLOOKUP(E11,'Thang đánh giá'!$C$2:$D$27,2,FALSE)</f>
        <v>(0; 0,0548; 0,1095)</v>
      </c>
      <c r="F25" t="str">
        <f>VLOOKUP(F11,'Thang đánh giá'!$C$2:$D$27,2,FALSE)</f>
        <v>(0; 0,0707; 0,1414)</v>
      </c>
      <c r="G25" t="str">
        <f>VLOOKUP(G11,'Thang đánh giá'!$C$2:$D$27,2,FALSE)</f>
        <v>(0; 0; 0,0707)</v>
      </c>
      <c r="H25" t="str">
        <f>VLOOKUP(H11,'Thang đánh giá'!$C$2:$D$27,2,FALSE)</f>
        <v>(0; 0; 0,0707)</v>
      </c>
      <c r="I25" t="str">
        <f>VLOOKUP(I11,'Thang đánh giá'!$C$2:$D$27,2,FALSE)</f>
        <v>(0; 0,0707; 0,1414)</v>
      </c>
      <c r="J25" t="str">
        <f>VLOOKUP(J11,'Thang đánh giá'!$C$2:$D$27,2,FALSE)</f>
        <v>(0; 0; 0,0707)</v>
      </c>
      <c r="K25" t="str">
        <f>VLOOKUP(K11,'Thang đánh giá'!$C$2:$D$27,2,FALSE)</f>
        <v>(0; 0; 0)</v>
      </c>
      <c r="L25" t="str">
        <f>VLOOKUP(L11,'Thang đánh giá'!$C$2:$D$27,2,FALSE)</f>
        <v>(0; 0; 0,0316)</v>
      </c>
      <c r="M25" t="str">
        <f>VLOOKUP(M11,'Thang đánh giá'!$C$2:$D$27,2,FALSE)</f>
        <v>(0; 0; 0,0837)</v>
      </c>
    </row>
    <row r="26" spans="1:13" x14ac:dyDescent="0.3">
      <c r="A26" t="s">
        <v>10</v>
      </c>
      <c r="B26" t="str">
        <f>VLOOKUP(B12,'Thang đánh giá'!$C$2:$D$27,2,FALSE)</f>
        <v>(0; 0; 0,0707)</v>
      </c>
      <c r="C26" t="str">
        <f>VLOOKUP(C12,'Thang đánh giá'!$C$2:$D$27,2,FALSE)</f>
        <v>(0; 0,0548; 0,1095)</v>
      </c>
      <c r="D26" t="str">
        <f>VLOOKUP(D12,'Thang đánh giá'!$C$2:$D$27,2,FALSE)</f>
        <v>(0; 0; 0,0837)</v>
      </c>
      <c r="E26" t="str">
        <f>VLOOKUP(E12,'Thang đánh giá'!$C$2:$D$27,2,FALSE)</f>
        <v>(0; 0; 0,0316)</v>
      </c>
      <c r="F26" t="str">
        <f>VLOOKUP(F12,'Thang đánh giá'!$C$2:$D$27,2,FALSE)</f>
        <v>(0; 0; 0,0707)</v>
      </c>
      <c r="G26" t="str">
        <f>VLOOKUP(G12,'Thang đánh giá'!$C$2:$D$27,2,FALSE)</f>
        <v>(0; 0; 0,0316)</v>
      </c>
      <c r="H26" t="str">
        <f>VLOOKUP(H12,'Thang đánh giá'!$C$2:$D$27,2,FALSE)</f>
        <v>(0; 0,0837; 0,1673)</v>
      </c>
      <c r="I26" t="str">
        <f>VLOOKUP(I12,'Thang đánh giá'!$C$2:$D$27,2,FALSE)</f>
        <v>(0; 0; 0,0548)</v>
      </c>
      <c r="J26" t="str">
        <f>VLOOKUP(J12,'Thang đánh giá'!$C$2:$D$27,2,FALSE)</f>
        <v>(0; 0; 0,0548)</v>
      </c>
      <c r="K26" t="str">
        <f>VLOOKUP(K12,'Thang đánh giá'!$C$2:$D$27,2,FALSE)</f>
        <v>(0; 0; 0,0707)</v>
      </c>
      <c r="L26" t="str">
        <f>VLOOKUP(L12,'Thang đánh giá'!$C$2:$D$27,2,FALSE)</f>
        <v>(0; 0; 0)</v>
      </c>
      <c r="M26" t="str">
        <f>VLOOKUP(M12,'Thang đánh giá'!$C$2:$D$27,2,FALSE)</f>
        <v>(0,2846; 0,3795; 0,3795)</v>
      </c>
    </row>
    <row r="27" spans="1:13" x14ac:dyDescent="0.3">
      <c r="A27" t="s">
        <v>11</v>
      </c>
      <c r="B27" t="str">
        <f>VLOOKUP(B13,'Thang đánh giá'!$C$2:$D$27,2,FALSE)</f>
        <v>(0; 0,0707; 0,1414)</v>
      </c>
      <c r="C27" t="str">
        <f>VLOOKUP(C13,'Thang đánh giá'!$C$2:$D$27,2,FALSE)</f>
        <v>(0; 0; 0,0707)</v>
      </c>
      <c r="D27" t="str">
        <f>VLOOKUP(D13,'Thang đánh giá'!$C$2:$D$27,2,FALSE)</f>
        <v>(0; 0,0548; 0,1095)</v>
      </c>
      <c r="E27" t="str">
        <f>VLOOKUP(E13,'Thang đánh giá'!$C$2:$D$27,2,FALSE)</f>
        <v>(0; 0; 0,0707)</v>
      </c>
      <c r="F27" t="str">
        <f>VLOOKUP(F13,'Thang đánh giá'!$C$2:$D$27,2,FALSE)</f>
        <v>(0; 0,0316; 0,0632)</v>
      </c>
      <c r="G27" t="str">
        <f>VLOOKUP(G13,'Thang đánh giá'!$C$2:$D$27,2,FALSE)</f>
        <v>(0; 0; 0,0548)</v>
      </c>
      <c r="H27" t="str">
        <f>VLOOKUP(H13,'Thang đánh giá'!$C$2:$D$27,2,FALSE)</f>
        <v>(0; 0,0707; 0,1414)</v>
      </c>
      <c r="I27" t="str">
        <f>VLOOKUP(I13,'Thang đánh giá'!$C$2:$D$27,2,FALSE)</f>
        <v>(0; 0; 0,0707)</v>
      </c>
      <c r="J27" t="str">
        <f>VLOOKUP(J13,'Thang đánh giá'!$C$2:$D$27,2,FALSE)</f>
        <v>(0; 0; 0,0707)</v>
      </c>
      <c r="K27" t="str">
        <f>VLOOKUP(K13,'Thang đánh giá'!$C$2:$D$27,2,FALSE)</f>
        <v>(0; 0; 0,0707)</v>
      </c>
      <c r="L27" t="str">
        <f>VLOOKUP(L13,'Thang đánh giá'!$C$2:$D$27,2,FALSE)</f>
        <v>(0; 0; 0,0837)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8.3699999999999997E-2</v>
      </c>
      <c r="D30">
        <f t="shared" si="0"/>
        <v>0.1673</v>
      </c>
      <c r="E30">
        <f t="shared" si="0"/>
        <v>9.4899999999999998E-2</v>
      </c>
      <c r="F30">
        <f t="shared" si="0"/>
        <v>0.1673</v>
      </c>
      <c r="G30">
        <f t="shared" si="0"/>
        <v>0</v>
      </c>
      <c r="H30">
        <f t="shared" si="0"/>
        <v>0.1673</v>
      </c>
      <c r="I30">
        <f t="shared" si="0"/>
        <v>0.1673</v>
      </c>
      <c r="J30">
        <f t="shared" si="0"/>
        <v>0.18970000000000001</v>
      </c>
      <c r="K30">
        <f t="shared" si="0"/>
        <v>0</v>
      </c>
      <c r="L30">
        <f t="shared" si="0"/>
        <v>0.28460000000000002</v>
      </c>
      <c r="M30">
        <f t="shared" si="0"/>
        <v>0.28460000000000002</v>
      </c>
    </row>
    <row r="31" spans="1:13" x14ac:dyDescent="0.3">
      <c r="A31" t="s">
        <v>1</v>
      </c>
      <c r="B31">
        <f t="shared" ref="B31:M41" si="1">_xlfn.NUMBERVALUE(MID(B17,2,FIND(";",B17,1)-2))</f>
        <v>7.0699999999999999E-2</v>
      </c>
      <c r="C31">
        <f t="shared" si="1"/>
        <v>0</v>
      </c>
      <c r="D31">
        <f t="shared" si="1"/>
        <v>0.251</v>
      </c>
      <c r="E31">
        <f t="shared" si="1"/>
        <v>0.1673</v>
      </c>
      <c r="F31">
        <f t="shared" si="1"/>
        <v>8.3699999999999997E-2</v>
      </c>
      <c r="G31">
        <f t="shared" si="1"/>
        <v>0.1414</v>
      </c>
      <c r="H31">
        <f t="shared" si="1"/>
        <v>8.3699999999999997E-2</v>
      </c>
      <c r="I31">
        <f t="shared" si="1"/>
        <v>0</v>
      </c>
      <c r="J31">
        <f t="shared" si="1"/>
        <v>0</v>
      </c>
      <c r="K31">
        <f t="shared" si="1"/>
        <v>0.28460000000000002</v>
      </c>
      <c r="L31">
        <f t="shared" si="1"/>
        <v>0.1673</v>
      </c>
      <c r="M31">
        <f t="shared" si="1"/>
        <v>0.1673</v>
      </c>
    </row>
    <row r="32" spans="1:13" x14ac:dyDescent="0.3">
      <c r="A32" t="s">
        <v>2</v>
      </c>
      <c r="B32">
        <f t="shared" si="1"/>
        <v>0</v>
      </c>
      <c r="C32">
        <f t="shared" si="1"/>
        <v>0</v>
      </c>
      <c r="D32">
        <f t="shared" si="1"/>
        <v>0</v>
      </c>
      <c r="E32">
        <f t="shared" si="1"/>
        <v>8.3699999999999997E-2</v>
      </c>
      <c r="F32">
        <f t="shared" si="1"/>
        <v>0</v>
      </c>
      <c r="G32">
        <f t="shared" si="1"/>
        <v>0</v>
      </c>
      <c r="H32">
        <f t="shared" si="1"/>
        <v>8.3699999999999997E-2</v>
      </c>
      <c r="I32">
        <f t="shared" si="1"/>
        <v>0</v>
      </c>
      <c r="J32">
        <f t="shared" si="1"/>
        <v>0.28460000000000002</v>
      </c>
      <c r="K32">
        <f t="shared" si="1"/>
        <v>0.28460000000000002</v>
      </c>
      <c r="L32">
        <f t="shared" si="1"/>
        <v>0.1673</v>
      </c>
      <c r="M32">
        <f t="shared" si="1"/>
        <v>0.18970000000000001</v>
      </c>
    </row>
    <row r="33" spans="1:13" x14ac:dyDescent="0.3">
      <c r="A33" t="s">
        <v>3</v>
      </c>
      <c r="B33">
        <f t="shared" si="1"/>
        <v>0.28460000000000002</v>
      </c>
      <c r="C33">
        <f t="shared" si="1"/>
        <v>0.251</v>
      </c>
      <c r="D33">
        <f t="shared" si="1"/>
        <v>0</v>
      </c>
      <c r="E33">
        <f t="shared" si="1"/>
        <v>0</v>
      </c>
      <c r="F33">
        <f t="shared" si="1"/>
        <v>8.3699999999999997E-2</v>
      </c>
      <c r="G33">
        <f t="shared" si="1"/>
        <v>0.1673</v>
      </c>
      <c r="H33">
        <f t="shared" si="1"/>
        <v>0.1673</v>
      </c>
      <c r="I33">
        <f t="shared" si="1"/>
        <v>0</v>
      </c>
      <c r="J33">
        <f t="shared" si="1"/>
        <v>0.1673</v>
      </c>
      <c r="K33">
        <f t="shared" si="1"/>
        <v>0.28460000000000002</v>
      </c>
      <c r="L33">
        <f t="shared" si="1"/>
        <v>0.251</v>
      </c>
      <c r="M33">
        <f t="shared" si="1"/>
        <v>0.18970000000000001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0</v>
      </c>
      <c r="D34">
        <f t="shared" si="2"/>
        <v>0</v>
      </c>
      <c r="E34">
        <f t="shared" si="2"/>
        <v>0</v>
      </c>
      <c r="F34">
        <f t="shared" si="2"/>
        <v>0</v>
      </c>
      <c r="G34">
        <f t="shared" si="2"/>
        <v>0.1673</v>
      </c>
      <c r="H34">
        <f t="shared" si="2"/>
        <v>0</v>
      </c>
      <c r="I34">
        <f t="shared" si="2"/>
        <v>0</v>
      </c>
      <c r="J34">
        <f t="shared" si="2"/>
        <v>0.1673</v>
      </c>
      <c r="K34">
        <f t="shared" si="2"/>
        <v>0.18970000000000001</v>
      </c>
      <c r="L34">
        <f t="shared" si="2"/>
        <v>0</v>
      </c>
      <c r="M34">
        <f t="shared" si="2"/>
        <v>0</v>
      </c>
    </row>
    <row r="35" spans="1:13" x14ac:dyDescent="0.3">
      <c r="A35" t="s">
        <v>5</v>
      </c>
      <c r="B35">
        <f t="shared" si="1"/>
        <v>0</v>
      </c>
      <c r="C35">
        <f t="shared" si="1"/>
        <v>0</v>
      </c>
      <c r="D35">
        <f t="shared" si="1"/>
        <v>0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0</v>
      </c>
      <c r="J35">
        <f t="shared" si="1"/>
        <v>0</v>
      </c>
      <c r="K35">
        <f t="shared" si="1"/>
        <v>0</v>
      </c>
      <c r="L35">
        <f t="shared" si="1"/>
        <v>0</v>
      </c>
      <c r="M35">
        <f t="shared" si="1"/>
        <v>0</v>
      </c>
    </row>
    <row r="36" spans="1:13" x14ac:dyDescent="0.3">
      <c r="A36" t="s">
        <v>6</v>
      </c>
      <c r="B36">
        <f t="shared" si="1"/>
        <v>0</v>
      </c>
      <c r="C36">
        <f t="shared" si="1"/>
        <v>0</v>
      </c>
      <c r="D36">
        <f t="shared" si="1"/>
        <v>0</v>
      </c>
      <c r="E36">
        <f t="shared" si="1"/>
        <v>0</v>
      </c>
      <c r="F36">
        <f t="shared" si="1"/>
        <v>0</v>
      </c>
      <c r="G36">
        <f t="shared" si="1"/>
        <v>0</v>
      </c>
      <c r="H36">
        <f t="shared" si="1"/>
        <v>0</v>
      </c>
      <c r="I36">
        <f t="shared" si="1"/>
        <v>0</v>
      </c>
      <c r="J36">
        <f t="shared" si="1"/>
        <v>0</v>
      </c>
      <c r="K36">
        <f t="shared" si="1"/>
        <v>0.1673</v>
      </c>
      <c r="L36">
        <f t="shared" si="1"/>
        <v>0</v>
      </c>
      <c r="M36">
        <f t="shared" si="1"/>
        <v>0</v>
      </c>
    </row>
    <row r="37" spans="1:13" x14ac:dyDescent="0.3">
      <c r="A37" t="s">
        <v>7</v>
      </c>
      <c r="B37">
        <f t="shared" si="1"/>
        <v>0</v>
      </c>
      <c r="C37">
        <f t="shared" si="1"/>
        <v>0</v>
      </c>
      <c r="D37">
        <f t="shared" si="1"/>
        <v>0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0</v>
      </c>
      <c r="K37">
        <f t="shared" si="1"/>
        <v>0.18970000000000001</v>
      </c>
      <c r="L37">
        <f t="shared" si="1"/>
        <v>0.28460000000000002</v>
      </c>
      <c r="M37">
        <f t="shared" si="1"/>
        <v>0.28460000000000002</v>
      </c>
    </row>
    <row r="38" spans="1:13" x14ac:dyDescent="0.3">
      <c r="A38" t="s">
        <v>8</v>
      </c>
      <c r="B38">
        <f t="shared" si="1"/>
        <v>8.3699999999999997E-2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0</v>
      </c>
      <c r="I38">
        <f t="shared" si="1"/>
        <v>0</v>
      </c>
      <c r="J38">
        <f t="shared" si="1"/>
        <v>0</v>
      </c>
      <c r="K38">
        <f t="shared" si="1"/>
        <v>0.28460000000000002</v>
      </c>
      <c r="L38">
        <f t="shared" si="1"/>
        <v>0.28460000000000002</v>
      </c>
      <c r="M38">
        <f t="shared" si="1"/>
        <v>0.18970000000000001</v>
      </c>
    </row>
    <row r="39" spans="1:13" x14ac:dyDescent="0.3">
      <c r="A39" t="s">
        <v>9</v>
      </c>
      <c r="B39">
        <f t="shared" si="1"/>
        <v>0</v>
      </c>
      <c r="C39">
        <f t="shared" si="1"/>
        <v>0</v>
      </c>
      <c r="D39">
        <f t="shared" si="1"/>
        <v>0</v>
      </c>
      <c r="E39">
        <f t="shared" si="1"/>
        <v>0</v>
      </c>
      <c r="F39">
        <f t="shared" si="1"/>
        <v>0</v>
      </c>
      <c r="G39">
        <f t="shared" si="1"/>
        <v>0</v>
      </c>
      <c r="H39">
        <f t="shared" si="1"/>
        <v>0</v>
      </c>
      <c r="I39">
        <f t="shared" si="1"/>
        <v>0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0</v>
      </c>
    </row>
    <row r="40" spans="1:13" x14ac:dyDescent="0.3">
      <c r="A40" t="s">
        <v>10</v>
      </c>
      <c r="B40">
        <f t="shared" si="1"/>
        <v>0</v>
      </c>
      <c r="C40">
        <f t="shared" si="1"/>
        <v>0</v>
      </c>
      <c r="D40">
        <f t="shared" si="1"/>
        <v>0</v>
      </c>
      <c r="E40">
        <f t="shared" si="1"/>
        <v>0</v>
      </c>
      <c r="F40">
        <f t="shared" si="1"/>
        <v>0</v>
      </c>
      <c r="G40">
        <f t="shared" si="1"/>
        <v>0</v>
      </c>
      <c r="H40">
        <f t="shared" si="1"/>
        <v>0</v>
      </c>
      <c r="I40">
        <f t="shared" si="1"/>
        <v>0</v>
      </c>
      <c r="J40">
        <f t="shared" si="1"/>
        <v>0</v>
      </c>
      <c r="K40">
        <f t="shared" si="1"/>
        <v>0</v>
      </c>
      <c r="L40">
        <f t="shared" si="1"/>
        <v>0</v>
      </c>
      <c r="M40">
        <f t="shared" si="1"/>
        <v>0.28460000000000002</v>
      </c>
    </row>
    <row r="41" spans="1:13" x14ac:dyDescent="0.3">
      <c r="A41" t="s">
        <v>11</v>
      </c>
      <c r="B41">
        <f t="shared" si="1"/>
        <v>0</v>
      </c>
      <c r="C41">
        <f t="shared" si="1"/>
        <v>0</v>
      </c>
      <c r="D41">
        <f t="shared" si="1"/>
        <v>0</v>
      </c>
      <c r="E41">
        <f t="shared" si="1"/>
        <v>0</v>
      </c>
      <c r="F41">
        <f t="shared" si="1"/>
        <v>0</v>
      </c>
      <c r="G41">
        <f t="shared" si="1"/>
        <v>0</v>
      </c>
      <c r="H41">
        <f t="shared" si="1"/>
        <v>0</v>
      </c>
      <c r="I41">
        <f t="shared" si="1"/>
        <v>0</v>
      </c>
      <c r="J41">
        <f t="shared" si="1"/>
        <v>0</v>
      </c>
      <c r="K41">
        <f t="shared" si="1"/>
        <v>0</v>
      </c>
      <c r="L41">
        <f t="shared" si="1"/>
        <v>0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0.1673</v>
      </c>
      <c r="D44">
        <f t="shared" si="3"/>
        <v>0.251</v>
      </c>
      <c r="E44">
        <f t="shared" si="3"/>
        <v>0.18970000000000001</v>
      </c>
      <c r="F44">
        <f t="shared" si="3"/>
        <v>0.251</v>
      </c>
      <c r="G44">
        <f t="shared" si="3"/>
        <v>7.0699999999999999E-2</v>
      </c>
      <c r="H44">
        <f t="shared" si="3"/>
        <v>0.251</v>
      </c>
      <c r="I44">
        <f t="shared" si="3"/>
        <v>0.251</v>
      </c>
      <c r="J44">
        <f t="shared" si="3"/>
        <v>0.28460000000000002</v>
      </c>
      <c r="K44">
        <f t="shared" si="3"/>
        <v>0</v>
      </c>
      <c r="L44">
        <f t="shared" si="3"/>
        <v>0.3795</v>
      </c>
      <c r="M44">
        <f t="shared" si="3"/>
        <v>0.3795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0.1414</v>
      </c>
      <c r="C45">
        <f t="shared" si="4"/>
        <v>0</v>
      </c>
      <c r="D45">
        <f t="shared" si="4"/>
        <v>0.3347</v>
      </c>
      <c r="E45">
        <f t="shared" si="4"/>
        <v>0.251</v>
      </c>
      <c r="F45">
        <f t="shared" si="4"/>
        <v>0.1673</v>
      </c>
      <c r="G45">
        <f t="shared" si="4"/>
        <v>0.21210000000000001</v>
      </c>
      <c r="H45">
        <f t="shared" si="4"/>
        <v>0.1673</v>
      </c>
      <c r="I45">
        <f t="shared" si="4"/>
        <v>7.0699999999999999E-2</v>
      </c>
      <c r="J45">
        <f t="shared" si="4"/>
        <v>5.4800000000000001E-2</v>
      </c>
      <c r="K45">
        <f t="shared" si="4"/>
        <v>0.3795</v>
      </c>
      <c r="L45">
        <f t="shared" si="4"/>
        <v>0.251</v>
      </c>
      <c r="M45">
        <f t="shared" si="4"/>
        <v>0.251</v>
      </c>
    </row>
    <row r="46" spans="1:13" x14ac:dyDescent="0.3">
      <c r="A46" t="s">
        <v>2</v>
      </c>
      <c r="B46">
        <f t="shared" si="4"/>
        <v>7.0699999999999999E-2</v>
      </c>
      <c r="C46">
        <f t="shared" si="4"/>
        <v>0</v>
      </c>
      <c r="D46">
        <f t="shared" si="4"/>
        <v>0</v>
      </c>
      <c r="E46">
        <f t="shared" si="4"/>
        <v>0.1673</v>
      </c>
      <c r="F46">
        <f t="shared" si="4"/>
        <v>0</v>
      </c>
      <c r="G46">
        <f t="shared" si="4"/>
        <v>0</v>
      </c>
      <c r="H46">
        <f t="shared" si="4"/>
        <v>0.1673</v>
      </c>
      <c r="I46">
        <f t="shared" si="4"/>
        <v>0</v>
      </c>
      <c r="J46">
        <f t="shared" si="4"/>
        <v>0.3795</v>
      </c>
      <c r="K46">
        <f t="shared" si="4"/>
        <v>0.3795</v>
      </c>
      <c r="L46">
        <f t="shared" si="4"/>
        <v>0.251</v>
      </c>
      <c r="M46">
        <f t="shared" si="4"/>
        <v>0.28460000000000002</v>
      </c>
    </row>
    <row r="47" spans="1:13" x14ac:dyDescent="0.3">
      <c r="A47" t="s">
        <v>3</v>
      </c>
      <c r="B47">
        <f t="shared" si="4"/>
        <v>0.3795</v>
      </c>
      <c r="C47">
        <f t="shared" si="4"/>
        <v>0.3347</v>
      </c>
      <c r="D47">
        <f t="shared" si="4"/>
        <v>7.0699999999999999E-2</v>
      </c>
      <c r="E47">
        <f t="shared" si="4"/>
        <v>0</v>
      </c>
      <c r="F47">
        <f t="shared" si="4"/>
        <v>0.1673</v>
      </c>
      <c r="G47">
        <f t="shared" si="4"/>
        <v>0.251</v>
      </c>
      <c r="H47">
        <f t="shared" si="4"/>
        <v>0.251</v>
      </c>
      <c r="I47">
        <f t="shared" si="4"/>
        <v>0</v>
      </c>
      <c r="J47">
        <f t="shared" si="4"/>
        <v>0.251</v>
      </c>
      <c r="K47">
        <f t="shared" si="4"/>
        <v>0.3795</v>
      </c>
      <c r="L47">
        <f t="shared" si="4"/>
        <v>0.3347</v>
      </c>
      <c r="M47">
        <f t="shared" si="4"/>
        <v>0.28460000000000002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0</v>
      </c>
      <c r="C48">
        <f t="shared" si="5"/>
        <v>7.0699999999999999E-2</v>
      </c>
      <c r="D48">
        <f t="shared" si="5"/>
        <v>5.4800000000000001E-2</v>
      </c>
      <c r="E48">
        <f t="shared" si="5"/>
        <v>0</v>
      </c>
      <c r="F48">
        <f t="shared" si="5"/>
        <v>0</v>
      </c>
      <c r="G48">
        <f t="shared" si="5"/>
        <v>0.251</v>
      </c>
      <c r="H48">
        <f t="shared" si="5"/>
        <v>8.3699999999999997E-2</v>
      </c>
      <c r="I48">
        <f t="shared" si="5"/>
        <v>0</v>
      </c>
      <c r="J48">
        <f t="shared" si="5"/>
        <v>0.251</v>
      </c>
      <c r="K48">
        <f t="shared" si="5"/>
        <v>0.28460000000000002</v>
      </c>
      <c r="L48">
        <f t="shared" si="5"/>
        <v>0</v>
      </c>
      <c r="M48">
        <f t="shared" si="5"/>
        <v>7.0699999999999999E-2</v>
      </c>
    </row>
    <row r="49" spans="1:13" x14ac:dyDescent="0.3">
      <c r="A49" t="s">
        <v>5</v>
      </c>
      <c r="B49">
        <f t="shared" si="4"/>
        <v>0</v>
      </c>
      <c r="C49">
        <f t="shared" si="4"/>
        <v>5.4800000000000001E-2</v>
      </c>
      <c r="D49">
        <f t="shared" si="4"/>
        <v>0</v>
      </c>
      <c r="E49">
        <f t="shared" si="4"/>
        <v>0</v>
      </c>
      <c r="F49">
        <f t="shared" si="4"/>
        <v>7.0699999999999999E-2</v>
      </c>
      <c r="G49">
        <f t="shared" si="4"/>
        <v>0</v>
      </c>
      <c r="H49">
        <f t="shared" si="4"/>
        <v>0</v>
      </c>
      <c r="I49">
        <f t="shared" si="4"/>
        <v>0</v>
      </c>
      <c r="J49">
        <f t="shared" si="4"/>
        <v>7.0699999999999999E-2</v>
      </c>
      <c r="K49">
        <f t="shared" si="4"/>
        <v>7.0699999999999999E-2</v>
      </c>
      <c r="L49">
        <f t="shared" si="4"/>
        <v>3.1600000000000003E-2</v>
      </c>
      <c r="M49">
        <f t="shared" si="4"/>
        <v>7.0699999999999999E-2</v>
      </c>
    </row>
    <row r="50" spans="1:13" x14ac:dyDescent="0.3">
      <c r="A50" t="s">
        <v>6</v>
      </c>
      <c r="B50">
        <f t="shared" si="4"/>
        <v>0</v>
      </c>
      <c r="C50">
        <f t="shared" si="4"/>
        <v>0</v>
      </c>
      <c r="D50">
        <f t="shared" si="4"/>
        <v>0</v>
      </c>
      <c r="E50">
        <f t="shared" si="4"/>
        <v>5.4800000000000001E-2</v>
      </c>
      <c r="F50">
        <f t="shared" si="4"/>
        <v>0</v>
      </c>
      <c r="G50">
        <f t="shared" si="4"/>
        <v>0</v>
      </c>
      <c r="H50">
        <f t="shared" si="4"/>
        <v>0</v>
      </c>
      <c r="I50">
        <f t="shared" si="4"/>
        <v>7.0699999999999999E-2</v>
      </c>
      <c r="J50">
        <f t="shared" si="4"/>
        <v>0</v>
      </c>
      <c r="K50">
        <f t="shared" si="4"/>
        <v>0.251</v>
      </c>
      <c r="L50">
        <f t="shared" si="4"/>
        <v>5.4800000000000001E-2</v>
      </c>
      <c r="M50">
        <f t="shared" si="4"/>
        <v>0</v>
      </c>
    </row>
    <row r="51" spans="1:13" x14ac:dyDescent="0.3">
      <c r="A51" t="s">
        <v>7</v>
      </c>
      <c r="B51">
        <f t="shared" si="4"/>
        <v>0</v>
      </c>
      <c r="C51">
        <f t="shared" si="4"/>
        <v>0</v>
      </c>
      <c r="D51">
        <f t="shared" si="4"/>
        <v>0</v>
      </c>
      <c r="E51">
        <f t="shared" si="4"/>
        <v>5.4800000000000001E-2</v>
      </c>
      <c r="F51">
        <f t="shared" si="4"/>
        <v>0</v>
      </c>
      <c r="G51">
        <f t="shared" si="4"/>
        <v>8.3699999999999997E-2</v>
      </c>
      <c r="H51">
        <f t="shared" si="4"/>
        <v>0</v>
      </c>
      <c r="I51">
        <f t="shared" si="4"/>
        <v>0</v>
      </c>
      <c r="J51">
        <f t="shared" si="4"/>
        <v>0</v>
      </c>
      <c r="K51">
        <f t="shared" si="4"/>
        <v>0.28460000000000002</v>
      </c>
      <c r="L51">
        <f t="shared" si="4"/>
        <v>0.3795</v>
      </c>
      <c r="M51">
        <f t="shared" si="4"/>
        <v>0.3795</v>
      </c>
    </row>
    <row r="52" spans="1:13" x14ac:dyDescent="0.3">
      <c r="A52" t="s">
        <v>8</v>
      </c>
      <c r="B52">
        <f t="shared" si="4"/>
        <v>0.1673</v>
      </c>
      <c r="C52">
        <f t="shared" si="4"/>
        <v>5.4800000000000001E-2</v>
      </c>
      <c r="D52">
        <f t="shared" si="4"/>
        <v>8.3699999999999997E-2</v>
      </c>
      <c r="E52">
        <f t="shared" si="4"/>
        <v>5.4800000000000001E-2</v>
      </c>
      <c r="F52">
        <f t="shared" si="4"/>
        <v>8.3699999999999997E-2</v>
      </c>
      <c r="G52">
        <f t="shared" si="4"/>
        <v>0</v>
      </c>
      <c r="H52">
        <f t="shared" si="4"/>
        <v>5.4800000000000001E-2</v>
      </c>
      <c r="I52">
        <f t="shared" si="4"/>
        <v>5.4800000000000001E-2</v>
      </c>
      <c r="J52">
        <f t="shared" si="4"/>
        <v>0</v>
      </c>
      <c r="K52">
        <f t="shared" si="4"/>
        <v>0.3795</v>
      </c>
      <c r="L52">
        <f t="shared" si="4"/>
        <v>0.3795</v>
      </c>
      <c r="M52">
        <f t="shared" si="4"/>
        <v>0.28460000000000002</v>
      </c>
    </row>
    <row r="53" spans="1:13" x14ac:dyDescent="0.3">
      <c r="A53" t="s">
        <v>9</v>
      </c>
      <c r="B53">
        <f t="shared" si="4"/>
        <v>0</v>
      </c>
      <c r="C53">
        <f t="shared" si="4"/>
        <v>7.0699999999999999E-2</v>
      </c>
      <c r="D53">
        <f t="shared" si="4"/>
        <v>7.0699999999999999E-2</v>
      </c>
      <c r="E53">
        <f t="shared" si="4"/>
        <v>5.4800000000000001E-2</v>
      </c>
      <c r="F53">
        <f t="shared" si="4"/>
        <v>7.0699999999999999E-2</v>
      </c>
      <c r="G53">
        <f t="shared" si="4"/>
        <v>0</v>
      </c>
      <c r="H53">
        <f t="shared" si="4"/>
        <v>0</v>
      </c>
      <c r="I53">
        <f t="shared" si="4"/>
        <v>7.0699999999999999E-2</v>
      </c>
      <c r="J53">
        <f t="shared" si="4"/>
        <v>0</v>
      </c>
      <c r="K53">
        <f t="shared" si="4"/>
        <v>0</v>
      </c>
      <c r="L53">
        <f t="shared" si="4"/>
        <v>0</v>
      </c>
      <c r="M53">
        <f t="shared" si="4"/>
        <v>0</v>
      </c>
    </row>
    <row r="54" spans="1:13" x14ac:dyDescent="0.3">
      <c r="A54" t="s">
        <v>10</v>
      </c>
      <c r="B54">
        <f t="shared" si="4"/>
        <v>0</v>
      </c>
      <c r="C54">
        <f t="shared" si="4"/>
        <v>5.4800000000000001E-2</v>
      </c>
      <c r="D54">
        <f t="shared" si="4"/>
        <v>0</v>
      </c>
      <c r="E54">
        <f t="shared" si="4"/>
        <v>0</v>
      </c>
      <c r="F54">
        <f t="shared" si="4"/>
        <v>0</v>
      </c>
      <c r="G54">
        <f t="shared" si="4"/>
        <v>0</v>
      </c>
      <c r="H54">
        <f t="shared" si="4"/>
        <v>8.3699999999999997E-2</v>
      </c>
      <c r="I54">
        <f t="shared" si="4"/>
        <v>0</v>
      </c>
      <c r="J54">
        <f t="shared" si="4"/>
        <v>0</v>
      </c>
      <c r="K54">
        <f t="shared" si="4"/>
        <v>0</v>
      </c>
      <c r="L54">
        <f t="shared" si="4"/>
        <v>0</v>
      </c>
      <c r="M54">
        <f t="shared" si="4"/>
        <v>0.3795</v>
      </c>
    </row>
    <row r="55" spans="1:13" x14ac:dyDescent="0.3">
      <c r="A55" t="s">
        <v>11</v>
      </c>
      <c r="B55">
        <f t="shared" si="4"/>
        <v>7.0699999999999999E-2</v>
      </c>
      <c r="C55">
        <f t="shared" si="4"/>
        <v>0</v>
      </c>
      <c r="D55">
        <f t="shared" si="4"/>
        <v>5.4800000000000001E-2</v>
      </c>
      <c r="E55">
        <f t="shared" si="4"/>
        <v>0</v>
      </c>
      <c r="F55">
        <f t="shared" si="4"/>
        <v>3.1600000000000003E-2</v>
      </c>
      <c r="G55">
        <f t="shared" si="4"/>
        <v>0</v>
      </c>
      <c r="H55">
        <f t="shared" si="4"/>
        <v>7.0699999999999999E-2</v>
      </c>
      <c r="I55">
        <f t="shared" si="4"/>
        <v>0</v>
      </c>
      <c r="J55">
        <f t="shared" si="4"/>
        <v>0</v>
      </c>
      <c r="K55">
        <f t="shared" si="4"/>
        <v>0</v>
      </c>
      <c r="L55">
        <f t="shared" si="4"/>
        <v>0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0.251</v>
      </c>
      <c r="D58">
        <f t="shared" si="6"/>
        <v>0.3347</v>
      </c>
      <c r="E58">
        <f t="shared" si="6"/>
        <v>0.28460000000000002</v>
      </c>
      <c r="F58">
        <f t="shared" si="6"/>
        <v>0.3347</v>
      </c>
      <c r="G58">
        <f t="shared" si="6"/>
        <v>0.1414</v>
      </c>
      <c r="H58">
        <f t="shared" si="6"/>
        <v>0.3347</v>
      </c>
      <c r="I58">
        <f t="shared" si="6"/>
        <v>0.3347</v>
      </c>
      <c r="J58">
        <f t="shared" si="6"/>
        <v>0.3795</v>
      </c>
      <c r="K58">
        <f t="shared" si="6"/>
        <v>7.0699999999999999E-2</v>
      </c>
      <c r="L58">
        <f t="shared" si="6"/>
        <v>0.3795</v>
      </c>
      <c r="M58">
        <f t="shared" si="6"/>
        <v>0.3795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0.21210000000000001</v>
      </c>
      <c r="C59">
        <f t="shared" si="7"/>
        <v>0</v>
      </c>
      <c r="D59">
        <f t="shared" si="7"/>
        <v>0.3347</v>
      </c>
      <c r="E59">
        <f t="shared" si="7"/>
        <v>0.3347</v>
      </c>
      <c r="F59">
        <f t="shared" si="7"/>
        <v>0.251</v>
      </c>
      <c r="G59">
        <f t="shared" si="7"/>
        <v>0.2828</v>
      </c>
      <c r="H59">
        <f t="shared" si="7"/>
        <v>0.251</v>
      </c>
      <c r="I59">
        <f t="shared" si="7"/>
        <v>0.1414</v>
      </c>
      <c r="J59">
        <f t="shared" si="7"/>
        <v>0.1095</v>
      </c>
      <c r="K59">
        <f t="shared" si="7"/>
        <v>0.3795</v>
      </c>
      <c r="L59">
        <f t="shared" si="7"/>
        <v>0.3347</v>
      </c>
      <c r="M59">
        <f t="shared" si="7"/>
        <v>0.3347</v>
      </c>
    </row>
    <row r="60" spans="1:13" x14ac:dyDescent="0.3">
      <c r="A60" t="s">
        <v>2</v>
      </c>
      <c r="B60">
        <f t="shared" si="7"/>
        <v>0.1414</v>
      </c>
      <c r="C60">
        <f t="shared" si="7"/>
        <v>7.0699999999999999E-2</v>
      </c>
      <c r="D60">
        <f t="shared" si="7"/>
        <v>0</v>
      </c>
      <c r="E60">
        <f t="shared" si="7"/>
        <v>0.251</v>
      </c>
      <c r="F60">
        <f t="shared" si="7"/>
        <v>5.4800000000000001E-2</v>
      </c>
      <c r="G60">
        <f t="shared" si="7"/>
        <v>5.4800000000000001E-2</v>
      </c>
      <c r="H60">
        <f t="shared" si="7"/>
        <v>0.251</v>
      </c>
      <c r="I60">
        <f t="shared" si="7"/>
        <v>5.4800000000000001E-2</v>
      </c>
      <c r="J60">
        <f t="shared" si="7"/>
        <v>0.3795</v>
      </c>
      <c r="K60">
        <f t="shared" si="7"/>
        <v>0.3795</v>
      </c>
      <c r="L60">
        <f t="shared" si="7"/>
        <v>0.3347</v>
      </c>
      <c r="M60">
        <f t="shared" si="7"/>
        <v>0.3795</v>
      </c>
    </row>
    <row r="61" spans="1:13" x14ac:dyDescent="0.3">
      <c r="A61" t="s">
        <v>3</v>
      </c>
      <c r="B61">
        <f t="shared" si="7"/>
        <v>0.3795</v>
      </c>
      <c r="C61">
        <f t="shared" si="7"/>
        <v>0.3347</v>
      </c>
      <c r="D61">
        <f t="shared" si="7"/>
        <v>0.1414</v>
      </c>
      <c r="E61">
        <f t="shared" si="7"/>
        <v>0</v>
      </c>
      <c r="F61">
        <f t="shared" si="7"/>
        <v>0.251</v>
      </c>
      <c r="G61">
        <f t="shared" si="7"/>
        <v>0.3347</v>
      </c>
      <c r="H61">
        <f t="shared" si="7"/>
        <v>0.3347</v>
      </c>
      <c r="I61">
        <f t="shared" si="7"/>
        <v>7.0699999999999999E-2</v>
      </c>
      <c r="J61">
        <f t="shared" si="7"/>
        <v>0.3347</v>
      </c>
      <c r="K61">
        <f t="shared" si="7"/>
        <v>0.3795</v>
      </c>
      <c r="L61">
        <f t="shared" si="7"/>
        <v>0.3347</v>
      </c>
      <c r="M61">
        <f t="shared" si="7"/>
        <v>0.3795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8.3699999999999997E-2</v>
      </c>
      <c r="C62">
        <f t="shared" si="8"/>
        <v>0.1414</v>
      </c>
      <c r="D62">
        <f t="shared" si="8"/>
        <v>0.1095</v>
      </c>
      <c r="E62">
        <f t="shared" si="8"/>
        <v>7.0699999999999999E-2</v>
      </c>
      <c r="F62">
        <f t="shared" si="8"/>
        <v>0</v>
      </c>
      <c r="G62">
        <f t="shared" si="8"/>
        <v>0.3347</v>
      </c>
      <c r="H62">
        <f t="shared" si="8"/>
        <v>0.1673</v>
      </c>
      <c r="I62">
        <f t="shared" si="8"/>
        <v>5.4800000000000001E-2</v>
      </c>
      <c r="J62">
        <f t="shared" si="8"/>
        <v>0.3347</v>
      </c>
      <c r="K62">
        <f t="shared" si="8"/>
        <v>0.3795</v>
      </c>
      <c r="L62">
        <f t="shared" si="8"/>
        <v>7.0699999999999999E-2</v>
      </c>
      <c r="M62">
        <f t="shared" si="8"/>
        <v>0.1414</v>
      </c>
    </row>
    <row r="63" spans="1:13" x14ac:dyDescent="0.3">
      <c r="A63" t="s">
        <v>5</v>
      </c>
      <c r="B63">
        <f t="shared" si="7"/>
        <v>8.3699999999999997E-2</v>
      </c>
      <c r="C63">
        <f t="shared" si="7"/>
        <v>0.1095</v>
      </c>
      <c r="D63">
        <f t="shared" si="7"/>
        <v>5.4800000000000001E-2</v>
      </c>
      <c r="E63">
        <f t="shared" si="7"/>
        <v>5.4800000000000001E-2</v>
      </c>
      <c r="F63">
        <f t="shared" si="7"/>
        <v>0.1414</v>
      </c>
      <c r="G63">
        <f t="shared" si="7"/>
        <v>0</v>
      </c>
      <c r="H63">
        <f t="shared" si="7"/>
        <v>7.0699999999999999E-2</v>
      </c>
      <c r="I63">
        <f t="shared" si="7"/>
        <v>7.0699999999999999E-2</v>
      </c>
      <c r="J63">
        <f t="shared" si="7"/>
        <v>0.1414</v>
      </c>
      <c r="K63">
        <f t="shared" si="7"/>
        <v>0.1414</v>
      </c>
      <c r="L63">
        <f t="shared" si="7"/>
        <v>6.3200000000000006E-2</v>
      </c>
      <c r="M63">
        <f t="shared" si="7"/>
        <v>0.1414</v>
      </c>
    </row>
    <row r="64" spans="1:13" x14ac:dyDescent="0.3">
      <c r="A64" t="s">
        <v>6</v>
      </c>
      <c r="B64">
        <f t="shared" si="7"/>
        <v>5.4800000000000001E-2</v>
      </c>
      <c r="C64">
        <f t="shared" si="7"/>
        <v>7.0699999999999999E-2</v>
      </c>
      <c r="D64">
        <f t="shared" si="7"/>
        <v>7.0699999999999999E-2</v>
      </c>
      <c r="E64">
        <f t="shared" si="7"/>
        <v>0.1095</v>
      </c>
      <c r="F64">
        <f t="shared" si="7"/>
        <v>7.0699999999999999E-2</v>
      </c>
      <c r="G64">
        <f t="shared" si="7"/>
        <v>8.3699999999999997E-2</v>
      </c>
      <c r="H64">
        <f t="shared" si="7"/>
        <v>0</v>
      </c>
      <c r="I64">
        <f t="shared" si="7"/>
        <v>0.1414</v>
      </c>
      <c r="J64">
        <f t="shared" si="7"/>
        <v>7.0699999999999999E-2</v>
      </c>
      <c r="K64">
        <f t="shared" si="7"/>
        <v>0.3347</v>
      </c>
      <c r="L64">
        <f t="shared" si="7"/>
        <v>0.1095</v>
      </c>
      <c r="M64">
        <f t="shared" si="7"/>
        <v>7.0699999999999999E-2</v>
      </c>
    </row>
    <row r="65" spans="1:13" x14ac:dyDescent="0.3">
      <c r="A65" t="s">
        <v>7</v>
      </c>
      <c r="B65">
        <f t="shared" si="7"/>
        <v>5.4800000000000001E-2</v>
      </c>
      <c r="C65">
        <f t="shared" si="7"/>
        <v>7.0699999999999999E-2</v>
      </c>
      <c r="D65">
        <f t="shared" si="7"/>
        <v>7.0699999999999999E-2</v>
      </c>
      <c r="E65">
        <f t="shared" si="7"/>
        <v>0.1095</v>
      </c>
      <c r="F65">
        <f t="shared" si="7"/>
        <v>7.0699999999999999E-2</v>
      </c>
      <c r="G65">
        <f t="shared" si="7"/>
        <v>0.1673</v>
      </c>
      <c r="H65">
        <f t="shared" si="7"/>
        <v>7.0699999999999999E-2</v>
      </c>
      <c r="I65">
        <f t="shared" si="7"/>
        <v>0</v>
      </c>
      <c r="J65">
        <f t="shared" si="7"/>
        <v>5.4800000000000001E-2</v>
      </c>
      <c r="K65">
        <f t="shared" si="7"/>
        <v>0.3795</v>
      </c>
      <c r="L65">
        <f t="shared" si="7"/>
        <v>0.3795</v>
      </c>
      <c r="M65">
        <f t="shared" si="7"/>
        <v>0.3795</v>
      </c>
    </row>
    <row r="66" spans="1:13" x14ac:dyDescent="0.3">
      <c r="A66" t="s">
        <v>8</v>
      </c>
      <c r="B66">
        <f t="shared" si="7"/>
        <v>0.251</v>
      </c>
      <c r="C66">
        <f t="shared" si="7"/>
        <v>0.1095</v>
      </c>
      <c r="D66">
        <f t="shared" si="7"/>
        <v>0.1673</v>
      </c>
      <c r="E66">
        <f t="shared" si="7"/>
        <v>0.1095</v>
      </c>
      <c r="F66">
        <f t="shared" si="7"/>
        <v>0.1673</v>
      </c>
      <c r="G66">
        <f t="shared" si="7"/>
        <v>5.4800000000000001E-2</v>
      </c>
      <c r="H66">
        <f t="shared" si="7"/>
        <v>0.1095</v>
      </c>
      <c r="I66">
        <f t="shared" si="7"/>
        <v>0.1095</v>
      </c>
      <c r="J66">
        <f t="shared" si="7"/>
        <v>0</v>
      </c>
      <c r="K66">
        <f t="shared" si="7"/>
        <v>0.3795</v>
      </c>
      <c r="L66">
        <f t="shared" si="7"/>
        <v>0.3795</v>
      </c>
      <c r="M66">
        <f t="shared" si="7"/>
        <v>0.3795</v>
      </c>
    </row>
    <row r="67" spans="1:13" x14ac:dyDescent="0.3">
      <c r="A67" t="s">
        <v>9</v>
      </c>
      <c r="B67">
        <f t="shared" si="7"/>
        <v>5.4800000000000001E-2</v>
      </c>
      <c r="C67">
        <f t="shared" si="7"/>
        <v>0.1414</v>
      </c>
      <c r="D67">
        <f t="shared" si="7"/>
        <v>0.1414</v>
      </c>
      <c r="E67">
        <f t="shared" si="7"/>
        <v>0.1095</v>
      </c>
      <c r="F67">
        <f t="shared" si="7"/>
        <v>0.1414</v>
      </c>
      <c r="G67">
        <f t="shared" si="7"/>
        <v>7.0699999999999999E-2</v>
      </c>
      <c r="H67">
        <f t="shared" si="7"/>
        <v>7.0699999999999999E-2</v>
      </c>
      <c r="I67">
        <f t="shared" si="7"/>
        <v>0.1414</v>
      </c>
      <c r="J67">
        <f t="shared" si="7"/>
        <v>7.0699999999999999E-2</v>
      </c>
      <c r="K67">
        <f t="shared" si="7"/>
        <v>0</v>
      </c>
      <c r="L67">
        <f t="shared" si="7"/>
        <v>3.1600000000000003E-2</v>
      </c>
      <c r="M67">
        <f t="shared" si="7"/>
        <v>8.3699999999999997E-2</v>
      </c>
    </row>
    <row r="68" spans="1:13" x14ac:dyDescent="0.3">
      <c r="A68" t="s">
        <v>10</v>
      </c>
      <c r="B68">
        <f t="shared" si="7"/>
        <v>7.0699999999999999E-2</v>
      </c>
      <c r="C68">
        <f t="shared" si="7"/>
        <v>0.1095</v>
      </c>
      <c r="D68">
        <f t="shared" si="7"/>
        <v>8.3699999999999997E-2</v>
      </c>
      <c r="E68">
        <f t="shared" si="7"/>
        <v>3.1600000000000003E-2</v>
      </c>
      <c r="F68">
        <f t="shared" si="7"/>
        <v>7.0699999999999999E-2</v>
      </c>
      <c r="G68">
        <f t="shared" si="7"/>
        <v>3.1600000000000003E-2</v>
      </c>
      <c r="H68">
        <f t="shared" si="7"/>
        <v>0.1673</v>
      </c>
      <c r="I68">
        <f t="shared" si="7"/>
        <v>5.4800000000000001E-2</v>
      </c>
      <c r="J68">
        <f t="shared" si="7"/>
        <v>5.4800000000000001E-2</v>
      </c>
      <c r="K68">
        <f t="shared" si="7"/>
        <v>7.0699999999999999E-2</v>
      </c>
      <c r="L68">
        <f t="shared" si="7"/>
        <v>0</v>
      </c>
      <c r="M68">
        <f t="shared" si="7"/>
        <v>0.3795</v>
      </c>
    </row>
    <row r="69" spans="1:13" x14ac:dyDescent="0.3">
      <c r="A69" t="s">
        <v>11</v>
      </c>
      <c r="B69">
        <f t="shared" si="7"/>
        <v>0.1414</v>
      </c>
      <c r="C69">
        <f t="shared" si="7"/>
        <v>7.0699999999999999E-2</v>
      </c>
      <c r="D69">
        <f t="shared" si="7"/>
        <v>0.1095</v>
      </c>
      <c r="E69">
        <f t="shared" si="7"/>
        <v>7.0699999999999999E-2</v>
      </c>
      <c r="F69">
        <f t="shared" si="7"/>
        <v>6.3200000000000006E-2</v>
      </c>
      <c r="G69">
        <f t="shared" si="7"/>
        <v>5.4800000000000001E-2</v>
      </c>
      <c r="H69">
        <f t="shared" si="7"/>
        <v>0.1414</v>
      </c>
      <c r="I69">
        <f t="shared" si="7"/>
        <v>7.0699999999999999E-2</v>
      </c>
      <c r="J69">
        <f t="shared" si="7"/>
        <v>7.0699999999999999E-2</v>
      </c>
      <c r="K69">
        <f t="shared" si="7"/>
        <v>7.0699999999999999E-2</v>
      </c>
      <c r="L69">
        <f t="shared" si="7"/>
        <v>8.3699999999999997E-2</v>
      </c>
      <c r="M69">
        <f t="shared" si="7"/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1"/>
  <dimension ref="A1:M69"/>
  <sheetViews>
    <sheetView workbookViewId="0">
      <selection activeCell="A15" sqref="A15:M69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21</v>
      </c>
      <c r="D2" t="s">
        <v>13</v>
      </c>
      <c r="E2" t="s">
        <v>12</v>
      </c>
      <c r="F2" t="s">
        <v>21</v>
      </c>
      <c r="G2" t="s">
        <v>18</v>
      </c>
      <c r="H2" t="s">
        <v>25</v>
      </c>
      <c r="I2" t="s">
        <v>18</v>
      </c>
      <c r="J2" t="s">
        <v>13</v>
      </c>
      <c r="K2" t="s">
        <v>16</v>
      </c>
      <c r="L2" s="6" t="s">
        <v>25</v>
      </c>
      <c r="M2" t="s">
        <v>18</v>
      </c>
    </row>
    <row r="3" spans="1:13" x14ac:dyDescent="0.3">
      <c r="A3" s="1" t="s">
        <v>1</v>
      </c>
      <c r="B3" t="s">
        <v>17</v>
      </c>
      <c r="C3">
        <v>0</v>
      </c>
      <c r="D3" t="s">
        <v>13</v>
      </c>
      <c r="E3" t="s">
        <v>19</v>
      </c>
      <c r="F3" t="s">
        <v>21</v>
      </c>
      <c r="G3" t="s">
        <v>71</v>
      </c>
      <c r="H3" t="s">
        <v>23</v>
      </c>
      <c r="I3" t="s">
        <v>15</v>
      </c>
      <c r="J3" t="s">
        <v>22</v>
      </c>
      <c r="K3" t="s">
        <v>18</v>
      </c>
      <c r="L3" s="6" t="s">
        <v>16</v>
      </c>
      <c r="M3" t="s">
        <v>18</v>
      </c>
    </row>
    <row r="4" spans="1:13" x14ac:dyDescent="0.3">
      <c r="A4" s="1" t="s">
        <v>2</v>
      </c>
      <c r="B4" t="s">
        <v>16</v>
      </c>
      <c r="C4" t="s">
        <v>24</v>
      </c>
      <c r="D4">
        <v>0</v>
      </c>
      <c r="E4" t="s">
        <v>12</v>
      </c>
      <c r="F4" t="s">
        <v>15</v>
      </c>
      <c r="G4" t="s">
        <v>12</v>
      </c>
      <c r="H4" t="s">
        <v>19</v>
      </c>
      <c r="I4" t="s">
        <v>24</v>
      </c>
      <c r="J4" t="s">
        <v>13</v>
      </c>
      <c r="K4" t="s">
        <v>25</v>
      </c>
      <c r="L4" s="6" t="s">
        <v>13</v>
      </c>
      <c r="M4" t="s">
        <v>13</v>
      </c>
    </row>
    <row r="5" spans="1:13" x14ac:dyDescent="0.3">
      <c r="A5" s="1" t="s">
        <v>3</v>
      </c>
      <c r="B5" t="s">
        <v>12</v>
      </c>
      <c r="C5" t="s">
        <v>20</v>
      </c>
      <c r="D5" t="s">
        <v>12</v>
      </c>
      <c r="E5">
        <v>0</v>
      </c>
      <c r="F5" t="s">
        <v>12</v>
      </c>
      <c r="G5" t="s">
        <v>12</v>
      </c>
      <c r="H5" t="s">
        <v>13</v>
      </c>
      <c r="I5" t="s">
        <v>12</v>
      </c>
      <c r="J5" t="s">
        <v>13</v>
      </c>
      <c r="K5" t="s">
        <v>18</v>
      </c>
      <c r="L5" s="6" t="s">
        <v>12</v>
      </c>
      <c r="M5" t="s">
        <v>13</v>
      </c>
    </row>
    <row r="6" spans="1:13" x14ac:dyDescent="0.3">
      <c r="A6" s="1" t="s">
        <v>4</v>
      </c>
      <c r="B6" t="s">
        <v>24</v>
      </c>
      <c r="C6" t="s">
        <v>15</v>
      </c>
      <c r="D6" t="s">
        <v>16</v>
      </c>
      <c r="E6" t="s">
        <v>16</v>
      </c>
      <c r="F6">
        <v>0</v>
      </c>
      <c r="G6" t="s">
        <v>25</v>
      </c>
      <c r="H6" t="s">
        <v>15</v>
      </c>
      <c r="I6" t="s">
        <v>22</v>
      </c>
      <c r="J6" t="s">
        <v>13</v>
      </c>
      <c r="K6" t="s">
        <v>13</v>
      </c>
      <c r="L6" s="6" t="s">
        <v>17</v>
      </c>
      <c r="M6" t="s">
        <v>15</v>
      </c>
    </row>
    <row r="7" spans="1:13" x14ac:dyDescent="0.3">
      <c r="A7" s="1" t="s">
        <v>5</v>
      </c>
      <c r="B7" t="s">
        <v>20</v>
      </c>
      <c r="C7" t="s">
        <v>20</v>
      </c>
      <c r="D7" t="s">
        <v>62</v>
      </c>
      <c r="E7" t="s">
        <v>24</v>
      </c>
      <c r="F7" t="s">
        <v>71</v>
      </c>
      <c r="G7">
        <v>0</v>
      </c>
      <c r="H7" t="s">
        <v>16</v>
      </c>
      <c r="I7" t="s">
        <v>24</v>
      </c>
      <c r="J7" t="s">
        <v>17</v>
      </c>
      <c r="K7" t="s">
        <v>24</v>
      </c>
      <c r="L7" t="s">
        <v>23</v>
      </c>
      <c r="M7" t="s">
        <v>16</v>
      </c>
    </row>
    <row r="8" spans="1:13" x14ac:dyDescent="0.3">
      <c r="A8" s="1" t="s">
        <v>6</v>
      </c>
      <c r="B8" t="s">
        <v>18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>
        <v>0</v>
      </c>
      <c r="I8" t="s">
        <v>20</v>
      </c>
      <c r="J8" t="s">
        <v>18</v>
      </c>
      <c r="K8" t="s">
        <v>18</v>
      </c>
      <c r="L8" t="s">
        <v>18</v>
      </c>
      <c r="M8" t="s">
        <v>18</v>
      </c>
    </row>
    <row r="9" spans="1:13" x14ac:dyDescent="0.3">
      <c r="A9" s="1" t="s">
        <v>7</v>
      </c>
      <c r="B9" t="s">
        <v>24</v>
      </c>
      <c r="C9" t="s">
        <v>62</v>
      </c>
      <c r="D9" t="s">
        <v>71</v>
      </c>
      <c r="E9" t="s">
        <v>71</v>
      </c>
      <c r="F9" t="s">
        <v>16</v>
      </c>
      <c r="G9" t="s">
        <v>24</v>
      </c>
      <c r="H9" t="s">
        <v>24</v>
      </c>
      <c r="I9">
        <v>0</v>
      </c>
      <c r="J9" t="s">
        <v>24</v>
      </c>
      <c r="K9" t="s">
        <v>18</v>
      </c>
      <c r="L9" t="s">
        <v>13</v>
      </c>
      <c r="M9" t="s">
        <v>13</v>
      </c>
    </row>
    <row r="10" spans="1:13" x14ac:dyDescent="0.3">
      <c r="A10" s="1" t="s">
        <v>8</v>
      </c>
      <c r="B10" t="s">
        <v>22</v>
      </c>
      <c r="C10" t="s">
        <v>15</v>
      </c>
      <c r="D10" t="s">
        <v>20</v>
      </c>
      <c r="E10" t="s">
        <v>20</v>
      </c>
      <c r="F10" t="s">
        <v>15</v>
      </c>
      <c r="G10" t="s">
        <v>71</v>
      </c>
      <c r="H10" t="s">
        <v>16</v>
      </c>
      <c r="I10" t="s">
        <v>24</v>
      </c>
      <c r="J10">
        <v>0</v>
      </c>
      <c r="K10" t="s">
        <v>25</v>
      </c>
      <c r="L10" t="s">
        <v>12</v>
      </c>
      <c r="M10" t="s">
        <v>18</v>
      </c>
    </row>
    <row r="11" spans="1:13" x14ac:dyDescent="0.3">
      <c r="A11" s="1" t="s">
        <v>9</v>
      </c>
      <c r="B11" t="s">
        <v>15</v>
      </c>
      <c r="C11" t="s">
        <v>23</v>
      </c>
      <c r="D11" t="s">
        <v>23</v>
      </c>
      <c r="E11" t="s">
        <v>15</v>
      </c>
      <c r="F11" t="s">
        <v>16</v>
      </c>
      <c r="G11" t="s">
        <v>15</v>
      </c>
      <c r="H11" t="s">
        <v>15</v>
      </c>
      <c r="I11" t="s">
        <v>20</v>
      </c>
      <c r="J11" t="s">
        <v>16</v>
      </c>
      <c r="K11">
        <v>0</v>
      </c>
      <c r="L11" t="s">
        <v>23</v>
      </c>
      <c r="M11" t="s">
        <v>15</v>
      </c>
    </row>
    <row r="12" spans="1:13" x14ac:dyDescent="0.3">
      <c r="A12" s="1" t="s">
        <v>10</v>
      </c>
      <c r="B12" t="s">
        <v>23</v>
      </c>
      <c r="C12" t="s">
        <v>62</v>
      </c>
      <c r="D12" t="s">
        <v>20</v>
      </c>
      <c r="E12" t="s">
        <v>20</v>
      </c>
      <c r="F12" t="s">
        <v>16</v>
      </c>
      <c r="G12" t="s">
        <v>24</v>
      </c>
      <c r="H12" t="s">
        <v>20</v>
      </c>
      <c r="I12" t="s">
        <v>24</v>
      </c>
      <c r="J12" t="s">
        <v>15</v>
      </c>
      <c r="K12" t="s">
        <v>24</v>
      </c>
      <c r="L12">
        <v>0</v>
      </c>
      <c r="M12" t="s">
        <v>13</v>
      </c>
    </row>
    <row r="13" spans="1:13" x14ac:dyDescent="0.3">
      <c r="A13" s="1" t="s">
        <v>11</v>
      </c>
      <c r="B13" t="s">
        <v>17</v>
      </c>
      <c r="C13" t="s">
        <v>24</v>
      </c>
      <c r="D13" t="s">
        <v>71</v>
      </c>
      <c r="E13" t="s">
        <v>23</v>
      </c>
      <c r="F13" t="s">
        <v>16</v>
      </c>
      <c r="G13" t="s">
        <v>24</v>
      </c>
      <c r="H13" t="s">
        <v>24</v>
      </c>
      <c r="I13" t="s">
        <v>20</v>
      </c>
      <c r="J13" t="s">
        <v>62</v>
      </c>
      <c r="K13" t="s">
        <v>20</v>
      </c>
      <c r="L13" t="s">
        <v>24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(0,0837; 0,1673; 0,251)</v>
      </c>
      <c r="D16" t="str">
        <f>VLOOKUP(D2,'Thang đánh giá'!$C$2:$D$27,2,FALSE)</f>
        <v>(0,1897; 0,2846; 0,3795)</v>
      </c>
      <c r="E16" t="str">
        <f>VLOOKUP(E2,'Thang đánh giá'!$C$2:$D$27,2,FALSE)</f>
        <v>(0,1673; 0,251; 0,3347)</v>
      </c>
      <c r="F16" t="str">
        <f>VLOOKUP(F2,'Thang đánh giá'!$C$2:$D$27,2,FALSE)</f>
        <v>(0,0837; 0,1673; 0,251)</v>
      </c>
      <c r="G16" t="str">
        <f>VLOOKUP(G2,'Thang đánh giá'!$C$2:$D$27,2,FALSE)</f>
        <v>(0,2846; 0,3795; 0,3795)</v>
      </c>
      <c r="H16" t="str">
        <f>VLOOKUP(H2,'Thang đánh giá'!$C$2:$D$27,2,FALSE)</f>
        <v>(0,251; 0,3347; 0,3347)</v>
      </c>
      <c r="I16" t="str">
        <f>VLOOKUP(I2,'Thang đánh giá'!$C$2:$D$27,2,FALSE)</f>
        <v>(0,2846; 0,3795; 0,3795)</v>
      </c>
      <c r="J16" t="str">
        <f>VLOOKUP(J2,'Thang đánh giá'!$C$2:$D$27,2,FALSE)</f>
        <v>(0,1897; 0,2846; 0,3795)</v>
      </c>
      <c r="K16" t="str">
        <f>VLOOKUP(K2,'Thang đánh giá'!$C$2:$D$27,2,FALSE)</f>
        <v>(0; 0; 0,0707)</v>
      </c>
      <c r="L16" t="str">
        <f>VLOOKUP(L2,'Thang đánh giá'!$C$2:$D$27,2,FALSE)</f>
        <v>(0,251; 0,3347; 0,3347)</v>
      </c>
      <c r="M16" t="str">
        <f>VLOOKUP(M2,'Thang đánh giá'!$C$2:$D$27,2,FALSE)</f>
        <v>(0,2846; 0,3795; 0,3795)</v>
      </c>
    </row>
    <row r="17" spans="1:13" x14ac:dyDescent="0.3">
      <c r="A17" t="s">
        <v>1</v>
      </c>
      <c r="B17" t="str">
        <f>VLOOKUP(B3,'Thang đánh giá'!$C$2:$D$27,2,FALSE)</f>
        <v>(0; 0,0316; 0,0632)</v>
      </c>
      <c r="C17" t="str">
        <f>VLOOKUP(C3,'Thang đánh giá'!$C$2:$D$27,2,FALSE)</f>
        <v>(0; 0; 0)</v>
      </c>
      <c r="D17" t="str">
        <f>VLOOKUP(D3,'Thang đánh giá'!$C$2:$D$27,2,FALSE)</f>
        <v>(0,1897; 0,2846; 0,3795)</v>
      </c>
      <c r="E17" t="str">
        <f>VLOOKUP(E3,'Thang đánh giá'!$C$2:$D$27,2,FALSE)</f>
        <v>(0,1414; 0,2121; 0,2828)</v>
      </c>
      <c r="F17" t="str">
        <f>VLOOKUP(F3,'Thang đánh giá'!$C$2:$D$27,2,FALSE)</f>
        <v>(0,0837; 0,1673; 0,251)</v>
      </c>
      <c r="G17" t="str">
        <f>VLOOKUP(G3,'Thang đánh giá'!$C$2:$D$27,2,FALSE)</f>
        <v>(0; 0; 0,0837)</v>
      </c>
      <c r="H17" t="str">
        <f>VLOOKUP(H3,'Thang đánh giá'!$C$2:$D$27,2,FALSE)</f>
        <v>(0; 0; 0,0316)</v>
      </c>
      <c r="I17" t="str">
        <f>VLOOKUP(I3,'Thang đánh giá'!$C$2:$D$27,2,FALSE)</f>
        <v>(0; 0,0707; 0,1414)</v>
      </c>
      <c r="J17" t="str">
        <f>VLOOKUP(J3,'Thang đánh giá'!$C$2:$D$27,2,FALSE)</f>
        <v>(0,0707; 0,1414; 0,2121)</v>
      </c>
      <c r="K17" t="str">
        <f>VLOOKUP(K3,'Thang đánh giá'!$C$2:$D$27,2,FALSE)</f>
        <v>(0,2846; 0,3795; 0,3795)</v>
      </c>
      <c r="L17" t="str">
        <f>VLOOKUP(L3,'Thang đánh giá'!$C$2:$D$27,2,FALSE)</f>
        <v>(0; 0; 0,0707)</v>
      </c>
      <c r="M17" t="str">
        <f>VLOOKUP(M3,'Thang đánh giá'!$C$2:$D$27,2,FALSE)</f>
        <v>(0,2846; 0,3795; 0,3795)</v>
      </c>
    </row>
    <row r="18" spans="1:13" x14ac:dyDescent="0.3">
      <c r="A18" t="s">
        <v>2</v>
      </c>
      <c r="B18" t="str">
        <f>VLOOKUP(B4,'Thang đánh giá'!$C$2:$D$27,2,FALSE)</f>
        <v>(0; 0; 0,0707)</v>
      </c>
      <c r="C18" t="str">
        <f>VLOOKUP(C4,'Thang đánh giá'!$C$2:$D$27,2,FALSE)</f>
        <v>(0; 0; 0,0548)</v>
      </c>
      <c r="D18" t="str">
        <f>VLOOKUP(D4,'Thang đánh giá'!$C$2:$D$27,2,FALSE)</f>
        <v>(0; 0; 0)</v>
      </c>
      <c r="E18" t="str">
        <f>VLOOKUP(E4,'Thang đánh giá'!$C$2:$D$27,2,FALSE)</f>
        <v>(0,1673; 0,251; 0,3347)</v>
      </c>
      <c r="F18" t="str">
        <f>VLOOKUP(F4,'Thang đánh giá'!$C$2:$D$27,2,FALSE)</f>
        <v>(0; 0,0707; 0,1414)</v>
      </c>
      <c r="G18" t="str">
        <f>VLOOKUP(G4,'Thang đánh giá'!$C$2:$D$27,2,FALSE)</f>
        <v>(0,1673; 0,251; 0,3347)</v>
      </c>
      <c r="H18" t="str">
        <f>VLOOKUP(H4,'Thang đánh giá'!$C$2:$D$27,2,FALSE)</f>
        <v>(0,1414; 0,2121; 0,2828)</v>
      </c>
      <c r="I18" t="str">
        <f>VLOOKUP(I4,'Thang đánh giá'!$C$2:$D$27,2,FALSE)</f>
        <v>(0; 0; 0,0548)</v>
      </c>
      <c r="J18" t="str">
        <f>VLOOKUP(J4,'Thang đánh giá'!$C$2:$D$27,2,FALSE)</f>
        <v>(0,1897; 0,2846; 0,3795)</v>
      </c>
      <c r="K18" t="str">
        <f>VLOOKUP(K4,'Thang đánh giá'!$C$2:$D$27,2,FALSE)</f>
        <v>(0,251; 0,3347; 0,3347)</v>
      </c>
      <c r="L18" t="str">
        <f>VLOOKUP(L4,'Thang đánh giá'!$C$2:$D$27,2,FALSE)</f>
        <v>(0,1897; 0,2846; 0,3795)</v>
      </c>
      <c r="M18" t="str">
        <f>VLOOKUP(M4,'Thang đánh giá'!$C$2:$D$27,2,FALSE)</f>
        <v>(0,1897; 0,2846; 0,3795)</v>
      </c>
    </row>
    <row r="19" spans="1:13" x14ac:dyDescent="0.3">
      <c r="A19" t="s">
        <v>3</v>
      </c>
      <c r="B19" t="str">
        <f>VLOOKUP(B5,'Thang đánh giá'!$C$2:$D$27,2,FALSE)</f>
        <v>(0,1673; 0,251; 0,3347)</v>
      </c>
      <c r="C19" t="str">
        <f>VLOOKUP(C5,'Thang đánh giá'!$C$2:$D$27,2,FALSE)</f>
        <v>(0; 0,0548; 0,1095)</v>
      </c>
      <c r="D19" t="str">
        <f>VLOOKUP(D5,'Thang đánh giá'!$C$2:$D$27,2,FALSE)</f>
        <v>(0,1673; 0,251; 0,3347)</v>
      </c>
      <c r="E19" t="str">
        <f>VLOOKUP(E5,'Thang đánh giá'!$C$2:$D$27,2,FALSE)</f>
        <v>(0; 0; 0)</v>
      </c>
      <c r="F19" t="str">
        <f>VLOOKUP(F5,'Thang đánh giá'!$C$2:$D$27,2,FALSE)</f>
        <v>(0,1673; 0,251; 0,3347)</v>
      </c>
      <c r="G19" t="str">
        <f>VLOOKUP(G5,'Thang đánh giá'!$C$2:$D$27,2,FALSE)</f>
        <v>(0,1673; 0,251; 0,3347)</v>
      </c>
      <c r="H19" t="str">
        <f>VLOOKUP(H5,'Thang đánh giá'!$C$2:$D$27,2,FALSE)</f>
        <v>(0,1897; 0,2846; 0,3795)</v>
      </c>
      <c r="I19" t="str">
        <f>VLOOKUP(I5,'Thang đánh giá'!$C$2:$D$27,2,FALSE)</f>
        <v>(0,1673; 0,251; 0,3347)</v>
      </c>
      <c r="J19" t="str">
        <f>VLOOKUP(J5,'Thang đánh giá'!$C$2:$D$27,2,FALSE)</f>
        <v>(0,1897; 0,2846; 0,3795)</v>
      </c>
      <c r="K19" t="str">
        <f>VLOOKUP(K5,'Thang đánh giá'!$C$2:$D$27,2,FALSE)</f>
        <v>(0,2846; 0,3795; 0,3795)</v>
      </c>
      <c r="L19" t="str">
        <f>VLOOKUP(L5,'Thang đánh giá'!$C$2:$D$27,2,FALSE)</f>
        <v>(0,1673; 0,251; 0,3347)</v>
      </c>
      <c r="M19" t="str">
        <f>VLOOKUP(M5,'Thang đánh giá'!$C$2:$D$27,2,FALSE)</f>
        <v>(0,1897; 0,2846; 0,3795)</v>
      </c>
    </row>
    <row r="20" spans="1:13" x14ac:dyDescent="0.3">
      <c r="A20" t="s">
        <v>4</v>
      </c>
      <c r="B20" t="str">
        <f>VLOOKUP(B6,'Thang đánh giá'!$C$2:$D$27,2,FALSE)</f>
        <v>(0; 0; 0,0548)</v>
      </c>
      <c r="C20" t="str">
        <f>VLOOKUP(C6,'Thang đánh giá'!$C$2:$D$27,2,FALSE)</f>
        <v>(0; 0,0707; 0,1414)</v>
      </c>
      <c r="D20" t="str">
        <f>VLOOKUP(D6,'Thang đánh giá'!$C$2:$D$27,2,FALSE)</f>
        <v>(0; 0; 0,0707)</v>
      </c>
      <c r="E20" t="str">
        <f>VLOOKUP(E6,'Thang đánh giá'!$C$2:$D$27,2,FALSE)</f>
        <v>(0; 0; 0,0707)</v>
      </c>
      <c r="F20" t="str">
        <f>VLOOKUP(F6,'Thang đánh giá'!$C$2:$D$27,2,FALSE)</f>
        <v>(0; 0; 0)</v>
      </c>
      <c r="G20" t="str">
        <f>VLOOKUP(G6,'Thang đánh giá'!$C$2:$D$27,2,FALSE)</f>
        <v>(0,251; 0,3347; 0,3347)</v>
      </c>
      <c r="H20" t="str">
        <f>VLOOKUP(H6,'Thang đánh giá'!$C$2:$D$27,2,FALSE)</f>
        <v>(0; 0,0707; 0,1414)</v>
      </c>
      <c r="I20" t="str">
        <f>VLOOKUP(I6,'Thang đánh giá'!$C$2:$D$27,2,FALSE)</f>
        <v>(0,0707; 0,1414; 0,2121)</v>
      </c>
      <c r="J20" t="str">
        <f>VLOOKUP(J6,'Thang đánh giá'!$C$2:$D$27,2,FALSE)</f>
        <v>(0,1897; 0,2846; 0,3795)</v>
      </c>
      <c r="K20" t="str">
        <f>VLOOKUP(K6,'Thang đánh giá'!$C$2:$D$27,2,FALSE)</f>
        <v>(0,1897; 0,2846; 0,3795)</v>
      </c>
      <c r="L20" t="str">
        <f>VLOOKUP(L6,'Thang đánh giá'!$C$2:$D$27,2,FALSE)</f>
        <v>(0; 0,0316; 0,0632)</v>
      </c>
      <c r="M20" t="str">
        <f>VLOOKUP(M6,'Thang đánh giá'!$C$2:$D$27,2,FALSE)</f>
        <v>(0; 0,0707; 0,1414)</v>
      </c>
    </row>
    <row r="21" spans="1:13" x14ac:dyDescent="0.3">
      <c r="A21" t="s">
        <v>5</v>
      </c>
      <c r="B21" t="str">
        <f>VLOOKUP(B7,'Thang đánh giá'!$C$2:$D$27,2,FALSE)</f>
        <v>(0; 0,0548; 0,1095)</v>
      </c>
      <c r="C21" t="str">
        <f>VLOOKUP(C7,'Thang đánh giá'!$C$2:$D$27,2,FALSE)</f>
        <v>(0; 0,0548; 0,1095)</v>
      </c>
      <c r="D21" t="str">
        <f>VLOOKUP(D7,'Thang đánh giá'!$C$2:$D$27,2,FALSE)</f>
        <v>(0; 0,0837; 0,1673)</v>
      </c>
      <c r="E21" t="str">
        <f>VLOOKUP(E7,'Thang đánh giá'!$C$2:$D$27,2,FALSE)</f>
        <v>(0; 0; 0,0548)</v>
      </c>
      <c r="F21" t="str">
        <f>VLOOKUP(F7,'Thang đánh giá'!$C$2:$D$27,2,FALSE)</f>
        <v>(0; 0; 0,0837)</v>
      </c>
      <c r="G21" t="str">
        <f>VLOOKUP(G7,'Thang đánh giá'!$C$2:$D$27,2,FALSE)</f>
        <v>(0; 0; 0)</v>
      </c>
      <c r="H21" t="str">
        <f>VLOOKUP(H7,'Thang đánh giá'!$C$2:$D$27,2,FALSE)</f>
        <v>(0; 0; 0,0707)</v>
      </c>
      <c r="I21" t="str">
        <f>VLOOKUP(I7,'Thang đánh giá'!$C$2:$D$27,2,FALSE)</f>
        <v>(0; 0; 0,0548)</v>
      </c>
      <c r="J21" t="str">
        <f>VLOOKUP(J7,'Thang đánh giá'!$C$2:$D$27,2,FALSE)</f>
        <v>(0; 0,0316; 0,0632)</v>
      </c>
      <c r="K21" t="str">
        <f>VLOOKUP(K7,'Thang đánh giá'!$C$2:$D$27,2,FALSE)</f>
        <v>(0; 0; 0,0548)</v>
      </c>
      <c r="L21" t="str">
        <f>VLOOKUP(L7,'Thang đánh giá'!$C$2:$D$27,2,FALSE)</f>
        <v>(0; 0; 0,0316)</v>
      </c>
      <c r="M21" t="str">
        <f>VLOOKUP(M7,'Thang đánh giá'!$C$2:$D$27,2,FALSE)</f>
        <v>(0; 0; 0,0707)</v>
      </c>
    </row>
    <row r="22" spans="1:13" x14ac:dyDescent="0.3">
      <c r="A22" t="s">
        <v>6</v>
      </c>
      <c r="B22" t="str">
        <f>VLOOKUP(B8,'Thang đánh giá'!$C$2:$D$27,2,FALSE)</f>
        <v>(0,2846; 0,3795; 0,3795)</v>
      </c>
      <c r="C22" t="str">
        <f>VLOOKUP(C8,'Thang đánh giá'!$C$2:$D$27,2,FALSE)</f>
        <v>(0,2846; 0,3795; 0,3795)</v>
      </c>
      <c r="D22" t="str">
        <f>VLOOKUP(D8,'Thang đánh giá'!$C$2:$D$27,2,FALSE)</f>
        <v>(0,2846; 0,3795; 0,3795)</v>
      </c>
      <c r="E22" t="str">
        <f>VLOOKUP(E8,'Thang đánh giá'!$C$2:$D$27,2,FALSE)</f>
        <v>(0,2846; 0,3795; 0,3795)</v>
      </c>
      <c r="F22" t="str">
        <f>VLOOKUP(F8,'Thang đánh giá'!$C$2:$D$27,2,FALSE)</f>
        <v>(0,2846; 0,3795; 0,3795)</v>
      </c>
      <c r="G22" t="str">
        <f>VLOOKUP(G8,'Thang đánh giá'!$C$2:$D$27,2,FALSE)</f>
        <v>(0,2846; 0,3795; 0,3795)</v>
      </c>
      <c r="H22" t="str">
        <f>VLOOKUP(H8,'Thang đánh giá'!$C$2:$D$27,2,FALSE)</f>
        <v>(0; 0; 0)</v>
      </c>
      <c r="I22" t="str">
        <f>VLOOKUP(I8,'Thang đánh giá'!$C$2:$D$27,2,FALSE)</f>
        <v>(0; 0,0548; 0,1095)</v>
      </c>
      <c r="J22" t="str">
        <f>VLOOKUP(J8,'Thang đánh giá'!$C$2:$D$27,2,FALSE)</f>
        <v>(0,2846; 0,3795; 0,3795)</v>
      </c>
      <c r="K22" t="str">
        <f>VLOOKUP(K8,'Thang đánh giá'!$C$2:$D$27,2,FALSE)</f>
        <v>(0,2846; 0,3795; 0,3795)</v>
      </c>
      <c r="L22" t="str">
        <f>VLOOKUP(L8,'Thang đánh giá'!$C$2:$D$27,2,FALSE)</f>
        <v>(0,2846; 0,3795; 0,3795)</v>
      </c>
      <c r="M22" t="str">
        <f>VLOOKUP(M8,'Thang đánh giá'!$C$2:$D$27,2,FALSE)</f>
        <v>(0,2846; 0,3795; 0,3795)</v>
      </c>
    </row>
    <row r="23" spans="1:13" x14ac:dyDescent="0.3">
      <c r="A23" t="s">
        <v>7</v>
      </c>
      <c r="B23" t="str">
        <f>VLOOKUP(B9,'Thang đánh giá'!$C$2:$D$27,2,FALSE)</f>
        <v>(0; 0; 0,0548)</v>
      </c>
      <c r="C23" t="str">
        <f>VLOOKUP(C9,'Thang đánh giá'!$C$2:$D$27,2,FALSE)</f>
        <v>(0; 0,0837; 0,1673)</v>
      </c>
      <c r="D23" t="str">
        <f>VLOOKUP(D9,'Thang đánh giá'!$C$2:$D$27,2,FALSE)</f>
        <v>(0; 0; 0,0837)</v>
      </c>
      <c r="E23" t="str">
        <f>VLOOKUP(E9,'Thang đánh giá'!$C$2:$D$27,2,FALSE)</f>
        <v>(0; 0; 0,0837)</v>
      </c>
      <c r="F23" t="str">
        <f>VLOOKUP(F9,'Thang đánh giá'!$C$2:$D$27,2,FALSE)</f>
        <v>(0; 0; 0,0707)</v>
      </c>
      <c r="G23" t="str">
        <f>VLOOKUP(G9,'Thang đánh giá'!$C$2:$D$27,2,FALSE)</f>
        <v>(0; 0; 0,0548)</v>
      </c>
      <c r="H23" t="str">
        <f>VLOOKUP(H9,'Thang đánh giá'!$C$2:$D$27,2,FALSE)</f>
        <v>(0; 0; 0,0548)</v>
      </c>
      <c r="I23" t="str">
        <f>VLOOKUP(I9,'Thang đánh giá'!$C$2:$D$27,2,FALSE)</f>
        <v>(0; 0; 0)</v>
      </c>
      <c r="J23" t="str">
        <f>VLOOKUP(J9,'Thang đánh giá'!$C$2:$D$27,2,FALSE)</f>
        <v>(0; 0; 0,0548)</v>
      </c>
      <c r="K23" t="str">
        <f>VLOOKUP(K9,'Thang đánh giá'!$C$2:$D$27,2,FALSE)</f>
        <v>(0,2846; 0,3795; 0,3795)</v>
      </c>
      <c r="L23" t="str">
        <f>VLOOKUP(L9,'Thang đánh giá'!$C$2:$D$27,2,FALSE)</f>
        <v>(0,1897; 0,2846; 0,3795)</v>
      </c>
      <c r="M23" t="str">
        <f>VLOOKUP(M9,'Thang đánh giá'!$C$2:$D$27,2,FALSE)</f>
        <v>(0,1897; 0,2846; 0,3795)</v>
      </c>
    </row>
    <row r="24" spans="1:13" x14ac:dyDescent="0.3">
      <c r="A24" t="s">
        <v>8</v>
      </c>
      <c r="B24" t="str">
        <f>VLOOKUP(B10,'Thang đánh giá'!$C$2:$D$27,2,FALSE)</f>
        <v>(0,0707; 0,1414; 0,2121)</v>
      </c>
      <c r="C24" t="str">
        <f>VLOOKUP(C10,'Thang đánh giá'!$C$2:$D$27,2,FALSE)</f>
        <v>(0; 0,0707; 0,1414)</v>
      </c>
      <c r="D24" t="str">
        <f>VLOOKUP(D10,'Thang đánh giá'!$C$2:$D$27,2,FALSE)</f>
        <v>(0; 0,0548; 0,1095)</v>
      </c>
      <c r="E24" t="str">
        <f>VLOOKUP(E10,'Thang đánh giá'!$C$2:$D$27,2,FALSE)</f>
        <v>(0; 0,0548; 0,1095)</v>
      </c>
      <c r="F24" t="str">
        <f>VLOOKUP(F10,'Thang đánh giá'!$C$2:$D$27,2,FALSE)</f>
        <v>(0; 0,0707; 0,1414)</v>
      </c>
      <c r="G24" t="str">
        <f>VLOOKUP(G10,'Thang đánh giá'!$C$2:$D$27,2,FALSE)</f>
        <v>(0; 0; 0,0837)</v>
      </c>
      <c r="H24" t="str">
        <f>VLOOKUP(H10,'Thang đánh giá'!$C$2:$D$27,2,FALSE)</f>
        <v>(0; 0; 0,0707)</v>
      </c>
      <c r="I24" t="str">
        <f>VLOOKUP(I10,'Thang đánh giá'!$C$2:$D$27,2,FALSE)</f>
        <v>(0; 0; 0,0548)</v>
      </c>
      <c r="J24" t="str">
        <f>VLOOKUP(J10,'Thang đánh giá'!$C$2:$D$27,2,FALSE)</f>
        <v>(0; 0; 0)</v>
      </c>
      <c r="K24" t="str">
        <f>VLOOKUP(K10,'Thang đánh giá'!$C$2:$D$27,2,FALSE)</f>
        <v>(0,251; 0,3347; 0,3347)</v>
      </c>
      <c r="L24" t="str">
        <f>VLOOKUP(L10,'Thang đánh giá'!$C$2:$D$27,2,FALSE)</f>
        <v>(0,1673; 0,251; 0,3347)</v>
      </c>
      <c r="M24" t="str">
        <f>VLOOKUP(M10,'Thang đánh giá'!$C$2:$D$27,2,FALSE)</f>
        <v>(0,2846; 0,3795; 0,3795)</v>
      </c>
    </row>
    <row r="25" spans="1:13" x14ac:dyDescent="0.3">
      <c r="A25" t="s">
        <v>9</v>
      </c>
      <c r="B25" t="str">
        <f>VLOOKUP(B11,'Thang đánh giá'!$C$2:$D$27,2,FALSE)</f>
        <v>(0; 0,0707; 0,1414)</v>
      </c>
      <c r="C25" t="str">
        <f>VLOOKUP(C11,'Thang đánh giá'!$C$2:$D$27,2,FALSE)</f>
        <v>(0; 0; 0,0316)</v>
      </c>
      <c r="D25" t="str">
        <f>VLOOKUP(D11,'Thang đánh giá'!$C$2:$D$27,2,FALSE)</f>
        <v>(0; 0; 0,0316)</v>
      </c>
      <c r="E25" t="str">
        <f>VLOOKUP(E11,'Thang đánh giá'!$C$2:$D$27,2,FALSE)</f>
        <v>(0; 0,0707; 0,1414)</v>
      </c>
      <c r="F25" t="str">
        <f>VLOOKUP(F11,'Thang đánh giá'!$C$2:$D$27,2,FALSE)</f>
        <v>(0; 0; 0,0707)</v>
      </c>
      <c r="G25" t="str">
        <f>VLOOKUP(G11,'Thang đánh giá'!$C$2:$D$27,2,FALSE)</f>
        <v>(0; 0,0707; 0,1414)</v>
      </c>
      <c r="H25" t="str">
        <f>VLOOKUP(H11,'Thang đánh giá'!$C$2:$D$27,2,FALSE)</f>
        <v>(0; 0,0707; 0,1414)</v>
      </c>
      <c r="I25" t="str">
        <f>VLOOKUP(I11,'Thang đánh giá'!$C$2:$D$27,2,FALSE)</f>
        <v>(0; 0,0548; 0,1095)</v>
      </c>
      <c r="J25" t="str">
        <f>VLOOKUP(J11,'Thang đánh giá'!$C$2:$D$27,2,FALSE)</f>
        <v>(0; 0; 0,0707)</v>
      </c>
      <c r="K25" t="str">
        <f>VLOOKUP(K11,'Thang đánh giá'!$C$2:$D$27,2,FALSE)</f>
        <v>(0; 0; 0)</v>
      </c>
      <c r="L25" t="str">
        <f>VLOOKUP(L11,'Thang đánh giá'!$C$2:$D$27,2,FALSE)</f>
        <v>(0; 0; 0,0316)</v>
      </c>
      <c r="M25" t="str">
        <f>VLOOKUP(M11,'Thang đánh giá'!$C$2:$D$27,2,FALSE)</f>
        <v>(0; 0,0707; 0,1414)</v>
      </c>
    </row>
    <row r="26" spans="1:13" x14ac:dyDescent="0.3">
      <c r="A26" t="s">
        <v>10</v>
      </c>
      <c r="B26" t="str">
        <f>VLOOKUP(B12,'Thang đánh giá'!$C$2:$D$27,2,FALSE)</f>
        <v>(0; 0; 0,0316)</v>
      </c>
      <c r="C26" t="str">
        <f>VLOOKUP(C12,'Thang đánh giá'!$C$2:$D$27,2,FALSE)</f>
        <v>(0; 0,0837; 0,1673)</v>
      </c>
      <c r="D26" t="str">
        <f>VLOOKUP(D12,'Thang đánh giá'!$C$2:$D$27,2,FALSE)</f>
        <v>(0; 0,0548; 0,1095)</v>
      </c>
      <c r="E26" t="str">
        <f>VLOOKUP(E12,'Thang đánh giá'!$C$2:$D$27,2,FALSE)</f>
        <v>(0; 0,0548; 0,1095)</v>
      </c>
      <c r="F26" t="str">
        <f>VLOOKUP(F12,'Thang đánh giá'!$C$2:$D$27,2,FALSE)</f>
        <v>(0; 0; 0,0707)</v>
      </c>
      <c r="G26" t="str">
        <f>VLOOKUP(G12,'Thang đánh giá'!$C$2:$D$27,2,FALSE)</f>
        <v>(0; 0; 0,0548)</v>
      </c>
      <c r="H26" t="str">
        <f>VLOOKUP(H12,'Thang đánh giá'!$C$2:$D$27,2,FALSE)</f>
        <v>(0; 0,0548; 0,1095)</v>
      </c>
      <c r="I26" t="str">
        <f>VLOOKUP(I12,'Thang đánh giá'!$C$2:$D$27,2,FALSE)</f>
        <v>(0; 0; 0,0548)</v>
      </c>
      <c r="J26" t="str">
        <f>VLOOKUP(J12,'Thang đánh giá'!$C$2:$D$27,2,FALSE)</f>
        <v>(0; 0,0707; 0,1414)</v>
      </c>
      <c r="K26" t="str">
        <f>VLOOKUP(K12,'Thang đánh giá'!$C$2:$D$27,2,FALSE)</f>
        <v>(0; 0; 0,0548)</v>
      </c>
      <c r="L26" t="str">
        <f>VLOOKUP(L12,'Thang đánh giá'!$C$2:$D$27,2,FALSE)</f>
        <v>(0; 0; 0)</v>
      </c>
      <c r="M26" t="str">
        <f>VLOOKUP(M12,'Thang đánh giá'!$C$2:$D$27,2,FALSE)</f>
        <v>(0,1897; 0,2846; 0,3795)</v>
      </c>
    </row>
    <row r="27" spans="1:13" x14ac:dyDescent="0.3">
      <c r="A27" t="s">
        <v>11</v>
      </c>
      <c r="B27" t="str">
        <f>VLOOKUP(B13,'Thang đánh giá'!$C$2:$D$27,2,FALSE)</f>
        <v>(0; 0,0316; 0,0632)</v>
      </c>
      <c r="C27" t="str">
        <f>VLOOKUP(C13,'Thang đánh giá'!$C$2:$D$27,2,FALSE)</f>
        <v>(0; 0; 0,0548)</v>
      </c>
      <c r="D27" t="str">
        <f>VLOOKUP(D13,'Thang đánh giá'!$C$2:$D$27,2,FALSE)</f>
        <v>(0; 0; 0,0837)</v>
      </c>
      <c r="E27" t="str">
        <f>VLOOKUP(E13,'Thang đánh giá'!$C$2:$D$27,2,FALSE)</f>
        <v>(0; 0; 0,0316)</v>
      </c>
      <c r="F27" t="str">
        <f>VLOOKUP(F13,'Thang đánh giá'!$C$2:$D$27,2,FALSE)</f>
        <v>(0; 0; 0,0707)</v>
      </c>
      <c r="G27" t="str">
        <f>VLOOKUP(G13,'Thang đánh giá'!$C$2:$D$27,2,FALSE)</f>
        <v>(0; 0; 0,0548)</v>
      </c>
      <c r="H27" t="str">
        <f>VLOOKUP(H13,'Thang đánh giá'!$C$2:$D$27,2,FALSE)</f>
        <v>(0; 0; 0,0548)</v>
      </c>
      <c r="I27" t="str">
        <f>VLOOKUP(I13,'Thang đánh giá'!$C$2:$D$27,2,FALSE)</f>
        <v>(0; 0,0548; 0,1095)</v>
      </c>
      <c r="J27" t="str">
        <f>VLOOKUP(J13,'Thang đánh giá'!$C$2:$D$27,2,FALSE)</f>
        <v>(0; 0,0837; 0,1673)</v>
      </c>
      <c r="K27" t="str">
        <f>VLOOKUP(K13,'Thang đánh giá'!$C$2:$D$27,2,FALSE)</f>
        <v>(0; 0,0548; 0,1095)</v>
      </c>
      <c r="L27" t="str">
        <f>VLOOKUP(L13,'Thang đánh giá'!$C$2:$D$27,2,FALSE)</f>
        <v>(0; 0; 0,0548)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8.3699999999999997E-2</v>
      </c>
      <c r="D30">
        <f t="shared" si="0"/>
        <v>0.18970000000000001</v>
      </c>
      <c r="E30">
        <f t="shared" si="0"/>
        <v>0.1673</v>
      </c>
      <c r="F30">
        <f t="shared" si="0"/>
        <v>8.3699999999999997E-2</v>
      </c>
      <c r="G30">
        <f t="shared" si="0"/>
        <v>0.28460000000000002</v>
      </c>
      <c r="H30">
        <f t="shared" si="0"/>
        <v>0.251</v>
      </c>
      <c r="I30">
        <f t="shared" si="0"/>
        <v>0.28460000000000002</v>
      </c>
      <c r="J30">
        <f t="shared" si="0"/>
        <v>0.18970000000000001</v>
      </c>
      <c r="K30">
        <f t="shared" si="0"/>
        <v>0</v>
      </c>
      <c r="L30">
        <f t="shared" si="0"/>
        <v>0.251</v>
      </c>
      <c r="M30">
        <f t="shared" si="0"/>
        <v>0.28460000000000002</v>
      </c>
    </row>
    <row r="31" spans="1:13" x14ac:dyDescent="0.3">
      <c r="A31" t="s">
        <v>1</v>
      </c>
      <c r="B31">
        <f t="shared" ref="B31:M41" si="1">_xlfn.NUMBERVALUE(MID(B17,2,FIND(";",B17,1)-2))</f>
        <v>0</v>
      </c>
      <c r="C31">
        <f t="shared" si="1"/>
        <v>0</v>
      </c>
      <c r="D31">
        <f t="shared" si="1"/>
        <v>0.18970000000000001</v>
      </c>
      <c r="E31">
        <f t="shared" si="1"/>
        <v>0.1414</v>
      </c>
      <c r="F31">
        <f t="shared" si="1"/>
        <v>8.3699999999999997E-2</v>
      </c>
      <c r="G31">
        <f t="shared" si="1"/>
        <v>0</v>
      </c>
      <c r="H31">
        <f t="shared" si="1"/>
        <v>0</v>
      </c>
      <c r="I31">
        <f t="shared" si="1"/>
        <v>0</v>
      </c>
      <c r="J31">
        <f t="shared" si="1"/>
        <v>7.0699999999999999E-2</v>
      </c>
      <c r="K31">
        <f t="shared" si="1"/>
        <v>0.28460000000000002</v>
      </c>
      <c r="L31">
        <f t="shared" si="1"/>
        <v>0</v>
      </c>
      <c r="M31">
        <f t="shared" si="1"/>
        <v>0.28460000000000002</v>
      </c>
    </row>
    <row r="32" spans="1:13" x14ac:dyDescent="0.3">
      <c r="A32" t="s">
        <v>2</v>
      </c>
      <c r="B32">
        <f t="shared" si="1"/>
        <v>0</v>
      </c>
      <c r="C32">
        <f t="shared" si="1"/>
        <v>0</v>
      </c>
      <c r="D32">
        <f t="shared" si="1"/>
        <v>0</v>
      </c>
      <c r="E32">
        <f t="shared" si="1"/>
        <v>0.1673</v>
      </c>
      <c r="F32">
        <f t="shared" si="1"/>
        <v>0</v>
      </c>
      <c r="G32">
        <f t="shared" si="1"/>
        <v>0.1673</v>
      </c>
      <c r="H32">
        <f t="shared" si="1"/>
        <v>0.1414</v>
      </c>
      <c r="I32">
        <f t="shared" si="1"/>
        <v>0</v>
      </c>
      <c r="J32">
        <f t="shared" si="1"/>
        <v>0.18970000000000001</v>
      </c>
      <c r="K32">
        <f t="shared" si="1"/>
        <v>0.251</v>
      </c>
      <c r="L32">
        <f t="shared" si="1"/>
        <v>0.18970000000000001</v>
      </c>
      <c r="M32">
        <f t="shared" si="1"/>
        <v>0.18970000000000001</v>
      </c>
    </row>
    <row r="33" spans="1:13" x14ac:dyDescent="0.3">
      <c r="A33" t="s">
        <v>3</v>
      </c>
      <c r="B33">
        <f t="shared" si="1"/>
        <v>0.1673</v>
      </c>
      <c r="C33">
        <f t="shared" si="1"/>
        <v>0</v>
      </c>
      <c r="D33">
        <f t="shared" si="1"/>
        <v>0.1673</v>
      </c>
      <c r="E33">
        <f t="shared" si="1"/>
        <v>0</v>
      </c>
      <c r="F33">
        <f t="shared" si="1"/>
        <v>0.1673</v>
      </c>
      <c r="G33">
        <f t="shared" si="1"/>
        <v>0.1673</v>
      </c>
      <c r="H33">
        <f t="shared" si="1"/>
        <v>0.18970000000000001</v>
      </c>
      <c r="I33">
        <f t="shared" si="1"/>
        <v>0.1673</v>
      </c>
      <c r="J33">
        <f t="shared" si="1"/>
        <v>0.18970000000000001</v>
      </c>
      <c r="K33">
        <f t="shared" si="1"/>
        <v>0.28460000000000002</v>
      </c>
      <c r="L33">
        <f t="shared" si="1"/>
        <v>0.1673</v>
      </c>
      <c r="M33">
        <f t="shared" si="1"/>
        <v>0.18970000000000001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0</v>
      </c>
      <c r="D34">
        <f t="shared" si="2"/>
        <v>0</v>
      </c>
      <c r="E34">
        <f t="shared" si="2"/>
        <v>0</v>
      </c>
      <c r="F34">
        <f t="shared" si="2"/>
        <v>0</v>
      </c>
      <c r="G34">
        <f t="shared" si="2"/>
        <v>0.251</v>
      </c>
      <c r="H34">
        <f t="shared" si="2"/>
        <v>0</v>
      </c>
      <c r="I34">
        <f t="shared" si="2"/>
        <v>7.0699999999999999E-2</v>
      </c>
      <c r="J34">
        <f t="shared" si="2"/>
        <v>0.18970000000000001</v>
      </c>
      <c r="K34">
        <f t="shared" si="2"/>
        <v>0.18970000000000001</v>
      </c>
      <c r="L34">
        <f t="shared" si="2"/>
        <v>0</v>
      </c>
      <c r="M34">
        <f t="shared" si="2"/>
        <v>0</v>
      </c>
    </row>
    <row r="35" spans="1:13" x14ac:dyDescent="0.3">
      <c r="A35" t="s">
        <v>5</v>
      </c>
      <c r="B35">
        <f t="shared" si="1"/>
        <v>0</v>
      </c>
      <c r="C35">
        <f t="shared" si="1"/>
        <v>0</v>
      </c>
      <c r="D35">
        <f t="shared" si="1"/>
        <v>0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0</v>
      </c>
      <c r="J35">
        <f t="shared" si="1"/>
        <v>0</v>
      </c>
      <c r="K35">
        <f t="shared" si="1"/>
        <v>0</v>
      </c>
      <c r="L35">
        <f t="shared" si="1"/>
        <v>0</v>
      </c>
      <c r="M35">
        <f t="shared" si="1"/>
        <v>0</v>
      </c>
    </row>
    <row r="36" spans="1:13" x14ac:dyDescent="0.3">
      <c r="A36" t="s">
        <v>6</v>
      </c>
      <c r="B36">
        <f t="shared" si="1"/>
        <v>0.28460000000000002</v>
      </c>
      <c r="C36">
        <f t="shared" si="1"/>
        <v>0.28460000000000002</v>
      </c>
      <c r="D36">
        <f t="shared" si="1"/>
        <v>0.28460000000000002</v>
      </c>
      <c r="E36">
        <f t="shared" si="1"/>
        <v>0.28460000000000002</v>
      </c>
      <c r="F36">
        <f t="shared" si="1"/>
        <v>0.28460000000000002</v>
      </c>
      <c r="G36">
        <f t="shared" si="1"/>
        <v>0.28460000000000002</v>
      </c>
      <c r="H36">
        <f t="shared" si="1"/>
        <v>0</v>
      </c>
      <c r="I36">
        <f t="shared" si="1"/>
        <v>0</v>
      </c>
      <c r="J36">
        <f t="shared" si="1"/>
        <v>0.28460000000000002</v>
      </c>
      <c r="K36">
        <f t="shared" si="1"/>
        <v>0.28460000000000002</v>
      </c>
      <c r="L36">
        <f t="shared" si="1"/>
        <v>0.28460000000000002</v>
      </c>
      <c r="M36">
        <f t="shared" si="1"/>
        <v>0.28460000000000002</v>
      </c>
    </row>
    <row r="37" spans="1:13" x14ac:dyDescent="0.3">
      <c r="A37" t="s">
        <v>7</v>
      </c>
      <c r="B37">
        <f t="shared" si="1"/>
        <v>0</v>
      </c>
      <c r="C37">
        <f t="shared" si="1"/>
        <v>0</v>
      </c>
      <c r="D37">
        <f t="shared" si="1"/>
        <v>0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0</v>
      </c>
      <c r="K37">
        <f t="shared" si="1"/>
        <v>0.28460000000000002</v>
      </c>
      <c r="L37">
        <f t="shared" si="1"/>
        <v>0.18970000000000001</v>
      </c>
      <c r="M37">
        <f t="shared" si="1"/>
        <v>0.18970000000000001</v>
      </c>
    </row>
    <row r="38" spans="1:13" x14ac:dyDescent="0.3">
      <c r="A38" t="s">
        <v>8</v>
      </c>
      <c r="B38">
        <f t="shared" si="1"/>
        <v>7.0699999999999999E-2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0</v>
      </c>
      <c r="I38">
        <f t="shared" si="1"/>
        <v>0</v>
      </c>
      <c r="J38">
        <f t="shared" si="1"/>
        <v>0</v>
      </c>
      <c r="K38">
        <f t="shared" si="1"/>
        <v>0.251</v>
      </c>
      <c r="L38">
        <f t="shared" si="1"/>
        <v>0.1673</v>
      </c>
      <c r="M38">
        <f t="shared" si="1"/>
        <v>0.28460000000000002</v>
      </c>
    </row>
    <row r="39" spans="1:13" x14ac:dyDescent="0.3">
      <c r="A39" t="s">
        <v>9</v>
      </c>
      <c r="B39">
        <f t="shared" si="1"/>
        <v>0</v>
      </c>
      <c r="C39">
        <f t="shared" si="1"/>
        <v>0</v>
      </c>
      <c r="D39">
        <f t="shared" si="1"/>
        <v>0</v>
      </c>
      <c r="E39">
        <f t="shared" si="1"/>
        <v>0</v>
      </c>
      <c r="F39">
        <f t="shared" si="1"/>
        <v>0</v>
      </c>
      <c r="G39">
        <f t="shared" si="1"/>
        <v>0</v>
      </c>
      <c r="H39">
        <f t="shared" si="1"/>
        <v>0</v>
      </c>
      <c r="I39">
        <f t="shared" si="1"/>
        <v>0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0</v>
      </c>
    </row>
    <row r="40" spans="1:13" x14ac:dyDescent="0.3">
      <c r="A40" t="s">
        <v>10</v>
      </c>
      <c r="B40">
        <f t="shared" si="1"/>
        <v>0</v>
      </c>
      <c r="C40">
        <f t="shared" si="1"/>
        <v>0</v>
      </c>
      <c r="D40">
        <f t="shared" si="1"/>
        <v>0</v>
      </c>
      <c r="E40">
        <f t="shared" si="1"/>
        <v>0</v>
      </c>
      <c r="F40">
        <f t="shared" si="1"/>
        <v>0</v>
      </c>
      <c r="G40">
        <f t="shared" si="1"/>
        <v>0</v>
      </c>
      <c r="H40">
        <f t="shared" si="1"/>
        <v>0</v>
      </c>
      <c r="I40">
        <f t="shared" si="1"/>
        <v>0</v>
      </c>
      <c r="J40">
        <f t="shared" si="1"/>
        <v>0</v>
      </c>
      <c r="K40">
        <f t="shared" si="1"/>
        <v>0</v>
      </c>
      <c r="L40">
        <f t="shared" si="1"/>
        <v>0</v>
      </c>
      <c r="M40">
        <f t="shared" si="1"/>
        <v>0.18970000000000001</v>
      </c>
    </row>
    <row r="41" spans="1:13" x14ac:dyDescent="0.3">
      <c r="A41" t="s">
        <v>11</v>
      </c>
      <c r="B41">
        <f t="shared" si="1"/>
        <v>0</v>
      </c>
      <c r="C41">
        <f t="shared" si="1"/>
        <v>0</v>
      </c>
      <c r="D41">
        <f t="shared" si="1"/>
        <v>0</v>
      </c>
      <c r="E41">
        <f t="shared" si="1"/>
        <v>0</v>
      </c>
      <c r="F41">
        <f t="shared" si="1"/>
        <v>0</v>
      </c>
      <c r="G41">
        <f t="shared" si="1"/>
        <v>0</v>
      </c>
      <c r="H41">
        <f t="shared" si="1"/>
        <v>0</v>
      </c>
      <c r="I41">
        <f t="shared" si="1"/>
        <v>0</v>
      </c>
      <c r="J41">
        <f t="shared" si="1"/>
        <v>0</v>
      </c>
      <c r="K41">
        <f t="shared" si="1"/>
        <v>0</v>
      </c>
      <c r="L41">
        <f t="shared" si="1"/>
        <v>0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0.1673</v>
      </c>
      <c r="D44">
        <f t="shared" si="3"/>
        <v>0.28460000000000002</v>
      </c>
      <c r="E44">
        <f t="shared" si="3"/>
        <v>0.251</v>
      </c>
      <c r="F44">
        <f t="shared" si="3"/>
        <v>0.1673</v>
      </c>
      <c r="G44">
        <f t="shared" si="3"/>
        <v>0.3795</v>
      </c>
      <c r="H44">
        <f t="shared" si="3"/>
        <v>0.3347</v>
      </c>
      <c r="I44">
        <f t="shared" si="3"/>
        <v>0.3795</v>
      </c>
      <c r="J44">
        <f t="shared" si="3"/>
        <v>0.28460000000000002</v>
      </c>
      <c r="K44">
        <f t="shared" si="3"/>
        <v>0</v>
      </c>
      <c r="L44">
        <f t="shared" si="3"/>
        <v>0.3347</v>
      </c>
      <c r="M44">
        <f t="shared" si="3"/>
        <v>0.3795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3.1600000000000003E-2</v>
      </c>
      <c r="C45">
        <f t="shared" si="4"/>
        <v>0</v>
      </c>
      <c r="D45">
        <f t="shared" si="4"/>
        <v>0.28460000000000002</v>
      </c>
      <c r="E45">
        <f t="shared" si="4"/>
        <v>0.21210000000000001</v>
      </c>
      <c r="F45">
        <f t="shared" si="4"/>
        <v>0.1673</v>
      </c>
      <c r="G45">
        <f t="shared" si="4"/>
        <v>0</v>
      </c>
      <c r="H45">
        <f t="shared" si="4"/>
        <v>0</v>
      </c>
      <c r="I45">
        <f t="shared" si="4"/>
        <v>7.0699999999999999E-2</v>
      </c>
      <c r="J45">
        <f t="shared" si="4"/>
        <v>0.1414</v>
      </c>
      <c r="K45">
        <f t="shared" si="4"/>
        <v>0.3795</v>
      </c>
      <c r="L45">
        <f t="shared" si="4"/>
        <v>0</v>
      </c>
      <c r="M45">
        <f t="shared" si="4"/>
        <v>0.3795</v>
      </c>
    </row>
    <row r="46" spans="1:13" x14ac:dyDescent="0.3">
      <c r="A46" t="s">
        <v>2</v>
      </c>
      <c r="B46">
        <f t="shared" si="4"/>
        <v>0</v>
      </c>
      <c r="C46">
        <f t="shared" si="4"/>
        <v>0</v>
      </c>
      <c r="D46">
        <f t="shared" si="4"/>
        <v>0</v>
      </c>
      <c r="E46">
        <f t="shared" si="4"/>
        <v>0.251</v>
      </c>
      <c r="F46">
        <f t="shared" si="4"/>
        <v>7.0699999999999999E-2</v>
      </c>
      <c r="G46">
        <f t="shared" si="4"/>
        <v>0.251</v>
      </c>
      <c r="H46">
        <f t="shared" si="4"/>
        <v>0.21210000000000001</v>
      </c>
      <c r="I46">
        <f t="shared" si="4"/>
        <v>0</v>
      </c>
      <c r="J46">
        <f t="shared" si="4"/>
        <v>0.28460000000000002</v>
      </c>
      <c r="K46">
        <f t="shared" si="4"/>
        <v>0.3347</v>
      </c>
      <c r="L46">
        <f t="shared" si="4"/>
        <v>0.28460000000000002</v>
      </c>
      <c r="M46">
        <f t="shared" si="4"/>
        <v>0.28460000000000002</v>
      </c>
    </row>
    <row r="47" spans="1:13" x14ac:dyDescent="0.3">
      <c r="A47" t="s">
        <v>3</v>
      </c>
      <c r="B47">
        <f t="shared" si="4"/>
        <v>0.251</v>
      </c>
      <c r="C47">
        <f t="shared" si="4"/>
        <v>5.4800000000000001E-2</v>
      </c>
      <c r="D47">
        <f t="shared" si="4"/>
        <v>0.251</v>
      </c>
      <c r="E47">
        <f t="shared" si="4"/>
        <v>0</v>
      </c>
      <c r="F47">
        <f t="shared" si="4"/>
        <v>0.251</v>
      </c>
      <c r="G47">
        <f t="shared" si="4"/>
        <v>0.251</v>
      </c>
      <c r="H47">
        <f t="shared" si="4"/>
        <v>0.28460000000000002</v>
      </c>
      <c r="I47">
        <f t="shared" si="4"/>
        <v>0.251</v>
      </c>
      <c r="J47">
        <f t="shared" si="4"/>
        <v>0.28460000000000002</v>
      </c>
      <c r="K47">
        <f t="shared" si="4"/>
        <v>0.3795</v>
      </c>
      <c r="L47">
        <f t="shared" si="4"/>
        <v>0.251</v>
      </c>
      <c r="M47">
        <f t="shared" si="4"/>
        <v>0.28460000000000002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0</v>
      </c>
      <c r="C48">
        <f t="shared" si="5"/>
        <v>7.0699999999999999E-2</v>
      </c>
      <c r="D48">
        <f t="shared" si="5"/>
        <v>0</v>
      </c>
      <c r="E48">
        <f t="shared" si="5"/>
        <v>0</v>
      </c>
      <c r="F48">
        <f t="shared" si="5"/>
        <v>0</v>
      </c>
      <c r="G48">
        <f t="shared" si="5"/>
        <v>0.3347</v>
      </c>
      <c r="H48">
        <f t="shared" si="5"/>
        <v>7.0699999999999999E-2</v>
      </c>
      <c r="I48">
        <f t="shared" si="5"/>
        <v>0.1414</v>
      </c>
      <c r="J48">
        <f t="shared" si="5"/>
        <v>0.28460000000000002</v>
      </c>
      <c r="K48">
        <f t="shared" si="5"/>
        <v>0.28460000000000002</v>
      </c>
      <c r="L48">
        <f t="shared" si="5"/>
        <v>3.1600000000000003E-2</v>
      </c>
      <c r="M48">
        <f t="shared" si="5"/>
        <v>7.0699999999999999E-2</v>
      </c>
    </row>
    <row r="49" spans="1:13" x14ac:dyDescent="0.3">
      <c r="A49" t="s">
        <v>5</v>
      </c>
      <c r="B49">
        <f t="shared" si="4"/>
        <v>5.4800000000000001E-2</v>
      </c>
      <c r="C49">
        <f t="shared" si="4"/>
        <v>5.4800000000000001E-2</v>
      </c>
      <c r="D49">
        <f t="shared" si="4"/>
        <v>8.3699999999999997E-2</v>
      </c>
      <c r="E49">
        <f t="shared" si="4"/>
        <v>0</v>
      </c>
      <c r="F49">
        <f t="shared" si="4"/>
        <v>0</v>
      </c>
      <c r="G49">
        <f t="shared" si="4"/>
        <v>0</v>
      </c>
      <c r="H49">
        <f t="shared" si="4"/>
        <v>0</v>
      </c>
      <c r="I49">
        <f t="shared" si="4"/>
        <v>0</v>
      </c>
      <c r="J49">
        <f t="shared" si="4"/>
        <v>3.1600000000000003E-2</v>
      </c>
      <c r="K49">
        <f t="shared" si="4"/>
        <v>0</v>
      </c>
      <c r="L49">
        <f t="shared" si="4"/>
        <v>0</v>
      </c>
      <c r="M49">
        <f t="shared" si="4"/>
        <v>0</v>
      </c>
    </row>
    <row r="50" spans="1:13" x14ac:dyDescent="0.3">
      <c r="A50" t="s">
        <v>6</v>
      </c>
      <c r="B50">
        <f t="shared" si="4"/>
        <v>0.3795</v>
      </c>
      <c r="C50">
        <f t="shared" si="4"/>
        <v>0.3795</v>
      </c>
      <c r="D50">
        <f t="shared" si="4"/>
        <v>0.3795</v>
      </c>
      <c r="E50">
        <f t="shared" si="4"/>
        <v>0.3795</v>
      </c>
      <c r="F50">
        <f t="shared" si="4"/>
        <v>0.3795</v>
      </c>
      <c r="G50">
        <f t="shared" si="4"/>
        <v>0.3795</v>
      </c>
      <c r="H50">
        <f t="shared" si="4"/>
        <v>0</v>
      </c>
      <c r="I50">
        <f t="shared" si="4"/>
        <v>5.4800000000000001E-2</v>
      </c>
      <c r="J50">
        <f t="shared" si="4"/>
        <v>0.3795</v>
      </c>
      <c r="K50">
        <f t="shared" si="4"/>
        <v>0.3795</v>
      </c>
      <c r="L50">
        <f t="shared" si="4"/>
        <v>0.3795</v>
      </c>
      <c r="M50">
        <f t="shared" si="4"/>
        <v>0.3795</v>
      </c>
    </row>
    <row r="51" spans="1:13" x14ac:dyDescent="0.3">
      <c r="A51" t="s">
        <v>7</v>
      </c>
      <c r="B51">
        <f t="shared" si="4"/>
        <v>0</v>
      </c>
      <c r="C51">
        <f t="shared" si="4"/>
        <v>8.3699999999999997E-2</v>
      </c>
      <c r="D51">
        <f t="shared" si="4"/>
        <v>0</v>
      </c>
      <c r="E51">
        <f t="shared" si="4"/>
        <v>0</v>
      </c>
      <c r="F51">
        <f t="shared" si="4"/>
        <v>0</v>
      </c>
      <c r="G51">
        <f t="shared" si="4"/>
        <v>0</v>
      </c>
      <c r="H51">
        <f t="shared" si="4"/>
        <v>0</v>
      </c>
      <c r="I51">
        <f t="shared" si="4"/>
        <v>0</v>
      </c>
      <c r="J51">
        <f t="shared" si="4"/>
        <v>0</v>
      </c>
      <c r="K51">
        <f t="shared" si="4"/>
        <v>0.3795</v>
      </c>
      <c r="L51">
        <f t="shared" si="4"/>
        <v>0.28460000000000002</v>
      </c>
      <c r="M51">
        <f t="shared" si="4"/>
        <v>0.28460000000000002</v>
      </c>
    </row>
    <row r="52" spans="1:13" x14ac:dyDescent="0.3">
      <c r="A52" t="s">
        <v>8</v>
      </c>
      <c r="B52">
        <f t="shared" si="4"/>
        <v>0.1414</v>
      </c>
      <c r="C52">
        <f t="shared" si="4"/>
        <v>7.0699999999999999E-2</v>
      </c>
      <c r="D52">
        <f t="shared" si="4"/>
        <v>5.4800000000000001E-2</v>
      </c>
      <c r="E52">
        <f t="shared" si="4"/>
        <v>5.4800000000000001E-2</v>
      </c>
      <c r="F52">
        <f t="shared" si="4"/>
        <v>7.0699999999999999E-2</v>
      </c>
      <c r="G52">
        <f t="shared" si="4"/>
        <v>0</v>
      </c>
      <c r="H52">
        <f t="shared" si="4"/>
        <v>0</v>
      </c>
      <c r="I52">
        <f t="shared" si="4"/>
        <v>0</v>
      </c>
      <c r="J52">
        <f t="shared" si="4"/>
        <v>0</v>
      </c>
      <c r="K52">
        <f t="shared" si="4"/>
        <v>0.3347</v>
      </c>
      <c r="L52">
        <f t="shared" si="4"/>
        <v>0.251</v>
      </c>
      <c r="M52">
        <f t="shared" si="4"/>
        <v>0.3795</v>
      </c>
    </row>
    <row r="53" spans="1:13" x14ac:dyDescent="0.3">
      <c r="A53" t="s">
        <v>9</v>
      </c>
      <c r="B53">
        <f t="shared" si="4"/>
        <v>7.0699999999999999E-2</v>
      </c>
      <c r="C53">
        <f t="shared" si="4"/>
        <v>0</v>
      </c>
      <c r="D53">
        <f t="shared" si="4"/>
        <v>0</v>
      </c>
      <c r="E53">
        <f t="shared" si="4"/>
        <v>7.0699999999999999E-2</v>
      </c>
      <c r="F53">
        <f t="shared" si="4"/>
        <v>0</v>
      </c>
      <c r="G53">
        <f t="shared" si="4"/>
        <v>7.0699999999999999E-2</v>
      </c>
      <c r="H53">
        <f t="shared" si="4"/>
        <v>7.0699999999999999E-2</v>
      </c>
      <c r="I53">
        <f t="shared" si="4"/>
        <v>5.4800000000000001E-2</v>
      </c>
      <c r="J53">
        <f t="shared" si="4"/>
        <v>0</v>
      </c>
      <c r="K53">
        <f t="shared" si="4"/>
        <v>0</v>
      </c>
      <c r="L53">
        <f t="shared" si="4"/>
        <v>0</v>
      </c>
      <c r="M53">
        <f t="shared" si="4"/>
        <v>7.0699999999999999E-2</v>
      </c>
    </row>
    <row r="54" spans="1:13" x14ac:dyDescent="0.3">
      <c r="A54" t="s">
        <v>10</v>
      </c>
      <c r="B54">
        <f t="shared" si="4"/>
        <v>0</v>
      </c>
      <c r="C54">
        <f t="shared" si="4"/>
        <v>8.3699999999999997E-2</v>
      </c>
      <c r="D54">
        <f t="shared" si="4"/>
        <v>5.4800000000000001E-2</v>
      </c>
      <c r="E54">
        <f t="shared" si="4"/>
        <v>5.4800000000000001E-2</v>
      </c>
      <c r="F54">
        <f t="shared" si="4"/>
        <v>0</v>
      </c>
      <c r="G54">
        <f t="shared" si="4"/>
        <v>0</v>
      </c>
      <c r="H54">
        <f t="shared" si="4"/>
        <v>5.4800000000000001E-2</v>
      </c>
      <c r="I54">
        <f t="shared" si="4"/>
        <v>0</v>
      </c>
      <c r="J54">
        <f t="shared" si="4"/>
        <v>7.0699999999999999E-2</v>
      </c>
      <c r="K54">
        <f t="shared" si="4"/>
        <v>0</v>
      </c>
      <c r="L54">
        <f t="shared" si="4"/>
        <v>0</v>
      </c>
      <c r="M54">
        <f t="shared" si="4"/>
        <v>0.28460000000000002</v>
      </c>
    </row>
    <row r="55" spans="1:13" x14ac:dyDescent="0.3">
      <c r="A55" t="s">
        <v>11</v>
      </c>
      <c r="B55">
        <f t="shared" si="4"/>
        <v>3.1600000000000003E-2</v>
      </c>
      <c r="C55">
        <f t="shared" si="4"/>
        <v>0</v>
      </c>
      <c r="D55">
        <f t="shared" si="4"/>
        <v>0</v>
      </c>
      <c r="E55">
        <f t="shared" si="4"/>
        <v>0</v>
      </c>
      <c r="F55">
        <f t="shared" si="4"/>
        <v>0</v>
      </c>
      <c r="G55">
        <f t="shared" si="4"/>
        <v>0</v>
      </c>
      <c r="H55">
        <f t="shared" si="4"/>
        <v>0</v>
      </c>
      <c r="I55">
        <f t="shared" si="4"/>
        <v>5.4800000000000001E-2</v>
      </c>
      <c r="J55">
        <f t="shared" si="4"/>
        <v>8.3699999999999997E-2</v>
      </c>
      <c r="K55">
        <f t="shared" si="4"/>
        <v>5.4800000000000001E-2</v>
      </c>
      <c r="L55">
        <f t="shared" si="4"/>
        <v>0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0.251</v>
      </c>
      <c r="D58">
        <f t="shared" si="6"/>
        <v>0.3795</v>
      </c>
      <c r="E58">
        <f t="shared" si="6"/>
        <v>0.3347</v>
      </c>
      <c r="F58">
        <f t="shared" si="6"/>
        <v>0.251</v>
      </c>
      <c r="G58">
        <f t="shared" si="6"/>
        <v>0.3795</v>
      </c>
      <c r="H58">
        <f t="shared" si="6"/>
        <v>0.3347</v>
      </c>
      <c r="I58">
        <f t="shared" si="6"/>
        <v>0.3795</v>
      </c>
      <c r="J58">
        <f t="shared" si="6"/>
        <v>0.3795</v>
      </c>
      <c r="K58">
        <f t="shared" si="6"/>
        <v>7.0699999999999999E-2</v>
      </c>
      <c r="L58">
        <f t="shared" si="6"/>
        <v>0.3347</v>
      </c>
      <c r="M58">
        <f t="shared" si="6"/>
        <v>0.3795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6.3200000000000006E-2</v>
      </c>
      <c r="C59">
        <f t="shared" si="7"/>
        <v>0</v>
      </c>
      <c r="D59">
        <f t="shared" si="7"/>
        <v>0.3795</v>
      </c>
      <c r="E59">
        <f t="shared" si="7"/>
        <v>0.2828</v>
      </c>
      <c r="F59">
        <f t="shared" si="7"/>
        <v>0.251</v>
      </c>
      <c r="G59">
        <f t="shared" si="7"/>
        <v>8.3699999999999997E-2</v>
      </c>
      <c r="H59">
        <f t="shared" si="7"/>
        <v>3.1600000000000003E-2</v>
      </c>
      <c r="I59">
        <f t="shared" si="7"/>
        <v>0.1414</v>
      </c>
      <c r="J59">
        <f t="shared" si="7"/>
        <v>0.21210000000000001</v>
      </c>
      <c r="K59">
        <f t="shared" si="7"/>
        <v>0.3795</v>
      </c>
      <c r="L59">
        <f t="shared" si="7"/>
        <v>7.0699999999999999E-2</v>
      </c>
      <c r="M59">
        <f t="shared" si="7"/>
        <v>0.3795</v>
      </c>
    </row>
    <row r="60" spans="1:13" x14ac:dyDescent="0.3">
      <c r="A60" t="s">
        <v>2</v>
      </c>
      <c r="B60">
        <f t="shared" si="7"/>
        <v>7.0699999999999999E-2</v>
      </c>
      <c r="C60">
        <f t="shared" si="7"/>
        <v>5.4800000000000001E-2</v>
      </c>
      <c r="D60">
        <f t="shared" si="7"/>
        <v>0</v>
      </c>
      <c r="E60">
        <f t="shared" si="7"/>
        <v>0.3347</v>
      </c>
      <c r="F60">
        <f t="shared" si="7"/>
        <v>0.1414</v>
      </c>
      <c r="G60">
        <f t="shared" si="7"/>
        <v>0.3347</v>
      </c>
      <c r="H60">
        <f t="shared" si="7"/>
        <v>0.2828</v>
      </c>
      <c r="I60">
        <f t="shared" si="7"/>
        <v>5.4800000000000001E-2</v>
      </c>
      <c r="J60">
        <f t="shared" si="7"/>
        <v>0.3795</v>
      </c>
      <c r="K60">
        <f t="shared" si="7"/>
        <v>0.3347</v>
      </c>
      <c r="L60">
        <f t="shared" si="7"/>
        <v>0.3795</v>
      </c>
      <c r="M60">
        <f t="shared" si="7"/>
        <v>0.3795</v>
      </c>
    </row>
    <row r="61" spans="1:13" x14ac:dyDescent="0.3">
      <c r="A61" t="s">
        <v>3</v>
      </c>
      <c r="B61">
        <f t="shared" si="7"/>
        <v>0.3347</v>
      </c>
      <c r="C61">
        <f t="shared" si="7"/>
        <v>0.1095</v>
      </c>
      <c r="D61">
        <f t="shared" si="7"/>
        <v>0.3347</v>
      </c>
      <c r="E61">
        <f t="shared" si="7"/>
        <v>0</v>
      </c>
      <c r="F61">
        <f t="shared" si="7"/>
        <v>0.3347</v>
      </c>
      <c r="G61">
        <f t="shared" si="7"/>
        <v>0.3347</v>
      </c>
      <c r="H61">
        <f t="shared" si="7"/>
        <v>0.3795</v>
      </c>
      <c r="I61">
        <f t="shared" si="7"/>
        <v>0.3347</v>
      </c>
      <c r="J61">
        <f t="shared" si="7"/>
        <v>0.3795</v>
      </c>
      <c r="K61">
        <f t="shared" si="7"/>
        <v>0.3795</v>
      </c>
      <c r="L61">
        <f t="shared" si="7"/>
        <v>0.3347</v>
      </c>
      <c r="M61">
        <f t="shared" si="7"/>
        <v>0.3795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5.4800000000000001E-2</v>
      </c>
      <c r="C62">
        <f t="shared" si="8"/>
        <v>0.1414</v>
      </c>
      <c r="D62">
        <f t="shared" si="8"/>
        <v>7.0699999999999999E-2</v>
      </c>
      <c r="E62">
        <f t="shared" si="8"/>
        <v>7.0699999999999999E-2</v>
      </c>
      <c r="F62">
        <f t="shared" si="8"/>
        <v>0</v>
      </c>
      <c r="G62">
        <f t="shared" si="8"/>
        <v>0.3347</v>
      </c>
      <c r="H62">
        <f t="shared" si="8"/>
        <v>0.1414</v>
      </c>
      <c r="I62">
        <f t="shared" si="8"/>
        <v>0.21210000000000001</v>
      </c>
      <c r="J62">
        <f t="shared" si="8"/>
        <v>0.3795</v>
      </c>
      <c r="K62">
        <f t="shared" si="8"/>
        <v>0.3795</v>
      </c>
      <c r="L62">
        <f t="shared" si="8"/>
        <v>6.3200000000000006E-2</v>
      </c>
      <c r="M62">
        <f t="shared" si="8"/>
        <v>0.1414</v>
      </c>
    </row>
    <row r="63" spans="1:13" x14ac:dyDescent="0.3">
      <c r="A63" t="s">
        <v>5</v>
      </c>
      <c r="B63">
        <f t="shared" si="7"/>
        <v>0.1095</v>
      </c>
      <c r="C63">
        <f t="shared" si="7"/>
        <v>0.1095</v>
      </c>
      <c r="D63">
        <f t="shared" si="7"/>
        <v>0.1673</v>
      </c>
      <c r="E63">
        <f t="shared" si="7"/>
        <v>5.4800000000000001E-2</v>
      </c>
      <c r="F63">
        <f t="shared" si="7"/>
        <v>8.3699999999999997E-2</v>
      </c>
      <c r="G63">
        <f t="shared" si="7"/>
        <v>0</v>
      </c>
      <c r="H63">
        <f t="shared" si="7"/>
        <v>7.0699999999999999E-2</v>
      </c>
      <c r="I63">
        <f t="shared" si="7"/>
        <v>5.4800000000000001E-2</v>
      </c>
      <c r="J63">
        <f t="shared" si="7"/>
        <v>6.3200000000000006E-2</v>
      </c>
      <c r="K63">
        <f t="shared" si="7"/>
        <v>5.4800000000000001E-2</v>
      </c>
      <c r="L63">
        <f t="shared" si="7"/>
        <v>3.1600000000000003E-2</v>
      </c>
      <c r="M63">
        <f t="shared" si="7"/>
        <v>7.0699999999999999E-2</v>
      </c>
    </row>
    <row r="64" spans="1:13" x14ac:dyDescent="0.3">
      <c r="A64" t="s">
        <v>6</v>
      </c>
      <c r="B64">
        <f t="shared" si="7"/>
        <v>0.3795</v>
      </c>
      <c r="C64">
        <f t="shared" si="7"/>
        <v>0.3795</v>
      </c>
      <c r="D64">
        <f t="shared" si="7"/>
        <v>0.3795</v>
      </c>
      <c r="E64">
        <f t="shared" si="7"/>
        <v>0.3795</v>
      </c>
      <c r="F64">
        <f t="shared" si="7"/>
        <v>0.3795</v>
      </c>
      <c r="G64">
        <f t="shared" si="7"/>
        <v>0.3795</v>
      </c>
      <c r="H64">
        <f t="shared" si="7"/>
        <v>0</v>
      </c>
      <c r="I64">
        <f t="shared" si="7"/>
        <v>0.1095</v>
      </c>
      <c r="J64">
        <f t="shared" si="7"/>
        <v>0.3795</v>
      </c>
      <c r="K64">
        <f t="shared" si="7"/>
        <v>0.3795</v>
      </c>
      <c r="L64">
        <f t="shared" si="7"/>
        <v>0.3795</v>
      </c>
      <c r="M64">
        <f t="shared" si="7"/>
        <v>0.3795</v>
      </c>
    </row>
    <row r="65" spans="1:13" x14ac:dyDescent="0.3">
      <c r="A65" t="s">
        <v>7</v>
      </c>
      <c r="B65">
        <f t="shared" si="7"/>
        <v>5.4800000000000001E-2</v>
      </c>
      <c r="C65">
        <f t="shared" si="7"/>
        <v>0.1673</v>
      </c>
      <c r="D65">
        <f t="shared" si="7"/>
        <v>8.3699999999999997E-2</v>
      </c>
      <c r="E65">
        <f t="shared" si="7"/>
        <v>8.3699999999999997E-2</v>
      </c>
      <c r="F65">
        <f t="shared" si="7"/>
        <v>7.0699999999999999E-2</v>
      </c>
      <c r="G65">
        <f t="shared" si="7"/>
        <v>5.4800000000000001E-2</v>
      </c>
      <c r="H65">
        <f t="shared" si="7"/>
        <v>5.4800000000000001E-2</v>
      </c>
      <c r="I65">
        <f t="shared" si="7"/>
        <v>0</v>
      </c>
      <c r="J65">
        <f t="shared" si="7"/>
        <v>5.4800000000000001E-2</v>
      </c>
      <c r="K65">
        <f t="shared" si="7"/>
        <v>0.3795</v>
      </c>
      <c r="L65">
        <f t="shared" si="7"/>
        <v>0.3795</v>
      </c>
      <c r="M65">
        <f t="shared" si="7"/>
        <v>0.3795</v>
      </c>
    </row>
    <row r="66" spans="1:13" x14ac:dyDescent="0.3">
      <c r="A66" t="s">
        <v>8</v>
      </c>
      <c r="B66">
        <f t="shared" si="7"/>
        <v>0.21210000000000001</v>
      </c>
      <c r="C66">
        <f t="shared" si="7"/>
        <v>0.1414</v>
      </c>
      <c r="D66">
        <f t="shared" si="7"/>
        <v>0.1095</v>
      </c>
      <c r="E66">
        <f t="shared" si="7"/>
        <v>0.1095</v>
      </c>
      <c r="F66">
        <f t="shared" si="7"/>
        <v>0.1414</v>
      </c>
      <c r="G66">
        <f t="shared" si="7"/>
        <v>8.3699999999999997E-2</v>
      </c>
      <c r="H66">
        <f t="shared" si="7"/>
        <v>7.0699999999999999E-2</v>
      </c>
      <c r="I66">
        <f t="shared" si="7"/>
        <v>5.4800000000000001E-2</v>
      </c>
      <c r="J66">
        <f t="shared" si="7"/>
        <v>0</v>
      </c>
      <c r="K66">
        <f t="shared" si="7"/>
        <v>0.3347</v>
      </c>
      <c r="L66">
        <f t="shared" si="7"/>
        <v>0.3347</v>
      </c>
      <c r="M66">
        <f t="shared" si="7"/>
        <v>0.3795</v>
      </c>
    </row>
    <row r="67" spans="1:13" x14ac:dyDescent="0.3">
      <c r="A67" t="s">
        <v>9</v>
      </c>
      <c r="B67">
        <f t="shared" si="7"/>
        <v>0.1414</v>
      </c>
      <c r="C67">
        <f t="shared" si="7"/>
        <v>3.1600000000000003E-2</v>
      </c>
      <c r="D67">
        <f t="shared" si="7"/>
        <v>3.1600000000000003E-2</v>
      </c>
      <c r="E67">
        <f t="shared" si="7"/>
        <v>0.1414</v>
      </c>
      <c r="F67">
        <f t="shared" si="7"/>
        <v>7.0699999999999999E-2</v>
      </c>
      <c r="G67">
        <f t="shared" si="7"/>
        <v>0.1414</v>
      </c>
      <c r="H67">
        <f t="shared" si="7"/>
        <v>0.1414</v>
      </c>
      <c r="I67">
        <f t="shared" si="7"/>
        <v>0.1095</v>
      </c>
      <c r="J67">
        <f t="shared" si="7"/>
        <v>7.0699999999999999E-2</v>
      </c>
      <c r="K67">
        <f t="shared" si="7"/>
        <v>0</v>
      </c>
      <c r="L67">
        <f t="shared" si="7"/>
        <v>3.1600000000000003E-2</v>
      </c>
      <c r="M67">
        <f t="shared" si="7"/>
        <v>0.1414</v>
      </c>
    </row>
    <row r="68" spans="1:13" x14ac:dyDescent="0.3">
      <c r="A68" t="s">
        <v>10</v>
      </c>
      <c r="B68">
        <f t="shared" si="7"/>
        <v>3.1600000000000003E-2</v>
      </c>
      <c r="C68">
        <f t="shared" si="7"/>
        <v>0.1673</v>
      </c>
      <c r="D68">
        <f t="shared" si="7"/>
        <v>0.1095</v>
      </c>
      <c r="E68">
        <f t="shared" si="7"/>
        <v>0.1095</v>
      </c>
      <c r="F68">
        <f t="shared" si="7"/>
        <v>7.0699999999999999E-2</v>
      </c>
      <c r="G68">
        <f t="shared" si="7"/>
        <v>5.4800000000000001E-2</v>
      </c>
      <c r="H68">
        <f t="shared" si="7"/>
        <v>0.1095</v>
      </c>
      <c r="I68">
        <f t="shared" si="7"/>
        <v>5.4800000000000001E-2</v>
      </c>
      <c r="J68">
        <f t="shared" si="7"/>
        <v>0.1414</v>
      </c>
      <c r="K68">
        <f t="shared" si="7"/>
        <v>5.4800000000000001E-2</v>
      </c>
      <c r="L68">
        <f t="shared" si="7"/>
        <v>0</v>
      </c>
      <c r="M68">
        <f t="shared" si="7"/>
        <v>0.3795</v>
      </c>
    </row>
    <row r="69" spans="1:13" x14ac:dyDescent="0.3">
      <c r="A69" t="s">
        <v>11</v>
      </c>
      <c r="B69">
        <f t="shared" si="7"/>
        <v>6.3200000000000006E-2</v>
      </c>
      <c r="C69">
        <f t="shared" si="7"/>
        <v>5.4800000000000001E-2</v>
      </c>
      <c r="D69">
        <f t="shared" si="7"/>
        <v>8.3699999999999997E-2</v>
      </c>
      <c r="E69">
        <f t="shared" si="7"/>
        <v>3.1600000000000003E-2</v>
      </c>
      <c r="F69">
        <f t="shared" si="7"/>
        <v>7.0699999999999999E-2</v>
      </c>
      <c r="G69">
        <f t="shared" si="7"/>
        <v>5.4800000000000001E-2</v>
      </c>
      <c r="H69">
        <f t="shared" si="7"/>
        <v>5.4800000000000001E-2</v>
      </c>
      <c r="I69">
        <f t="shared" si="7"/>
        <v>0.1095</v>
      </c>
      <c r="J69">
        <f t="shared" si="7"/>
        <v>0.1673</v>
      </c>
      <c r="K69">
        <f t="shared" si="7"/>
        <v>0.1095</v>
      </c>
      <c r="L69">
        <f t="shared" si="7"/>
        <v>5.4800000000000001E-2</v>
      </c>
      <c r="M69">
        <f t="shared" si="7"/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2"/>
  <dimension ref="A1:M69"/>
  <sheetViews>
    <sheetView topLeftCell="A46" workbookViewId="0">
      <selection activeCell="O59" sqref="O59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0</v>
      </c>
      <c r="B2">
        <v>0</v>
      </c>
      <c r="C2" t="s">
        <v>13</v>
      </c>
      <c r="D2" t="s">
        <v>12</v>
      </c>
      <c r="E2" t="s">
        <v>21</v>
      </c>
      <c r="F2" t="s">
        <v>20</v>
      </c>
      <c r="G2" t="s">
        <v>12</v>
      </c>
      <c r="H2" t="s">
        <v>12</v>
      </c>
      <c r="I2" t="s">
        <v>16</v>
      </c>
      <c r="J2" t="s">
        <v>12</v>
      </c>
      <c r="K2" t="s">
        <v>18</v>
      </c>
      <c r="L2" s="6" t="s">
        <v>25</v>
      </c>
      <c r="M2" t="s">
        <v>25</v>
      </c>
    </row>
    <row r="3" spans="1:13" x14ac:dyDescent="0.3">
      <c r="A3" s="1" t="s">
        <v>1</v>
      </c>
      <c r="B3" t="s">
        <v>15</v>
      </c>
      <c r="C3">
        <v>0</v>
      </c>
      <c r="D3" t="s">
        <v>13</v>
      </c>
      <c r="E3" t="s">
        <v>12</v>
      </c>
      <c r="F3" t="s">
        <v>12</v>
      </c>
      <c r="G3" t="s">
        <v>22</v>
      </c>
      <c r="H3" t="s">
        <v>12</v>
      </c>
      <c r="I3" t="s">
        <v>15</v>
      </c>
      <c r="J3" t="s">
        <v>12</v>
      </c>
      <c r="K3" t="s">
        <v>25</v>
      </c>
      <c r="L3" s="6" t="s">
        <v>21</v>
      </c>
      <c r="M3" t="s">
        <v>18</v>
      </c>
    </row>
    <row r="4" spans="1:13" x14ac:dyDescent="0.3">
      <c r="A4" s="1" t="s">
        <v>2</v>
      </c>
      <c r="B4" t="s">
        <v>21</v>
      </c>
      <c r="C4" t="s">
        <v>23</v>
      </c>
      <c r="D4">
        <v>0</v>
      </c>
      <c r="E4" t="s">
        <v>12</v>
      </c>
      <c r="F4" t="s">
        <v>15</v>
      </c>
      <c r="G4" t="s">
        <v>19</v>
      </c>
      <c r="H4" t="s">
        <v>16</v>
      </c>
      <c r="I4" t="s">
        <v>16</v>
      </c>
      <c r="J4" t="s">
        <v>18</v>
      </c>
      <c r="K4" t="s">
        <v>25</v>
      </c>
      <c r="L4" s="6" t="s">
        <v>13</v>
      </c>
      <c r="M4" t="s">
        <v>13</v>
      </c>
    </row>
    <row r="5" spans="1:13" x14ac:dyDescent="0.3">
      <c r="A5" s="1" t="s">
        <v>3</v>
      </c>
      <c r="B5" t="s">
        <v>12</v>
      </c>
      <c r="C5" t="s">
        <v>12</v>
      </c>
      <c r="D5" t="s">
        <v>25</v>
      </c>
      <c r="E5">
        <v>0</v>
      </c>
      <c r="F5" t="s">
        <v>21</v>
      </c>
      <c r="G5" t="s">
        <v>15</v>
      </c>
      <c r="H5" t="s">
        <v>18</v>
      </c>
      <c r="I5" t="s">
        <v>12</v>
      </c>
      <c r="J5" t="s">
        <v>25</v>
      </c>
      <c r="K5" t="s">
        <v>25</v>
      </c>
      <c r="L5" s="6" t="s">
        <v>12</v>
      </c>
      <c r="M5" t="s">
        <v>12</v>
      </c>
    </row>
    <row r="6" spans="1:13" x14ac:dyDescent="0.3">
      <c r="A6" s="1" t="s">
        <v>4</v>
      </c>
      <c r="B6" t="s">
        <v>15</v>
      </c>
      <c r="C6" t="s">
        <v>16</v>
      </c>
      <c r="D6" t="s">
        <v>15</v>
      </c>
      <c r="E6" t="s">
        <v>16</v>
      </c>
      <c r="F6">
        <v>0</v>
      </c>
      <c r="G6" t="s">
        <v>13</v>
      </c>
      <c r="H6" t="s">
        <v>20</v>
      </c>
      <c r="I6" t="s">
        <v>16</v>
      </c>
      <c r="J6" t="s">
        <v>25</v>
      </c>
      <c r="K6" t="s">
        <v>25</v>
      </c>
      <c r="L6" s="6" t="s">
        <v>62</v>
      </c>
      <c r="M6" t="s">
        <v>24</v>
      </c>
    </row>
    <row r="7" spans="1:13" x14ac:dyDescent="0.3">
      <c r="A7" s="1" t="s">
        <v>5</v>
      </c>
      <c r="B7" t="s">
        <v>20</v>
      </c>
      <c r="C7" t="s">
        <v>24</v>
      </c>
      <c r="D7" t="s">
        <v>16</v>
      </c>
      <c r="E7" t="s">
        <v>20</v>
      </c>
      <c r="F7" t="s">
        <v>20</v>
      </c>
      <c r="G7">
        <v>0</v>
      </c>
      <c r="H7" t="s">
        <v>62</v>
      </c>
      <c r="I7" t="s">
        <v>20</v>
      </c>
      <c r="J7" t="s">
        <v>20</v>
      </c>
      <c r="K7" t="s">
        <v>16</v>
      </c>
      <c r="L7" t="s">
        <v>16</v>
      </c>
      <c r="M7" t="s">
        <v>17</v>
      </c>
    </row>
    <row r="8" spans="1:13" x14ac:dyDescent="0.3">
      <c r="A8" s="1" t="s">
        <v>6</v>
      </c>
      <c r="B8" t="s">
        <v>62</v>
      </c>
      <c r="C8" t="s">
        <v>16</v>
      </c>
      <c r="D8" t="s">
        <v>16</v>
      </c>
      <c r="E8" t="s">
        <v>15</v>
      </c>
      <c r="F8" t="s">
        <v>23</v>
      </c>
      <c r="G8" t="s">
        <v>16</v>
      </c>
      <c r="H8">
        <v>0</v>
      </c>
      <c r="I8" t="s">
        <v>15</v>
      </c>
      <c r="J8" t="s">
        <v>20</v>
      </c>
      <c r="K8" t="s">
        <v>12</v>
      </c>
      <c r="L8" t="s">
        <v>23</v>
      </c>
      <c r="M8" t="s">
        <v>15</v>
      </c>
    </row>
    <row r="9" spans="1:13" x14ac:dyDescent="0.3">
      <c r="A9" s="1" t="s">
        <v>7</v>
      </c>
      <c r="B9" t="s">
        <v>24</v>
      </c>
      <c r="C9" t="s">
        <v>22</v>
      </c>
      <c r="D9" t="s">
        <v>15</v>
      </c>
      <c r="E9" t="s">
        <v>16</v>
      </c>
      <c r="F9" t="s">
        <v>15</v>
      </c>
      <c r="G9" t="s">
        <v>71</v>
      </c>
      <c r="H9" t="s">
        <v>15</v>
      </c>
      <c r="I9">
        <v>0</v>
      </c>
      <c r="J9" t="s">
        <v>71</v>
      </c>
      <c r="K9" t="s">
        <v>13</v>
      </c>
      <c r="L9" t="s">
        <v>12</v>
      </c>
      <c r="M9" t="s">
        <v>21</v>
      </c>
    </row>
    <row r="10" spans="1:13" x14ac:dyDescent="0.3">
      <c r="A10" s="1" t="s">
        <v>8</v>
      </c>
      <c r="B10" t="s">
        <v>22</v>
      </c>
      <c r="C10" t="s">
        <v>16</v>
      </c>
      <c r="D10" t="s">
        <v>71</v>
      </c>
      <c r="E10" t="s">
        <v>16</v>
      </c>
      <c r="F10" t="s">
        <v>16</v>
      </c>
      <c r="G10" t="s">
        <v>16</v>
      </c>
      <c r="H10" t="s">
        <v>62</v>
      </c>
      <c r="I10" t="s">
        <v>15</v>
      </c>
      <c r="J10">
        <v>0</v>
      </c>
      <c r="K10" t="s">
        <v>25</v>
      </c>
      <c r="L10" t="s">
        <v>22</v>
      </c>
      <c r="M10" t="s">
        <v>13</v>
      </c>
    </row>
    <row r="11" spans="1:13" x14ac:dyDescent="0.3">
      <c r="A11" s="1" t="s">
        <v>9</v>
      </c>
      <c r="B11" t="s">
        <v>16</v>
      </c>
      <c r="C11" t="s">
        <v>24</v>
      </c>
      <c r="D11" t="s">
        <v>16</v>
      </c>
      <c r="E11" t="s">
        <v>24</v>
      </c>
      <c r="F11" t="s">
        <v>24</v>
      </c>
      <c r="G11" t="s">
        <v>71</v>
      </c>
      <c r="H11" t="s">
        <v>16</v>
      </c>
      <c r="I11" t="s">
        <v>16</v>
      </c>
      <c r="J11" t="s">
        <v>20</v>
      </c>
      <c r="K11">
        <v>0</v>
      </c>
      <c r="L11" t="s">
        <v>20</v>
      </c>
      <c r="M11" t="s">
        <v>20</v>
      </c>
    </row>
    <row r="12" spans="1:13" x14ac:dyDescent="0.3">
      <c r="A12" s="1" t="s">
        <v>10</v>
      </c>
      <c r="B12" t="s">
        <v>71</v>
      </c>
      <c r="C12" t="s">
        <v>23</v>
      </c>
      <c r="D12" t="s">
        <v>20</v>
      </c>
      <c r="E12" t="s">
        <v>16</v>
      </c>
      <c r="F12" t="s">
        <v>16</v>
      </c>
      <c r="G12" t="s">
        <v>20</v>
      </c>
      <c r="H12" t="s">
        <v>17</v>
      </c>
      <c r="I12" t="s">
        <v>62</v>
      </c>
      <c r="J12" t="s">
        <v>15</v>
      </c>
      <c r="K12" t="s">
        <v>24</v>
      </c>
      <c r="L12">
        <v>0</v>
      </c>
      <c r="M12" t="s">
        <v>13</v>
      </c>
    </row>
    <row r="13" spans="1:13" x14ac:dyDescent="0.3">
      <c r="A13" s="1" t="s">
        <v>11</v>
      </c>
      <c r="B13" t="s">
        <v>24</v>
      </c>
      <c r="C13" t="s">
        <v>15</v>
      </c>
      <c r="D13" t="s">
        <v>15</v>
      </c>
      <c r="E13" t="s">
        <v>16</v>
      </c>
      <c r="F13" t="s">
        <v>15</v>
      </c>
      <c r="G13" t="s">
        <v>16</v>
      </c>
      <c r="H13" t="s">
        <v>15</v>
      </c>
      <c r="I13" t="s">
        <v>16</v>
      </c>
      <c r="J13" t="s">
        <v>15</v>
      </c>
      <c r="K13" t="s">
        <v>16</v>
      </c>
      <c r="L13" t="s">
        <v>18</v>
      </c>
      <c r="M13">
        <v>0</v>
      </c>
    </row>
    <row r="15" spans="1:13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3">
      <c r="A16" t="s">
        <v>0</v>
      </c>
      <c r="B16" t="str">
        <f>VLOOKUP(B2,'Thang đánh giá'!$C$2:$D$27,2,FALSE)</f>
        <v>(0; 0; 0)</v>
      </c>
      <c r="C16" t="str">
        <f>VLOOKUP(C2,'Thang đánh giá'!$C$2:$D$27,2,FALSE)</f>
        <v>(0,1897; 0,2846; 0,3795)</v>
      </c>
      <c r="D16" t="str">
        <f>VLOOKUP(D2,'Thang đánh giá'!$C$2:$D$27,2,FALSE)</f>
        <v>(0,1673; 0,251; 0,3347)</v>
      </c>
      <c r="E16" t="str">
        <f>VLOOKUP(E2,'Thang đánh giá'!$C$2:$D$27,2,FALSE)</f>
        <v>(0,0837; 0,1673; 0,251)</v>
      </c>
      <c r="F16" t="str">
        <f>VLOOKUP(F2,'Thang đánh giá'!$C$2:$D$27,2,FALSE)</f>
        <v>(0; 0,0548; 0,1095)</v>
      </c>
      <c r="G16" t="str">
        <f>VLOOKUP(G2,'Thang đánh giá'!$C$2:$D$27,2,FALSE)</f>
        <v>(0,1673; 0,251; 0,3347)</v>
      </c>
      <c r="H16" t="str">
        <f>VLOOKUP(H2,'Thang đánh giá'!$C$2:$D$27,2,FALSE)</f>
        <v>(0,1673; 0,251; 0,3347)</v>
      </c>
      <c r="I16" t="str">
        <f>VLOOKUP(I2,'Thang đánh giá'!$C$2:$D$27,2,FALSE)</f>
        <v>(0; 0; 0,0707)</v>
      </c>
      <c r="J16" t="str">
        <f>VLOOKUP(J2,'Thang đánh giá'!$C$2:$D$27,2,FALSE)</f>
        <v>(0,1673; 0,251; 0,3347)</v>
      </c>
      <c r="K16" t="str">
        <f>VLOOKUP(K2,'Thang đánh giá'!$C$2:$D$27,2,FALSE)</f>
        <v>(0,2846; 0,3795; 0,3795)</v>
      </c>
      <c r="L16" t="str">
        <f>VLOOKUP(L2,'Thang đánh giá'!$C$2:$D$27,2,FALSE)</f>
        <v>(0,251; 0,3347; 0,3347)</v>
      </c>
      <c r="M16" t="str">
        <f>VLOOKUP(M2,'Thang đánh giá'!$C$2:$D$27,2,FALSE)</f>
        <v>(0,251; 0,3347; 0,3347)</v>
      </c>
    </row>
    <row r="17" spans="1:13" x14ac:dyDescent="0.3">
      <c r="A17" t="s">
        <v>1</v>
      </c>
      <c r="B17" t="str">
        <f>VLOOKUP(B3,'Thang đánh giá'!$C$2:$D$27,2,FALSE)</f>
        <v>(0; 0,0707; 0,1414)</v>
      </c>
      <c r="C17" t="str">
        <f>VLOOKUP(C3,'Thang đánh giá'!$C$2:$D$27,2,FALSE)</f>
        <v>(0; 0; 0)</v>
      </c>
      <c r="D17" t="str">
        <f>VLOOKUP(D3,'Thang đánh giá'!$C$2:$D$27,2,FALSE)</f>
        <v>(0,1897; 0,2846; 0,3795)</v>
      </c>
      <c r="E17" t="str">
        <f>VLOOKUP(E3,'Thang đánh giá'!$C$2:$D$27,2,FALSE)</f>
        <v>(0,1673; 0,251; 0,3347)</v>
      </c>
      <c r="F17" t="str">
        <f>VLOOKUP(F3,'Thang đánh giá'!$C$2:$D$27,2,FALSE)</f>
        <v>(0,1673; 0,251; 0,3347)</v>
      </c>
      <c r="G17" t="str">
        <f>VLOOKUP(G3,'Thang đánh giá'!$C$2:$D$27,2,FALSE)</f>
        <v>(0,0707; 0,1414; 0,2121)</v>
      </c>
      <c r="H17" t="str">
        <f>VLOOKUP(H3,'Thang đánh giá'!$C$2:$D$27,2,FALSE)</f>
        <v>(0,1673; 0,251; 0,3347)</v>
      </c>
      <c r="I17" t="str">
        <f>VLOOKUP(I3,'Thang đánh giá'!$C$2:$D$27,2,FALSE)</f>
        <v>(0; 0,0707; 0,1414)</v>
      </c>
      <c r="J17" t="str">
        <f>VLOOKUP(J3,'Thang đánh giá'!$C$2:$D$27,2,FALSE)</f>
        <v>(0,1673; 0,251; 0,3347)</v>
      </c>
      <c r="K17" t="str">
        <f>VLOOKUP(K3,'Thang đánh giá'!$C$2:$D$27,2,FALSE)</f>
        <v>(0,251; 0,3347; 0,3347)</v>
      </c>
      <c r="L17" t="str">
        <f>VLOOKUP(L3,'Thang đánh giá'!$C$2:$D$27,2,FALSE)</f>
        <v>(0,0837; 0,1673; 0,251)</v>
      </c>
      <c r="M17" t="str">
        <f>VLOOKUP(M3,'Thang đánh giá'!$C$2:$D$27,2,FALSE)</f>
        <v>(0,2846; 0,3795; 0,3795)</v>
      </c>
    </row>
    <row r="18" spans="1:13" x14ac:dyDescent="0.3">
      <c r="A18" t="s">
        <v>2</v>
      </c>
      <c r="B18" t="str">
        <f>VLOOKUP(B4,'Thang đánh giá'!$C$2:$D$27,2,FALSE)</f>
        <v>(0,0837; 0,1673; 0,251)</v>
      </c>
      <c r="C18" t="str">
        <f>VLOOKUP(C4,'Thang đánh giá'!$C$2:$D$27,2,FALSE)</f>
        <v>(0; 0; 0,0316)</v>
      </c>
      <c r="D18" t="str">
        <f>VLOOKUP(D4,'Thang đánh giá'!$C$2:$D$27,2,FALSE)</f>
        <v>(0; 0; 0)</v>
      </c>
      <c r="E18" t="str">
        <f>VLOOKUP(E4,'Thang đánh giá'!$C$2:$D$27,2,FALSE)</f>
        <v>(0,1673; 0,251; 0,3347)</v>
      </c>
      <c r="F18" t="str">
        <f>VLOOKUP(F4,'Thang đánh giá'!$C$2:$D$27,2,FALSE)</f>
        <v>(0; 0,0707; 0,1414)</v>
      </c>
      <c r="G18" t="str">
        <f>VLOOKUP(G4,'Thang đánh giá'!$C$2:$D$27,2,FALSE)</f>
        <v>(0,1414; 0,2121; 0,2828)</v>
      </c>
      <c r="H18" t="str">
        <f>VLOOKUP(H4,'Thang đánh giá'!$C$2:$D$27,2,FALSE)</f>
        <v>(0; 0; 0,0707)</v>
      </c>
      <c r="I18" t="str">
        <f>VLOOKUP(I4,'Thang đánh giá'!$C$2:$D$27,2,FALSE)</f>
        <v>(0; 0; 0,0707)</v>
      </c>
      <c r="J18" t="str">
        <f>VLOOKUP(J4,'Thang đánh giá'!$C$2:$D$27,2,FALSE)</f>
        <v>(0,2846; 0,3795; 0,3795)</v>
      </c>
      <c r="K18" t="str">
        <f>VLOOKUP(K4,'Thang đánh giá'!$C$2:$D$27,2,FALSE)</f>
        <v>(0,251; 0,3347; 0,3347)</v>
      </c>
      <c r="L18" t="str">
        <f>VLOOKUP(L4,'Thang đánh giá'!$C$2:$D$27,2,FALSE)</f>
        <v>(0,1897; 0,2846; 0,3795)</v>
      </c>
      <c r="M18" t="str">
        <f>VLOOKUP(M4,'Thang đánh giá'!$C$2:$D$27,2,FALSE)</f>
        <v>(0,1897; 0,2846; 0,3795)</v>
      </c>
    </row>
    <row r="19" spans="1:13" x14ac:dyDescent="0.3">
      <c r="A19" t="s">
        <v>3</v>
      </c>
      <c r="B19" t="str">
        <f>VLOOKUP(B5,'Thang đánh giá'!$C$2:$D$27,2,FALSE)</f>
        <v>(0,1673; 0,251; 0,3347)</v>
      </c>
      <c r="C19" t="str">
        <f>VLOOKUP(C5,'Thang đánh giá'!$C$2:$D$27,2,FALSE)</f>
        <v>(0,1673; 0,251; 0,3347)</v>
      </c>
      <c r="D19" t="str">
        <f>VLOOKUP(D5,'Thang đánh giá'!$C$2:$D$27,2,FALSE)</f>
        <v>(0,251; 0,3347; 0,3347)</v>
      </c>
      <c r="E19" t="str">
        <f>VLOOKUP(E5,'Thang đánh giá'!$C$2:$D$27,2,FALSE)</f>
        <v>(0; 0; 0)</v>
      </c>
      <c r="F19" t="str">
        <f>VLOOKUP(F5,'Thang đánh giá'!$C$2:$D$27,2,FALSE)</f>
        <v>(0,0837; 0,1673; 0,251)</v>
      </c>
      <c r="G19" t="str">
        <f>VLOOKUP(G5,'Thang đánh giá'!$C$2:$D$27,2,FALSE)</f>
        <v>(0; 0,0707; 0,1414)</v>
      </c>
      <c r="H19" t="str">
        <f>VLOOKUP(H5,'Thang đánh giá'!$C$2:$D$27,2,FALSE)</f>
        <v>(0,2846; 0,3795; 0,3795)</v>
      </c>
      <c r="I19" t="str">
        <f>VLOOKUP(I5,'Thang đánh giá'!$C$2:$D$27,2,FALSE)</f>
        <v>(0,1673; 0,251; 0,3347)</v>
      </c>
      <c r="J19" t="str">
        <f>VLOOKUP(J5,'Thang đánh giá'!$C$2:$D$27,2,FALSE)</f>
        <v>(0,251; 0,3347; 0,3347)</v>
      </c>
      <c r="K19" t="str">
        <f>VLOOKUP(K5,'Thang đánh giá'!$C$2:$D$27,2,FALSE)</f>
        <v>(0,251; 0,3347; 0,3347)</v>
      </c>
      <c r="L19" t="str">
        <f>VLOOKUP(L5,'Thang đánh giá'!$C$2:$D$27,2,FALSE)</f>
        <v>(0,1673; 0,251; 0,3347)</v>
      </c>
      <c r="M19" t="str">
        <f>VLOOKUP(M5,'Thang đánh giá'!$C$2:$D$27,2,FALSE)</f>
        <v>(0,1673; 0,251; 0,3347)</v>
      </c>
    </row>
    <row r="20" spans="1:13" x14ac:dyDescent="0.3">
      <c r="A20" t="s">
        <v>4</v>
      </c>
      <c r="B20" t="str">
        <f>VLOOKUP(B6,'Thang đánh giá'!$C$2:$D$27,2,FALSE)</f>
        <v>(0; 0,0707; 0,1414)</v>
      </c>
      <c r="C20" t="str">
        <f>VLOOKUP(C6,'Thang đánh giá'!$C$2:$D$27,2,FALSE)</f>
        <v>(0; 0; 0,0707)</v>
      </c>
      <c r="D20" t="str">
        <f>VLOOKUP(D6,'Thang đánh giá'!$C$2:$D$27,2,FALSE)</f>
        <v>(0; 0,0707; 0,1414)</v>
      </c>
      <c r="E20" t="str">
        <f>VLOOKUP(E6,'Thang đánh giá'!$C$2:$D$27,2,FALSE)</f>
        <v>(0; 0; 0,0707)</v>
      </c>
      <c r="F20" t="str">
        <f>VLOOKUP(F6,'Thang đánh giá'!$C$2:$D$27,2,FALSE)</f>
        <v>(0; 0; 0)</v>
      </c>
      <c r="G20" t="str">
        <f>VLOOKUP(G6,'Thang đánh giá'!$C$2:$D$27,2,FALSE)</f>
        <v>(0,1897; 0,2846; 0,3795)</v>
      </c>
      <c r="H20" t="str">
        <f>VLOOKUP(H6,'Thang đánh giá'!$C$2:$D$27,2,FALSE)</f>
        <v>(0; 0,0548; 0,1095)</v>
      </c>
      <c r="I20" t="str">
        <f>VLOOKUP(I6,'Thang đánh giá'!$C$2:$D$27,2,FALSE)</f>
        <v>(0; 0; 0,0707)</v>
      </c>
      <c r="J20" t="str">
        <f>VLOOKUP(J6,'Thang đánh giá'!$C$2:$D$27,2,FALSE)</f>
        <v>(0,251; 0,3347; 0,3347)</v>
      </c>
      <c r="K20" t="str">
        <f>VLOOKUP(K6,'Thang đánh giá'!$C$2:$D$27,2,FALSE)</f>
        <v>(0,251; 0,3347; 0,3347)</v>
      </c>
      <c r="L20" t="str">
        <f>VLOOKUP(L6,'Thang đánh giá'!$C$2:$D$27,2,FALSE)</f>
        <v>(0; 0,0837; 0,1673)</v>
      </c>
      <c r="M20" t="str">
        <f>VLOOKUP(M6,'Thang đánh giá'!$C$2:$D$27,2,FALSE)</f>
        <v>(0; 0; 0,0548)</v>
      </c>
    </row>
    <row r="21" spans="1:13" x14ac:dyDescent="0.3">
      <c r="A21" t="s">
        <v>5</v>
      </c>
      <c r="B21" t="str">
        <f>VLOOKUP(B7,'Thang đánh giá'!$C$2:$D$27,2,FALSE)</f>
        <v>(0; 0,0548; 0,1095)</v>
      </c>
      <c r="C21" t="str">
        <f>VLOOKUP(C7,'Thang đánh giá'!$C$2:$D$27,2,FALSE)</f>
        <v>(0; 0; 0,0548)</v>
      </c>
      <c r="D21" t="str">
        <f>VLOOKUP(D7,'Thang đánh giá'!$C$2:$D$27,2,FALSE)</f>
        <v>(0; 0; 0,0707)</v>
      </c>
      <c r="E21" t="str">
        <f>VLOOKUP(E7,'Thang đánh giá'!$C$2:$D$27,2,FALSE)</f>
        <v>(0; 0,0548; 0,1095)</v>
      </c>
      <c r="F21" t="str">
        <f>VLOOKUP(F7,'Thang đánh giá'!$C$2:$D$27,2,FALSE)</f>
        <v>(0; 0,0548; 0,1095)</v>
      </c>
      <c r="G21" t="str">
        <f>VLOOKUP(G7,'Thang đánh giá'!$C$2:$D$27,2,FALSE)</f>
        <v>(0; 0; 0)</v>
      </c>
      <c r="H21" t="str">
        <f>VLOOKUP(H7,'Thang đánh giá'!$C$2:$D$27,2,FALSE)</f>
        <v>(0; 0,0837; 0,1673)</v>
      </c>
      <c r="I21" t="str">
        <f>VLOOKUP(I7,'Thang đánh giá'!$C$2:$D$27,2,FALSE)</f>
        <v>(0; 0,0548; 0,1095)</v>
      </c>
      <c r="J21" t="str">
        <f>VLOOKUP(J7,'Thang đánh giá'!$C$2:$D$27,2,FALSE)</f>
        <v>(0; 0,0548; 0,1095)</v>
      </c>
      <c r="K21" t="str">
        <f>VLOOKUP(K7,'Thang đánh giá'!$C$2:$D$27,2,FALSE)</f>
        <v>(0; 0; 0,0707)</v>
      </c>
      <c r="L21" t="str">
        <f>VLOOKUP(L7,'Thang đánh giá'!$C$2:$D$27,2,FALSE)</f>
        <v>(0; 0; 0,0707)</v>
      </c>
      <c r="M21" t="str">
        <f>VLOOKUP(M7,'Thang đánh giá'!$C$2:$D$27,2,FALSE)</f>
        <v>(0; 0,0316; 0,0632)</v>
      </c>
    </row>
    <row r="22" spans="1:13" x14ac:dyDescent="0.3">
      <c r="A22" t="s">
        <v>6</v>
      </c>
      <c r="B22" t="str">
        <f>VLOOKUP(B8,'Thang đánh giá'!$C$2:$D$27,2,FALSE)</f>
        <v>(0; 0,0837; 0,1673)</v>
      </c>
      <c r="C22" t="str">
        <f>VLOOKUP(C8,'Thang đánh giá'!$C$2:$D$27,2,FALSE)</f>
        <v>(0; 0; 0,0707)</v>
      </c>
      <c r="D22" t="str">
        <f>VLOOKUP(D8,'Thang đánh giá'!$C$2:$D$27,2,FALSE)</f>
        <v>(0; 0; 0,0707)</v>
      </c>
      <c r="E22" t="str">
        <f>VLOOKUP(E8,'Thang đánh giá'!$C$2:$D$27,2,FALSE)</f>
        <v>(0; 0,0707; 0,1414)</v>
      </c>
      <c r="F22" t="str">
        <f>VLOOKUP(F8,'Thang đánh giá'!$C$2:$D$27,2,FALSE)</f>
        <v>(0; 0; 0,0316)</v>
      </c>
      <c r="G22" t="str">
        <f>VLOOKUP(G8,'Thang đánh giá'!$C$2:$D$27,2,FALSE)</f>
        <v>(0; 0; 0,0707)</v>
      </c>
      <c r="H22" t="str">
        <f>VLOOKUP(H8,'Thang đánh giá'!$C$2:$D$27,2,FALSE)</f>
        <v>(0; 0; 0)</v>
      </c>
      <c r="I22" t="str">
        <f>VLOOKUP(I8,'Thang đánh giá'!$C$2:$D$27,2,FALSE)</f>
        <v>(0; 0,0707; 0,1414)</v>
      </c>
      <c r="J22" t="str">
        <f>VLOOKUP(J8,'Thang đánh giá'!$C$2:$D$27,2,FALSE)</f>
        <v>(0; 0,0548; 0,1095)</v>
      </c>
      <c r="K22" t="str">
        <f>VLOOKUP(K8,'Thang đánh giá'!$C$2:$D$27,2,FALSE)</f>
        <v>(0,1673; 0,251; 0,3347)</v>
      </c>
      <c r="L22" t="str">
        <f>VLOOKUP(L8,'Thang đánh giá'!$C$2:$D$27,2,FALSE)</f>
        <v>(0; 0; 0,0316)</v>
      </c>
      <c r="M22" t="str">
        <f>VLOOKUP(M8,'Thang đánh giá'!$C$2:$D$27,2,FALSE)</f>
        <v>(0; 0,0707; 0,1414)</v>
      </c>
    </row>
    <row r="23" spans="1:13" x14ac:dyDescent="0.3">
      <c r="A23" t="s">
        <v>7</v>
      </c>
      <c r="B23" t="str">
        <f>VLOOKUP(B9,'Thang đánh giá'!$C$2:$D$27,2,FALSE)</f>
        <v>(0; 0; 0,0548)</v>
      </c>
      <c r="C23" t="str">
        <f>VLOOKUP(C9,'Thang đánh giá'!$C$2:$D$27,2,FALSE)</f>
        <v>(0,0707; 0,1414; 0,2121)</v>
      </c>
      <c r="D23" t="str">
        <f>VLOOKUP(D9,'Thang đánh giá'!$C$2:$D$27,2,FALSE)</f>
        <v>(0; 0,0707; 0,1414)</v>
      </c>
      <c r="E23" t="str">
        <f>VLOOKUP(E9,'Thang đánh giá'!$C$2:$D$27,2,FALSE)</f>
        <v>(0; 0; 0,0707)</v>
      </c>
      <c r="F23" t="str">
        <f>VLOOKUP(F9,'Thang đánh giá'!$C$2:$D$27,2,FALSE)</f>
        <v>(0; 0,0707; 0,1414)</v>
      </c>
      <c r="G23" t="str">
        <f>VLOOKUP(G9,'Thang đánh giá'!$C$2:$D$27,2,FALSE)</f>
        <v>(0; 0; 0,0837)</v>
      </c>
      <c r="H23" t="str">
        <f>VLOOKUP(H9,'Thang đánh giá'!$C$2:$D$27,2,FALSE)</f>
        <v>(0; 0,0707; 0,1414)</v>
      </c>
      <c r="I23" t="str">
        <f>VLOOKUP(I9,'Thang đánh giá'!$C$2:$D$27,2,FALSE)</f>
        <v>(0; 0; 0)</v>
      </c>
      <c r="J23" t="str">
        <f>VLOOKUP(J9,'Thang đánh giá'!$C$2:$D$27,2,FALSE)</f>
        <v>(0; 0; 0,0837)</v>
      </c>
      <c r="K23" t="str">
        <f>VLOOKUP(K9,'Thang đánh giá'!$C$2:$D$27,2,FALSE)</f>
        <v>(0,1897; 0,2846; 0,3795)</v>
      </c>
      <c r="L23" t="str">
        <f>VLOOKUP(L9,'Thang đánh giá'!$C$2:$D$27,2,FALSE)</f>
        <v>(0,1673; 0,251; 0,3347)</v>
      </c>
      <c r="M23" t="str">
        <f>VLOOKUP(M9,'Thang đánh giá'!$C$2:$D$27,2,FALSE)</f>
        <v>(0,0837; 0,1673; 0,251)</v>
      </c>
    </row>
    <row r="24" spans="1:13" x14ac:dyDescent="0.3">
      <c r="A24" t="s">
        <v>8</v>
      </c>
      <c r="B24" t="str">
        <f>VLOOKUP(B10,'Thang đánh giá'!$C$2:$D$27,2,FALSE)</f>
        <v>(0,0707; 0,1414; 0,2121)</v>
      </c>
      <c r="C24" t="str">
        <f>VLOOKUP(C10,'Thang đánh giá'!$C$2:$D$27,2,FALSE)</f>
        <v>(0; 0; 0,0707)</v>
      </c>
      <c r="D24" t="str">
        <f>VLOOKUP(D10,'Thang đánh giá'!$C$2:$D$27,2,FALSE)</f>
        <v>(0; 0; 0,0837)</v>
      </c>
      <c r="E24" t="str">
        <f>VLOOKUP(E10,'Thang đánh giá'!$C$2:$D$27,2,FALSE)</f>
        <v>(0; 0; 0,0707)</v>
      </c>
      <c r="F24" t="str">
        <f>VLOOKUP(F10,'Thang đánh giá'!$C$2:$D$27,2,FALSE)</f>
        <v>(0; 0; 0,0707)</v>
      </c>
      <c r="G24" t="str">
        <f>VLOOKUP(G10,'Thang đánh giá'!$C$2:$D$27,2,FALSE)</f>
        <v>(0; 0; 0,0707)</v>
      </c>
      <c r="H24" t="str">
        <f>VLOOKUP(H10,'Thang đánh giá'!$C$2:$D$27,2,FALSE)</f>
        <v>(0; 0,0837; 0,1673)</v>
      </c>
      <c r="I24" t="str">
        <f>VLOOKUP(I10,'Thang đánh giá'!$C$2:$D$27,2,FALSE)</f>
        <v>(0; 0,0707; 0,1414)</v>
      </c>
      <c r="J24" t="str">
        <f>VLOOKUP(J10,'Thang đánh giá'!$C$2:$D$27,2,FALSE)</f>
        <v>(0; 0; 0)</v>
      </c>
      <c r="K24" t="str">
        <f>VLOOKUP(K10,'Thang đánh giá'!$C$2:$D$27,2,FALSE)</f>
        <v>(0,251; 0,3347; 0,3347)</v>
      </c>
      <c r="L24" t="str">
        <f>VLOOKUP(L10,'Thang đánh giá'!$C$2:$D$27,2,FALSE)</f>
        <v>(0,0707; 0,1414; 0,2121)</v>
      </c>
      <c r="M24" t="str">
        <f>VLOOKUP(M10,'Thang đánh giá'!$C$2:$D$27,2,FALSE)</f>
        <v>(0,1897; 0,2846; 0,3795)</v>
      </c>
    </row>
    <row r="25" spans="1:13" x14ac:dyDescent="0.3">
      <c r="A25" t="s">
        <v>9</v>
      </c>
      <c r="B25" t="str">
        <f>VLOOKUP(B11,'Thang đánh giá'!$C$2:$D$27,2,FALSE)</f>
        <v>(0; 0; 0,0707)</v>
      </c>
      <c r="C25" t="str">
        <f>VLOOKUP(C11,'Thang đánh giá'!$C$2:$D$27,2,FALSE)</f>
        <v>(0; 0; 0,0548)</v>
      </c>
      <c r="D25" t="str">
        <f>VLOOKUP(D11,'Thang đánh giá'!$C$2:$D$27,2,FALSE)</f>
        <v>(0; 0; 0,0707)</v>
      </c>
      <c r="E25" t="str">
        <f>VLOOKUP(E11,'Thang đánh giá'!$C$2:$D$27,2,FALSE)</f>
        <v>(0; 0; 0,0548)</v>
      </c>
      <c r="F25" t="str">
        <f>VLOOKUP(F11,'Thang đánh giá'!$C$2:$D$27,2,FALSE)</f>
        <v>(0; 0; 0,0548)</v>
      </c>
      <c r="G25" t="str">
        <f>VLOOKUP(G11,'Thang đánh giá'!$C$2:$D$27,2,FALSE)</f>
        <v>(0; 0; 0,0837)</v>
      </c>
      <c r="H25" t="str">
        <f>VLOOKUP(H11,'Thang đánh giá'!$C$2:$D$27,2,FALSE)</f>
        <v>(0; 0; 0,0707)</v>
      </c>
      <c r="I25" t="str">
        <f>VLOOKUP(I11,'Thang đánh giá'!$C$2:$D$27,2,FALSE)</f>
        <v>(0; 0; 0,0707)</v>
      </c>
      <c r="J25" t="str">
        <f>VLOOKUP(J11,'Thang đánh giá'!$C$2:$D$27,2,FALSE)</f>
        <v>(0; 0,0548; 0,1095)</v>
      </c>
      <c r="K25" t="str">
        <f>VLOOKUP(K11,'Thang đánh giá'!$C$2:$D$27,2,FALSE)</f>
        <v>(0; 0; 0)</v>
      </c>
      <c r="L25" t="str">
        <f>VLOOKUP(L11,'Thang đánh giá'!$C$2:$D$27,2,FALSE)</f>
        <v>(0; 0,0548; 0,1095)</v>
      </c>
      <c r="M25" t="str">
        <f>VLOOKUP(M11,'Thang đánh giá'!$C$2:$D$27,2,FALSE)</f>
        <v>(0; 0,0548; 0,1095)</v>
      </c>
    </row>
    <row r="26" spans="1:13" x14ac:dyDescent="0.3">
      <c r="A26" t="s">
        <v>10</v>
      </c>
      <c r="B26" t="str">
        <f>VLOOKUP(B12,'Thang đánh giá'!$C$2:$D$27,2,FALSE)</f>
        <v>(0; 0; 0,0837)</v>
      </c>
      <c r="C26" t="str">
        <f>VLOOKUP(C12,'Thang đánh giá'!$C$2:$D$27,2,FALSE)</f>
        <v>(0; 0; 0,0316)</v>
      </c>
      <c r="D26" t="str">
        <f>VLOOKUP(D12,'Thang đánh giá'!$C$2:$D$27,2,FALSE)</f>
        <v>(0; 0,0548; 0,1095)</v>
      </c>
      <c r="E26" t="str">
        <f>VLOOKUP(E12,'Thang đánh giá'!$C$2:$D$27,2,FALSE)</f>
        <v>(0; 0; 0,0707)</v>
      </c>
      <c r="F26" t="str">
        <f>VLOOKUP(F12,'Thang đánh giá'!$C$2:$D$27,2,FALSE)</f>
        <v>(0; 0; 0,0707)</v>
      </c>
      <c r="G26" t="str">
        <f>VLOOKUP(G12,'Thang đánh giá'!$C$2:$D$27,2,FALSE)</f>
        <v>(0; 0,0548; 0,1095)</v>
      </c>
      <c r="H26" t="str">
        <f>VLOOKUP(H12,'Thang đánh giá'!$C$2:$D$27,2,FALSE)</f>
        <v>(0; 0,0316; 0,0632)</v>
      </c>
      <c r="I26" t="str">
        <f>VLOOKUP(I12,'Thang đánh giá'!$C$2:$D$27,2,FALSE)</f>
        <v>(0; 0,0837; 0,1673)</v>
      </c>
      <c r="J26" t="str">
        <f>VLOOKUP(J12,'Thang đánh giá'!$C$2:$D$27,2,FALSE)</f>
        <v>(0; 0,0707; 0,1414)</v>
      </c>
      <c r="K26" t="str">
        <f>VLOOKUP(K12,'Thang đánh giá'!$C$2:$D$27,2,FALSE)</f>
        <v>(0; 0; 0,0548)</v>
      </c>
      <c r="L26" t="str">
        <f>VLOOKUP(L12,'Thang đánh giá'!$C$2:$D$27,2,FALSE)</f>
        <v>(0; 0; 0)</v>
      </c>
      <c r="M26" t="str">
        <f>VLOOKUP(M12,'Thang đánh giá'!$C$2:$D$27,2,FALSE)</f>
        <v>(0,1897; 0,2846; 0,3795)</v>
      </c>
    </row>
    <row r="27" spans="1:13" x14ac:dyDescent="0.3">
      <c r="A27" t="s">
        <v>11</v>
      </c>
      <c r="B27" t="str">
        <f>VLOOKUP(B13,'Thang đánh giá'!$C$2:$D$27,2,FALSE)</f>
        <v>(0; 0; 0,0548)</v>
      </c>
      <c r="C27" t="str">
        <f>VLOOKUP(C13,'Thang đánh giá'!$C$2:$D$27,2,FALSE)</f>
        <v>(0; 0,0707; 0,1414)</v>
      </c>
      <c r="D27" t="str">
        <f>VLOOKUP(D13,'Thang đánh giá'!$C$2:$D$27,2,FALSE)</f>
        <v>(0; 0,0707; 0,1414)</v>
      </c>
      <c r="E27" t="str">
        <f>VLOOKUP(E13,'Thang đánh giá'!$C$2:$D$27,2,FALSE)</f>
        <v>(0; 0; 0,0707)</v>
      </c>
      <c r="F27" t="str">
        <f>VLOOKUP(F13,'Thang đánh giá'!$C$2:$D$27,2,FALSE)</f>
        <v>(0; 0,0707; 0,1414)</v>
      </c>
      <c r="G27" t="str">
        <f>VLOOKUP(G13,'Thang đánh giá'!$C$2:$D$27,2,FALSE)</f>
        <v>(0; 0; 0,0707)</v>
      </c>
      <c r="H27" t="str">
        <f>VLOOKUP(H13,'Thang đánh giá'!$C$2:$D$27,2,FALSE)</f>
        <v>(0; 0,0707; 0,1414)</v>
      </c>
      <c r="I27" t="str">
        <f>VLOOKUP(I13,'Thang đánh giá'!$C$2:$D$27,2,FALSE)</f>
        <v>(0; 0; 0,0707)</v>
      </c>
      <c r="J27" t="str">
        <f>VLOOKUP(J13,'Thang đánh giá'!$C$2:$D$27,2,FALSE)</f>
        <v>(0; 0,0707; 0,1414)</v>
      </c>
      <c r="K27" t="str">
        <f>VLOOKUP(K13,'Thang đánh giá'!$C$2:$D$27,2,FALSE)</f>
        <v>(0; 0; 0,0707)</v>
      </c>
      <c r="L27" t="str">
        <f>VLOOKUP(L13,'Thang đánh giá'!$C$2:$D$27,2,FALSE)</f>
        <v>(0,2846; 0,3795; 0,3795)</v>
      </c>
      <c r="M27" t="str">
        <f>VLOOKUP(M13,'Thang đánh giá'!$C$2:$D$27,2,FALSE)</f>
        <v>(0; 0; 0)</v>
      </c>
    </row>
    <row r="29" spans="1:13" x14ac:dyDescent="0.3">
      <c r="A29" t="s">
        <v>44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x14ac:dyDescent="0.3">
      <c r="A30" t="s">
        <v>0</v>
      </c>
      <c r="B30">
        <f>_xlfn.NUMBERVALUE(MID(B16,2,FIND(";",B16,1)-2))</f>
        <v>0</v>
      </c>
      <c r="C30">
        <f t="shared" ref="C30:M30" si="0">_xlfn.NUMBERVALUE(MID(C16,2,FIND(";",C16,1)-2))</f>
        <v>0.18970000000000001</v>
      </c>
      <c r="D30">
        <f t="shared" si="0"/>
        <v>0.1673</v>
      </c>
      <c r="E30">
        <f t="shared" si="0"/>
        <v>8.3699999999999997E-2</v>
      </c>
      <c r="F30">
        <f t="shared" si="0"/>
        <v>0</v>
      </c>
      <c r="G30">
        <f t="shared" si="0"/>
        <v>0.1673</v>
      </c>
      <c r="H30">
        <f t="shared" si="0"/>
        <v>0.1673</v>
      </c>
      <c r="I30">
        <f t="shared" si="0"/>
        <v>0</v>
      </c>
      <c r="J30">
        <f t="shared" si="0"/>
        <v>0.1673</v>
      </c>
      <c r="K30">
        <f t="shared" si="0"/>
        <v>0.28460000000000002</v>
      </c>
      <c r="L30">
        <f t="shared" si="0"/>
        <v>0.251</v>
      </c>
      <c r="M30">
        <f t="shared" si="0"/>
        <v>0.251</v>
      </c>
    </row>
    <row r="31" spans="1:13" x14ac:dyDescent="0.3">
      <c r="A31" t="s">
        <v>1</v>
      </c>
      <c r="B31">
        <f t="shared" ref="B31:M41" si="1">_xlfn.NUMBERVALUE(MID(B17,2,FIND(";",B17,1)-2))</f>
        <v>0</v>
      </c>
      <c r="C31">
        <f t="shared" si="1"/>
        <v>0</v>
      </c>
      <c r="D31">
        <f t="shared" si="1"/>
        <v>0.18970000000000001</v>
      </c>
      <c r="E31">
        <f t="shared" si="1"/>
        <v>0.1673</v>
      </c>
      <c r="F31">
        <f t="shared" si="1"/>
        <v>0.1673</v>
      </c>
      <c r="G31">
        <f t="shared" si="1"/>
        <v>7.0699999999999999E-2</v>
      </c>
      <c r="H31">
        <f t="shared" si="1"/>
        <v>0.1673</v>
      </c>
      <c r="I31">
        <f t="shared" si="1"/>
        <v>0</v>
      </c>
      <c r="J31">
        <f t="shared" si="1"/>
        <v>0.1673</v>
      </c>
      <c r="K31">
        <f t="shared" si="1"/>
        <v>0.251</v>
      </c>
      <c r="L31">
        <f t="shared" si="1"/>
        <v>8.3699999999999997E-2</v>
      </c>
      <c r="M31">
        <f t="shared" si="1"/>
        <v>0.28460000000000002</v>
      </c>
    </row>
    <row r="32" spans="1:13" x14ac:dyDescent="0.3">
      <c r="A32" t="s">
        <v>2</v>
      </c>
      <c r="B32">
        <f t="shared" si="1"/>
        <v>8.3699999999999997E-2</v>
      </c>
      <c r="C32">
        <f t="shared" si="1"/>
        <v>0</v>
      </c>
      <c r="D32">
        <f t="shared" si="1"/>
        <v>0</v>
      </c>
      <c r="E32">
        <f t="shared" si="1"/>
        <v>0.1673</v>
      </c>
      <c r="F32">
        <f t="shared" si="1"/>
        <v>0</v>
      </c>
      <c r="G32">
        <f t="shared" si="1"/>
        <v>0.1414</v>
      </c>
      <c r="H32">
        <f t="shared" si="1"/>
        <v>0</v>
      </c>
      <c r="I32">
        <f t="shared" si="1"/>
        <v>0</v>
      </c>
      <c r="J32">
        <f t="shared" si="1"/>
        <v>0.28460000000000002</v>
      </c>
      <c r="K32">
        <f t="shared" si="1"/>
        <v>0.251</v>
      </c>
      <c r="L32">
        <f t="shared" si="1"/>
        <v>0.18970000000000001</v>
      </c>
      <c r="M32">
        <f t="shared" si="1"/>
        <v>0.18970000000000001</v>
      </c>
    </row>
    <row r="33" spans="1:13" x14ac:dyDescent="0.3">
      <c r="A33" t="s">
        <v>3</v>
      </c>
      <c r="B33">
        <f t="shared" si="1"/>
        <v>0.1673</v>
      </c>
      <c r="C33">
        <f t="shared" si="1"/>
        <v>0.1673</v>
      </c>
      <c r="D33">
        <f t="shared" si="1"/>
        <v>0.251</v>
      </c>
      <c r="E33">
        <f t="shared" si="1"/>
        <v>0</v>
      </c>
      <c r="F33">
        <f t="shared" si="1"/>
        <v>8.3699999999999997E-2</v>
      </c>
      <c r="G33">
        <f t="shared" si="1"/>
        <v>0</v>
      </c>
      <c r="H33">
        <f t="shared" si="1"/>
        <v>0.28460000000000002</v>
      </c>
      <c r="I33">
        <f t="shared" si="1"/>
        <v>0.1673</v>
      </c>
      <c r="J33">
        <f t="shared" si="1"/>
        <v>0.251</v>
      </c>
      <c r="K33">
        <f t="shared" si="1"/>
        <v>0.251</v>
      </c>
      <c r="L33">
        <f t="shared" si="1"/>
        <v>0.1673</v>
      </c>
      <c r="M33">
        <f t="shared" si="1"/>
        <v>0.1673</v>
      </c>
    </row>
    <row r="34" spans="1:13" x14ac:dyDescent="0.3">
      <c r="A34" t="s">
        <v>4</v>
      </c>
      <c r="B34">
        <f t="shared" ref="B34:M34" si="2">_xlfn.NUMBERVALUE(MID(B20,2,FIND(";",B20,1)-2))</f>
        <v>0</v>
      </c>
      <c r="C34">
        <f t="shared" si="2"/>
        <v>0</v>
      </c>
      <c r="D34">
        <f t="shared" si="2"/>
        <v>0</v>
      </c>
      <c r="E34">
        <f t="shared" si="2"/>
        <v>0</v>
      </c>
      <c r="F34">
        <f t="shared" si="2"/>
        <v>0</v>
      </c>
      <c r="G34">
        <f t="shared" si="2"/>
        <v>0.18970000000000001</v>
      </c>
      <c r="H34">
        <f t="shared" si="2"/>
        <v>0</v>
      </c>
      <c r="I34">
        <f t="shared" si="2"/>
        <v>0</v>
      </c>
      <c r="J34">
        <f t="shared" si="2"/>
        <v>0.251</v>
      </c>
      <c r="K34">
        <f t="shared" si="2"/>
        <v>0.251</v>
      </c>
      <c r="L34">
        <f t="shared" si="2"/>
        <v>0</v>
      </c>
      <c r="M34">
        <f t="shared" si="2"/>
        <v>0</v>
      </c>
    </row>
    <row r="35" spans="1:13" x14ac:dyDescent="0.3">
      <c r="A35" t="s">
        <v>5</v>
      </c>
      <c r="B35">
        <f t="shared" si="1"/>
        <v>0</v>
      </c>
      <c r="C35">
        <f t="shared" si="1"/>
        <v>0</v>
      </c>
      <c r="D35">
        <f t="shared" si="1"/>
        <v>0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0</v>
      </c>
      <c r="J35">
        <f t="shared" si="1"/>
        <v>0</v>
      </c>
      <c r="K35">
        <f t="shared" si="1"/>
        <v>0</v>
      </c>
      <c r="L35">
        <f t="shared" si="1"/>
        <v>0</v>
      </c>
      <c r="M35">
        <f t="shared" si="1"/>
        <v>0</v>
      </c>
    </row>
    <row r="36" spans="1:13" x14ac:dyDescent="0.3">
      <c r="A36" t="s">
        <v>6</v>
      </c>
      <c r="B36">
        <f t="shared" si="1"/>
        <v>0</v>
      </c>
      <c r="C36">
        <f t="shared" si="1"/>
        <v>0</v>
      </c>
      <c r="D36">
        <f t="shared" si="1"/>
        <v>0</v>
      </c>
      <c r="E36">
        <f t="shared" si="1"/>
        <v>0</v>
      </c>
      <c r="F36">
        <f t="shared" si="1"/>
        <v>0</v>
      </c>
      <c r="G36">
        <f t="shared" si="1"/>
        <v>0</v>
      </c>
      <c r="H36">
        <f t="shared" si="1"/>
        <v>0</v>
      </c>
      <c r="I36">
        <f t="shared" si="1"/>
        <v>0</v>
      </c>
      <c r="J36">
        <f t="shared" si="1"/>
        <v>0</v>
      </c>
      <c r="K36">
        <f t="shared" si="1"/>
        <v>0.1673</v>
      </c>
      <c r="L36">
        <f t="shared" si="1"/>
        <v>0</v>
      </c>
      <c r="M36">
        <f t="shared" si="1"/>
        <v>0</v>
      </c>
    </row>
    <row r="37" spans="1:13" x14ac:dyDescent="0.3">
      <c r="A37" t="s">
        <v>7</v>
      </c>
      <c r="B37">
        <f t="shared" si="1"/>
        <v>0</v>
      </c>
      <c r="C37">
        <f t="shared" si="1"/>
        <v>7.0699999999999999E-2</v>
      </c>
      <c r="D37">
        <f t="shared" si="1"/>
        <v>0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0</v>
      </c>
      <c r="K37">
        <f t="shared" si="1"/>
        <v>0.18970000000000001</v>
      </c>
      <c r="L37">
        <f t="shared" si="1"/>
        <v>0.1673</v>
      </c>
      <c r="M37">
        <f t="shared" si="1"/>
        <v>8.3699999999999997E-2</v>
      </c>
    </row>
    <row r="38" spans="1:13" x14ac:dyDescent="0.3">
      <c r="A38" t="s">
        <v>8</v>
      </c>
      <c r="B38">
        <f t="shared" si="1"/>
        <v>7.0699999999999999E-2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0</v>
      </c>
      <c r="I38">
        <f t="shared" si="1"/>
        <v>0</v>
      </c>
      <c r="J38">
        <f t="shared" si="1"/>
        <v>0</v>
      </c>
      <c r="K38">
        <f t="shared" si="1"/>
        <v>0.251</v>
      </c>
      <c r="L38">
        <f t="shared" si="1"/>
        <v>7.0699999999999999E-2</v>
      </c>
      <c r="M38">
        <f t="shared" si="1"/>
        <v>0.18970000000000001</v>
      </c>
    </row>
    <row r="39" spans="1:13" x14ac:dyDescent="0.3">
      <c r="A39" t="s">
        <v>9</v>
      </c>
      <c r="B39">
        <f t="shared" si="1"/>
        <v>0</v>
      </c>
      <c r="C39">
        <f t="shared" si="1"/>
        <v>0</v>
      </c>
      <c r="D39">
        <f t="shared" si="1"/>
        <v>0</v>
      </c>
      <c r="E39">
        <f t="shared" si="1"/>
        <v>0</v>
      </c>
      <c r="F39">
        <f t="shared" si="1"/>
        <v>0</v>
      </c>
      <c r="G39">
        <f t="shared" si="1"/>
        <v>0</v>
      </c>
      <c r="H39">
        <f t="shared" si="1"/>
        <v>0</v>
      </c>
      <c r="I39">
        <f t="shared" si="1"/>
        <v>0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0</v>
      </c>
    </row>
    <row r="40" spans="1:13" x14ac:dyDescent="0.3">
      <c r="A40" t="s">
        <v>10</v>
      </c>
      <c r="B40">
        <f t="shared" si="1"/>
        <v>0</v>
      </c>
      <c r="C40">
        <f t="shared" si="1"/>
        <v>0</v>
      </c>
      <c r="D40">
        <f t="shared" si="1"/>
        <v>0</v>
      </c>
      <c r="E40">
        <f t="shared" si="1"/>
        <v>0</v>
      </c>
      <c r="F40">
        <f t="shared" si="1"/>
        <v>0</v>
      </c>
      <c r="G40">
        <f t="shared" si="1"/>
        <v>0</v>
      </c>
      <c r="H40">
        <f t="shared" si="1"/>
        <v>0</v>
      </c>
      <c r="I40">
        <f t="shared" si="1"/>
        <v>0</v>
      </c>
      <c r="J40">
        <f t="shared" si="1"/>
        <v>0</v>
      </c>
      <c r="K40">
        <f t="shared" si="1"/>
        <v>0</v>
      </c>
      <c r="L40">
        <f t="shared" si="1"/>
        <v>0</v>
      </c>
      <c r="M40">
        <f t="shared" si="1"/>
        <v>0.18970000000000001</v>
      </c>
    </row>
    <row r="41" spans="1:13" x14ac:dyDescent="0.3">
      <c r="A41" t="s">
        <v>11</v>
      </c>
      <c r="B41">
        <f t="shared" si="1"/>
        <v>0</v>
      </c>
      <c r="C41">
        <f t="shared" si="1"/>
        <v>0</v>
      </c>
      <c r="D41">
        <f t="shared" si="1"/>
        <v>0</v>
      </c>
      <c r="E41">
        <f t="shared" si="1"/>
        <v>0</v>
      </c>
      <c r="F41">
        <f t="shared" si="1"/>
        <v>0</v>
      </c>
      <c r="G41">
        <f t="shared" si="1"/>
        <v>0</v>
      </c>
      <c r="H41">
        <f t="shared" si="1"/>
        <v>0</v>
      </c>
      <c r="I41">
        <f t="shared" si="1"/>
        <v>0</v>
      </c>
      <c r="J41">
        <f t="shared" si="1"/>
        <v>0</v>
      </c>
      <c r="K41">
        <f t="shared" si="1"/>
        <v>0</v>
      </c>
      <c r="L41">
        <f t="shared" si="1"/>
        <v>0.28460000000000002</v>
      </c>
      <c r="M41">
        <f t="shared" si="1"/>
        <v>0</v>
      </c>
    </row>
    <row r="43" spans="1:13" x14ac:dyDescent="0.3">
      <c r="A43" t="s">
        <v>39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</row>
    <row r="44" spans="1:13" x14ac:dyDescent="0.3">
      <c r="A44" t="s">
        <v>0</v>
      </c>
      <c r="B44">
        <f>_xlfn.NUMBERVALUE(MID(B16,FIND(";",B16,1)+1,FIND(";",B16,FIND(";",B16,1)+1)-FIND(";",B16,1)-1))</f>
        <v>0</v>
      </c>
      <c r="C44">
        <f t="shared" ref="C44:M44" si="3">_xlfn.NUMBERVALUE(MID(C16,FIND(";",C16,1)+1,FIND(";",C16,FIND(";",C16,1)+1)-FIND(";",C16,1)-1))</f>
        <v>0.28460000000000002</v>
      </c>
      <c r="D44">
        <f t="shared" si="3"/>
        <v>0.251</v>
      </c>
      <c r="E44">
        <f t="shared" si="3"/>
        <v>0.1673</v>
      </c>
      <c r="F44">
        <f t="shared" si="3"/>
        <v>5.4800000000000001E-2</v>
      </c>
      <c r="G44">
        <f t="shared" si="3"/>
        <v>0.251</v>
      </c>
      <c r="H44">
        <f t="shared" si="3"/>
        <v>0.251</v>
      </c>
      <c r="I44">
        <f t="shared" si="3"/>
        <v>0</v>
      </c>
      <c r="J44">
        <f t="shared" si="3"/>
        <v>0.251</v>
      </c>
      <c r="K44">
        <f t="shared" si="3"/>
        <v>0.3795</v>
      </c>
      <c r="L44">
        <f t="shared" si="3"/>
        <v>0.3347</v>
      </c>
      <c r="M44">
        <f t="shared" si="3"/>
        <v>0.3347</v>
      </c>
    </row>
    <row r="45" spans="1:13" x14ac:dyDescent="0.3">
      <c r="A45" t="s">
        <v>1</v>
      </c>
      <c r="B45">
        <f t="shared" ref="B45:M55" si="4">_xlfn.NUMBERVALUE(MID(B17,FIND(";",B17,1)+1,FIND(";",B17,FIND(";",B17,1)+1)-FIND(";",B17,1)-1))</f>
        <v>7.0699999999999999E-2</v>
      </c>
      <c r="C45">
        <f t="shared" si="4"/>
        <v>0</v>
      </c>
      <c r="D45">
        <f t="shared" si="4"/>
        <v>0.28460000000000002</v>
      </c>
      <c r="E45">
        <f t="shared" si="4"/>
        <v>0.251</v>
      </c>
      <c r="F45">
        <f t="shared" si="4"/>
        <v>0.251</v>
      </c>
      <c r="G45">
        <f t="shared" si="4"/>
        <v>0.1414</v>
      </c>
      <c r="H45">
        <f t="shared" si="4"/>
        <v>0.251</v>
      </c>
      <c r="I45">
        <f t="shared" si="4"/>
        <v>7.0699999999999999E-2</v>
      </c>
      <c r="J45">
        <f t="shared" si="4"/>
        <v>0.251</v>
      </c>
      <c r="K45">
        <f t="shared" si="4"/>
        <v>0.3347</v>
      </c>
      <c r="L45">
        <f t="shared" si="4"/>
        <v>0.1673</v>
      </c>
      <c r="M45">
        <f t="shared" si="4"/>
        <v>0.3795</v>
      </c>
    </row>
    <row r="46" spans="1:13" x14ac:dyDescent="0.3">
      <c r="A46" t="s">
        <v>2</v>
      </c>
      <c r="B46">
        <f t="shared" si="4"/>
        <v>0.1673</v>
      </c>
      <c r="C46">
        <f t="shared" si="4"/>
        <v>0</v>
      </c>
      <c r="D46">
        <f t="shared" si="4"/>
        <v>0</v>
      </c>
      <c r="E46">
        <f t="shared" si="4"/>
        <v>0.251</v>
      </c>
      <c r="F46">
        <f t="shared" si="4"/>
        <v>7.0699999999999999E-2</v>
      </c>
      <c r="G46">
        <f t="shared" si="4"/>
        <v>0.21210000000000001</v>
      </c>
      <c r="H46">
        <f t="shared" si="4"/>
        <v>0</v>
      </c>
      <c r="I46">
        <f t="shared" si="4"/>
        <v>0</v>
      </c>
      <c r="J46">
        <f t="shared" si="4"/>
        <v>0.3795</v>
      </c>
      <c r="K46">
        <f t="shared" si="4"/>
        <v>0.3347</v>
      </c>
      <c r="L46">
        <f t="shared" si="4"/>
        <v>0.28460000000000002</v>
      </c>
      <c r="M46">
        <f t="shared" si="4"/>
        <v>0.28460000000000002</v>
      </c>
    </row>
    <row r="47" spans="1:13" x14ac:dyDescent="0.3">
      <c r="A47" t="s">
        <v>3</v>
      </c>
      <c r="B47">
        <f t="shared" si="4"/>
        <v>0.251</v>
      </c>
      <c r="C47">
        <f t="shared" si="4"/>
        <v>0.251</v>
      </c>
      <c r="D47">
        <f t="shared" si="4"/>
        <v>0.3347</v>
      </c>
      <c r="E47">
        <f t="shared" si="4"/>
        <v>0</v>
      </c>
      <c r="F47">
        <f t="shared" si="4"/>
        <v>0.1673</v>
      </c>
      <c r="G47">
        <f t="shared" si="4"/>
        <v>7.0699999999999999E-2</v>
      </c>
      <c r="H47">
        <f t="shared" si="4"/>
        <v>0.3795</v>
      </c>
      <c r="I47">
        <f t="shared" si="4"/>
        <v>0.251</v>
      </c>
      <c r="J47">
        <f t="shared" si="4"/>
        <v>0.3347</v>
      </c>
      <c r="K47">
        <f t="shared" si="4"/>
        <v>0.3347</v>
      </c>
      <c r="L47">
        <f t="shared" si="4"/>
        <v>0.251</v>
      </c>
      <c r="M47">
        <f t="shared" si="4"/>
        <v>0.251</v>
      </c>
    </row>
    <row r="48" spans="1:13" x14ac:dyDescent="0.3">
      <c r="A48" t="s">
        <v>4</v>
      </c>
      <c r="B48">
        <f t="shared" ref="B48:M48" si="5">_xlfn.NUMBERVALUE(MID(B20,FIND(";",B20,1)+1,FIND(";",B20,FIND(";",B20,1)+1)-FIND(";",B20,1)-1))</f>
        <v>7.0699999999999999E-2</v>
      </c>
      <c r="C48">
        <f t="shared" si="5"/>
        <v>0</v>
      </c>
      <c r="D48">
        <f t="shared" si="5"/>
        <v>7.0699999999999999E-2</v>
      </c>
      <c r="E48">
        <f t="shared" si="5"/>
        <v>0</v>
      </c>
      <c r="F48">
        <f t="shared" si="5"/>
        <v>0</v>
      </c>
      <c r="G48">
        <f t="shared" si="5"/>
        <v>0.28460000000000002</v>
      </c>
      <c r="H48">
        <f t="shared" si="5"/>
        <v>5.4800000000000001E-2</v>
      </c>
      <c r="I48">
        <f t="shared" si="5"/>
        <v>0</v>
      </c>
      <c r="J48">
        <f t="shared" si="5"/>
        <v>0.3347</v>
      </c>
      <c r="K48">
        <f t="shared" si="5"/>
        <v>0.3347</v>
      </c>
      <c r="L48">
        <f t="shared" si="5"/>
        <v>8.3699999999999997E-2</v>
      </c>
      <c r="M48">
        <f t="shared" si="5"/>
        <v>0</v>
      </c>
    </row>
    <row r="49" spans="1:13" x14ac:dyDescent="0.3">
      <c r="A49" t="s">
        <v>5</v>
      </c>
      <c r="B49">
        <f t="shared" si="4"/>
        <v>5.4800000000000001E-2</v>
      </c>
      <c r="C49">
        <f t="shared" si="4"/>
        <v>0</v>
      </c>
      <c r="D49">
        <f t="shared" si="4"/>
        <v>0</v>
      </c>
      <c r="E49">
        <f t="shared" si="4"/>
        <v>5.4800000000000001E-2</v>
      </c>
      <c r="F49">
        <f t="shared" si="4"/>
        <v>5.4800000000000001E-2</v>
      </c>
      <c r="G49">
        <f t="shared" si="4"/>
        <v>0</v>
      </c>
      <c r="H49">
        <f t="shared" si="4"/>
        <v>8.3699999999999997E-2</v>
      </c>
      <c r="I49">
        <f t="shared" si="4"/>
        <v>5.4800000000000001E-2</v>
      </c>
      <c r="J49">
        <f t="shared" si="4"/>
        <v>5.4800000000000001E-2</v>
      </c>
      <c r="K49">
        <f t="shared" si="4"/>
        <v>0</v>
      </c>
      <c r="L49">
        <f t="shared" si="4"/>
        <v>0</v>
      </c>
      <c r="M49">
        <f t="shared" si="4"/>
        <v>3.1600000000000003E-2</v>
      </c>
    </row>
    <row r="50" spans="1:13" x14ac:dyDescent="0.3">
      <c r="A50" t="s">
        <v>6</v>
      </c>
      <c r="B50">
        <f t="shared" si="4"/>
        <v>8.3699999999999997E-2</v>
      </c>
      <c r="C50">
        <f t="shared" si="4"/>
        <v>0</v>
      </c>
      <c r="D50">
        <f t="shared" si="4"/>
        <v>0</v>
      </c>
      <c r="E50">
        <f t="shared" si="4"/>
        <v>7.0699999999999999E-2</v>
      </c>
      <c r="F50">
        <f t="shared" si="4"/>
        <v>0</v>
      </c>
      <c r="G50">
        <f t="shared" si="4"/>
        <v>0</v>
      </c>
      <c r="H50">
        <f t="shared" si="4"/>
        <v>0</v>
      </c>
      <c r="I50">
        <f t="shared" si="4"/>
        <v>7.0699999999999999E-2</v>
      </c>
      <c r="J50">
        <f t="shared" si="4"/>
        <v>5.4800000000000001E-2</v>
      </c>
      <c r="K50">
        <f t="shared" si="4"/>
        <v>0.251</v>
      </c>
      <c r="L50">
        <f t="shared" si="4"/>
        <v>0</v>
      </c>
      <c r="M50">
        <f t="shared" si="4"/>
        <v>7.0699999999999999E-2</v>
      </c>
    </row>
    <row r="51" spans="1:13" x14ac:dyDescent="0.3">
      <c r="A51" t="s">
        <v>7</v>
      </c>
      <c r="B51">
        <f t="shared" si="4"/>
        <v>0</v>
      </c>
      <c r="C51">
        <f t="shared" si="4"/>
        <v>0.1414</v>
      </c>
      <c r="D51">
        <f t="shared" si="4"/>
        <v>7.0699999999999999E-2</v>
      </c>
      <c r="E51">
        <f t="shared" si="4"/>
        <v>0</v>
      </c>
      <c r="F51">
        <f t="shared" si="4"/>
        <v>7.0699999999999999E-2</v>
      </c>
      <c r="G51">
        <f t="shared" si="4"/>
        <v>0</v>
      </c>
      <c r="H51">
        <f t="shared" si="4"/>
        <v>7.0699999999999999E-2</v>
      </c>
      <c r="I51">
        <f t="shared" si="4"/>
        <v>0</v>
      </c>
      <c r="J51">
        <f t="shared" si="4"/>
        <v>0</v>
      </c>
      <c r="K51">
        <f t="shared" si="4"/>
        <v>0.28460000000000002</v>
      </c>
      <c r="L51">
        <f t="shared" si="4"/>
        <v>0.251</v>
      </c>
      <c r="M51">
        <f t="shared" si="4"/>
        <v>0.1673</v>
      </c>
    </row>
    <row r="52" spans="1:13" x14ac:dyDescent="0.3">
      <c r="A52" t="s">
        <v>8</v>
      </c>
      <c r="B52">
        <f t="shared" si="4"/>
        <v>0.1414</v>
      </c>
      <c r="C52">
        <f t="shared" si="4"/>
        <v>0</v>
      </c>
      <c r="D52">
        <f t="shared" si="4"/>
        <v>0</v>
      </c>
      <c r="E52">
        <f t="shared" si="4"/>
        <v>0</v>
      </c>
      <c r="F52">
        <f t="shared" si="4"/>
        <v>0</v>
      </c>
      <c r="G52">
        <f t="shared" si="4"/>
        <v>0</v>
      </c>
      <c r="H52">
        <f t="shared" si="4"/>
        <v>8.3699999999999997E-2</v>
      </c>
      <c r="I52">
        <f t="shared" si="4"/>
        <v>7.0699999999999999E-2</v>
      </c>
      <c r="J52">
        <f t="shared" si="4"/>
        <v>0</v>
      </c>
      <c r="K52">
        <f t="shared" si="4"/>
        <v>0.3347</v>
      </c>
      <c r="L52">
        <f t="shared" si="4"/>
        <v>0.1414</v>
      </c>
      <c r="M52">
        <f t="shared" si="4"/>
        <v>0.28460000000000002</v>
      </c>
    </row>
    <row r="53" spans="1:13" x14ac:dyDescent="0.3">
      <c r="A53" t="s">
        <v>9</v>
      </c>
      <c r="B53">
        <f t="shared" si="4"/>
        <v>0</v>
      </c>
      <c r="C53">
        <f t="shared" si="4"/>
        <v>0</v>
      </c>
      <c r="D53">
        <f t="shared" si="4"/>
        <v>0</v>
      </c>
      <c r="E53">
        <f t="shared" si="4"/>
        <v>0</v>
      </c>
      <c r="F53">
        <f t="shared" si="4"/>
        <v>0</v>
      </c>
      <c r="G53">
        <f t="shared" si="4"/>
        <v>0</v>
      </c>
      <c r="H53">
        <f t="shared" si="4"/>
        <v>0</v>
      </c>
      <c r="I53">
        <f t="shared" si="4"/>
        <v>0</v>
      </c>
      <c r="J53">
        <f t="shared" si="4"/>
        <v>5.4800000000000001E-2</v>
      </c>
      <c r="K53">
        <f t="shared" si="4"/>
        <v>0</v>
      </c>
      <c r="L53">
        <f t="shared" si="4"/>
        <v>5.4800000000000001E-2</v>
      </c>
      <c r="M53">
        <f t="shared" si="4"/>
        <v>5.4800000000000001E-2</v>
      </c>
    </row>
    <row r="54" spans="1:13" x14ac:dyDescent="0.3">
      <c r="A54" t="s">
        <v>10</v>
      </c>
      <c r="B54">
        <f t="shared" si="4"/>
        <v>0</v>
      </c>
      <c r="C54">
        <f t="shared" si="4"/>
        <v>0</v>
      </c>
      <c r="D54">
        <f t="shared" si="4"/>
        <v>5.4800000000000001E-2</v>
      </c>
      <c r="E54">
        <f t="shared" si="4"/>
        <v>0</v>
      </c>
      <c r="F54">
        <f t="shared" si="4"/>
        <v>0</v>
      </c>
      <c r="G54">
        <f t="shared" si="4"/>
        <v>5.4800000000000001E-2</v>
      </c>
      <c r="H54">
        <f t="shared" si="4"/>
        <v>3.1600000000000003E-2</v>
      </c>
      <c r="I54">
        <f t="shared" si="4"/>
        <v>8.3699999999999997E-2</v>
      </c>
      <c r="J54">
        <f t="shared" si="4"/>
        <v>7.0699999999999999E-2</v>
      </c>
      <c r="K54">
        <f t="shared" si="4"/>
        <v>0</v>
      </c>
      <c r="L54">
        <f t="shared" si="4"/>
        <v>0</v>
      </c>
      <c r="M54">
        <f t="shared" si="4"/>
        <v>0.28460000000000002</v>
      </c>
    </row>
    <row r="55" spans="1:13" x14ac:dyDescent="0.3">
      <c r="A55" t="s">
        <v>11</v>
      </c>
      <c r="B55">
        <f t="shared" si="4"/>
        <v>0</v>
      </c>
      <c r="C55">
        <f t="shared" si="4"/>
        <v>7.0699999999999999E-2</v>
      </c>
      <c r="D55">
        <f t="shared" si="4"/>
        <v>7.0699999999999999E-2</v>
      </c>
      <c r="E55">
        <f t="shared" si="4"/>
        <v>0</v>
      </c>
      <c r="F55">
        <f t="shared" si="4"/>
        <v>7.0699999999999999E-2</v>
      </c>
      <c r="G55">
        <f t="shared" si="4"/>
        <v>0</v>
      </c>
      <c r="H55">
        <f t="shared" si="4"/>
        <v>7.0699999999999999E-2</v>
      </c>
      <c r="I55">
        <f t="shared" si="4"/>
        <v>0</v>
      </c>
      <c r="J55">
        <f t="shared" si="4"/>
        <v>7.0699999999999999E-2</v>
      </c>
      <c r="K55">
        <f t="shared" si="4"/>
        <v>0</v>
      </c>
      <c r="L55">
        <f t="shared" si="4"/>
        <v>0.3795</v>
      </c>
      <c r="M55">
        <f t="shared" si="4"/>
        <v>0</v>
      </c>
    </row>
    <row r="57" spans="1:13" x14ac:dyDescent="0.3">
      <c r="A57" t="s">
        <v>77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</row>
    <row r="58" spans="1:13" x14ac:dyDescent="0.3">
      <c r="A58" t="s">
        <v>0</v>
      </c>
      <c r="B58">
        <f>_xlfn.NUMBERVALUE(MID(B16,FIND(";",B16,FIND(";",B16,1)+1)+1, LEN(B16)-FIND(";",B16,FIND(";",B16,1)+1)-1))</f>
        <v>0</v>
      </c>
      <c r="C58">
        <f t="shared" ref="C58:M58" si="6">_xlfn.NUMBERVALUE(MID(C16,FIND(";",C16,FIND(";",C16,1)+1)+1, LEN(C16)-FIND(";",C16,FIND(";",C16,1)+1)-1))</f>
        <v>0.3795</v>
      </c>
      <c r="D58">
        <f t="shared" si="6"/>
        <v>0.3347</v>
      </c>
      <c r="E58">
        <f t="shared" si="6"/>
        <v>0.251</v>
      </c>
      <c r="F58">
        <f t="shared" si="6"/>
        <v>0.1095</v>
      </c>
      <c r="G58">
        <f t="shared" si="6"/>
        <v>0.3347</v>
      </c>
      <c r="H58">
        <f t="shared" si="6"/>
        <v>0.3347</v>
      </c>
      <c r="I58">
        <f t="shared" si="6"/>
        <v>7.0699999999999999E-2</v>
      </c>
      <c r="J58">
        <f t="shared" si="6"/>
        <v>0.3347</v>
      </c>
      <c r="K58">
        <f t="shared" si="6"/>
        <v>0.3795</v>
      </c>
      <c r="L58">
        <f t="shared" si="6"/>
        <v>0.3347</v>
      </c>
      <c r="M58">
        <f t="shared" si="6"/>
        <v>0.3347</v>
      </c>
    </row>
    <row r="59" spans="1:13" x14ac:dyDescent="0.3">
      <c r="A59" t="s">
        <v>1</v>
      </c>
      <c r="B59">
        <f t="shared" ref="B59:M69" si="7">_xlfn.NUMBERVALUE(MID(B17,FIND(";",B17,FIND(";",B17,1)+1)+1, LEN(B17)-FIND(";",B17,FIND(";",B17,1)+1)-1))</f>
        <v>0.1414</v>
      </c>
      <c r="C59">
        <f t="shared" si="7"/>
        <v>0</v>
      </c>
      <c r="D59">
        <f t="shared" si="7"/>
        <v>0.3795</v>
      </c>
      <c r="E59">
        <f t="shared" si="7"/>
        <v>0.3347</v>
      </c>
      <c r="F59">
        <f t="shared" si="7"/>
        <v>0.3347</v>
      </c>
      <c r="G59">
        <f t="shared" si="7"/>
        <v>0.21210000000000001</v>
      </c>
      <c r="H59">
        <f t="shared" si="7"/>
        <v>0.3347</v>
      </c>
      <c r="I59">
        <f t="shared" si="7"/>
        <v>0.1414</v>
      </c>
      <c r="J59">
        <f t="shared" si="7"/>
        <v>0.3347</v>
      </c>
      <c r="K59">
        <f t="shared" si="7"/>
        <v>0.3347</v>
      </c>
      <c r="L59">
        <f t="shared" si="7"/>
        <v>0.251</v>
      </c>
      <c r="M59">
        <f t="shared" si="7"/>
        <v>0.3795</v>
      </c>
    </row>
    <row r="60" spans="1:13" x14ac:dyDescent="0.3">
      <c r="A60" t="s">
        <v>2</v>
      </c>
      <c r="B60">
        <f t="shared" si="7"/>
        <v>0.251</v>
      </c>
      <c r="C60">
        <f t="shared" si="7"/>
        <v>3.1600000000000003E-2</v>
      </c>
      <c r="D60">
        <f t="shared" si="7"/>
        <v>0</v>
      </c>
      <c r="E60">
        <f t="shared" si="7"/>
        <v>0.3347</v>
      </c>
      <c r="F60">
        <f t="shared" si="7"/>
        <v>0.1414</v>
      </c>
      <c r="G60">
        <f t="shared" si="7"/>
        <v>0.2828</v>
      </c>
      <c r="H60">
        <f t="shared" si="7"/>
        <v>7.0699999999999999E-2</v>
      </c>
      <c r="I60">
        <f t="shared" si="7"/>
        <v>7.0699999999999999E-2</v>
      </c>
      <c r="J60">
        <f t="shared" si="7"/>
        <v>0.3795</v>
      </c>
      <c r="K60">
        <f t="shared" si="7"/>
        <v>0.3347</v>
      </c>
      <c r="L60">
        <f t="shared" si="7"/>
        <v>0.3795</v>
      </c>
      <c r="M60">
        <f t="shared" si="7"/>
        <v>0.3795</v>
      </c>
    </row>
    <row r="61" spans="1:13" x14ac:dyDescent="0.3">
      <c r="A61" t="s">
        <v>3</v>
      </c>
      <c r="B61">
        <f t="shared" si="7"/>
        <v>0.3347</v>
      </c>
      <c r="C61">
        <f t="shared" si="7"/>
        <v>0.3347</v>
      </c>
      <c r="D61">
        <f t="shared" si="7"/>
        <v>0.3347</v>
      </c>
      <c r="E61">
        <f t="shared" si="7"/>
        <v>0</v>
      </c>
      <c r="F61">
        <f t="shared" si="7"/>
        <v>0.251</v>
      </c>
      <c r="G61">
        <f t="shared" si="7"/>
        <v>0.1414</v>
      </c>
      <c r="H61">
        <f t="shared" si="7"/>
        <v>0.3795</v>
      </c>
      <c r="I61">
        <f t="shared" si="7"/>
        <v>0.3347</v>
      </c>
      <c r="J61">
        <f t="shared" si="7"/>
        <v>0.3347</v>
      </c>
      <c r="K61">
        <f t="shared" si="7"/>
        <v>0.3347</v>
      </c>
      <c r="L61">
        <f t="shared" si="7"/>
        <v>0.3347</v>
      </c>
      <c r="M61">
        <f t="shared" si="7"/>
        <v>0.3347</v>
      </c>
    </row>
    <row r="62" spans="1:13" x14ac:dyDescent="0.3">
      <c r="A62" t="s">
        <v>4</v>
      </c>
      <c r="B62">
        <f t="shared" ref="B62:M62" si="8">_xlfn.NUMBERVALUE(MID(B20,FIND(";",B20,FIND(";",B20,1)+1)+1, LEN(B20)-FIND(";",B20,FIND(";",B20,1)+1)-1))</f>
        <v>0.1414</v>
      </c>
      <c r="C62">
        <f t="shared" si="8"/>
        <v>7.0699999999999999E-2</v>
      </c>
      <c r="D62">
        <f t="shared" si="8"/>
        <v>0.1414</v>
      </c>
      <c r="E62">
        <f t="shared" si="8"/>
        <v>7.0699999999999999E-2</v>
      </c>
      <c r="F62">
        <f t="shared" si="8"/>
        <v>0</v>
      </c>
      <c r="G62">
        <f t="shared" si="8"/>
        <v>0.3795</v>
      </c>
      <c r="H62">
        <f t="shared" si="8"/>
        <v>0.1095</v>
      </c>
      <c r="I62">
        <f t="shared" si="8"/>
        <v>7.0699999999999999E-2</v>
      </c>
      <c r="J62">
        <f t="shared" si="8"/>
        <v>0.3347</v>
      </c>
      <c r="K62">
        <f t="shared" si="8"/>
        <v>0.3347</v>
      </c>
      <c r="L62">
        <f t="shared" si="8"/>
        <v>0.1673</v>
      </c>
      <c r="M62">
        <f t="shared" si="8"/>
        <v>5.4800000000000001E-2</v>
      </c>
    </row>
    <row r="63" spans="1:13" x14ac:dyDescent="0.3">
      <c r="A63" t="s">
        <v>5</v>
      </c>
      <c r="B63">
        <f t="shared" si="7"/>
        <v>0.1095</v>
      </c>
      <c r="C63">
        <f t="shared" si="7"/>
        <v>5.4800000000000001E-2</v>
      </c>
      <c r="D63">
        <f t="shared" si="7"/>
        <v>7.0699999999999999E-2</v>
      </c>
      <c r="E63">
        <f t="shared" si="7"/>
        <v>0.1095</v>
      </c>
      <c r="F63">
        <f t="shared" si="7"/>
        <v>0.1095</v>
      </c>
      <c r="G63">
        <f t="shared" si="7"/>
        <v>0</v>
      </c>
      <c r="H63">
        <f t="shared" si="7"/>
        <v>0.1673</v>
      </c>
      <c r="I63">
        <f t="shared" si="7"/>
        <v>0.1095</v>
      </c>
      <c r="J63">
        <f t="shared" si="7"/>
        <v>0.1095</v>
      </c>
      <c r="K63">
        <f t="shared" si="7"/>
        <v>7.0699999999999999E-2</v>
      </c>
      <c r="L63">
        <f t="shared" si="7"/>
        <v>7.0699999999999999E-2</v>
      </c>
      <c r="M63">
        <f t="shared" si="7"/>
        <v>6.3200000000000006E-2</v>
      </c>
    </row>
    <row r="64" spans="1:13" x14ac:dyDescent="0.3">
      <c r="A64" t="s">
        <v>6</v>
      </c>
      <c r="B64">
        <f t="shared" si="7"/>
        <v>0.1673</v>
      </c>
      <c r="C64">
        <f t="shared" si="7"/>
        <v>7.0699999999999999E-2</v>
      </c>
      <c r="D64">
        <f t="shared" si="7"/>
        <v>7.0699999999999999E-2</v>
      </c>
      <c r="E64">
        <f t="shared" si="7"/>
        <v>0.1414</v>
      </c>
      <c r="F64">
        <f t="shared" si="7"/>
        <v>3.1600000000000003E-2</v>
      </c>
      <c r="G64">
        <f t="shared" si="7"/>
        <v>7.0699999999999999E-2</v>
      </c>
      <c r="H64">
        <f t="shared" si="7"/>
        <v>0</v>
      </c>
      <c r="I64">
        <f t="shared" si="7"/>
        <v>0.1414</v>
      </c>
      <c r="J64">
        <f t="shared" si="7"/>
        <v>0.1095</v>
      </c>
      <c r="K64">
        <f t="shared" si="7"/>
        <v>0.3347</v>
      </c>
      <c r="L64">
        <f t="shared" si="7"/>
        <v>3.1600000000000003E-2</v>
      </c>
      <c r="M64">
        <f t="shared" si="7"/>
        <v>0.1414</v>
      </c>
    </row>
    <row r="65" spans="1:13" x14ac:dyDescent="0.3">
      <c r="A65" t="s">
        <v>7</v>
      </c>
      <c r="B65">
        <f t="shared" si="7"/>
        <v>5.4800000000000001E-2</v>
      </c>
      <c r="C65">
        <f t="shared" si="7"/>
        <v>0.21210000000000001</v>
      </c>
      <c r="D65">
        <f t="shared" si="7"/>
        <v>0.1414</v>
      </c>
      <c r="E65">
        <f t="shared" si="7"/>
        <v>7.0699999999999999E-2</v>
      </c>
      <c r="F65">
        <f t="shared" si="7"/>
        <v>0.1414</v>
      </c>
      <c r="G65">
        <f t="shared" si="7"/>
        <v>8.3699999999999997E-2</v>
      </c>
      <c r="H65">
        <f t="shared" si="7"/>
        <v>0.1414</v>
      </c>
      <c r="I65">
        <f t="shared" si="7"/>
        <v>0</v>
      </c>
      <c r="J65">
        <f t="shared" si="7"/>
        <v>8.3699999999999997E-2</v>
      </c>
      <c r="K65">
        <f t="shared" si="7"/>
        <v>0.3795</v>
      </c>
      <c r="L65">
        <f t="shared" si="7"/>
        <v>0.3347</v>
      </c>
      <c r="M65">
        <f t="shared" si="7"/>
        <v>0.251</v>
      </c>
    </row>
    <row r="66" spans="1:13" x14ac:dyDescent="0.3">
      <c r="A66" t="s">
        <v>8</v>
      </c>
      <c r="B66">
        <f t="shared" si="7"/>
        <v>0.21210000000000001</v>
      </c>
      <c r="C66">
        <f t="shared" si="7"/>
        <v>7.0699999999999999E-2</v>
      </c>
      <c r="D66">
        <f t="shared" si="7"/>
        <v>8.3699999999999997E-2</v>
      </c>
      <c r="E66">
        <f t="shared" si="7"/>
        <v>7.0699999999999999E-2</v>
      </c>
      <c r="F66">
        <f t="shared" si="7"/>
        <v>7.0699999999999999E-2</v>
      </c>
      <c r="G66">
        <f t="shared" si="7"/>
        <v>7.0699999999999999E-2</v>
      </c>
      <c r="H66">
        <f t="shared" si="7"/>
        <v>0.1673</v>
      </c>
      <c r="I66">
        <f t="shared" si="7"/>
        <v>0.1414</v>
      </c>
      <c r="J66">
        <f t="shared" si="7"/>
        <v>0</v>
      </c>
      <c r="K66">
        <f t="shared" si="7"/>
        <v>0.3347</v>
      </c>
      <c r="L66">
        <f t="shared" si="7"/>
        <v>0.21210000000000001</v>
      </c>
      <c r="M66">
        <f t="shared" si="7"/>
        <v>0.3795</v>
      </c>
    </row>
    <row r="67" spans="1:13" x14ac:dyDescent="0.3">
      <c r="A67" t="s">
        <v>9</v>
      </c>
      <c r="B67">
        <f t="shared" si="7"/>
        <v>7.0699999999999999E-2</v>
      </c>
      <c r="C67">
        <f t="shared" si="7"/>
        <v>5.4800000000000001E-2</v>
      </c>
      <c r="D67">
        <f t="shared" si="7"/>
        <v>7.0699999999999999E-2</v>
      </c>
      <c r="E67">
        <f t="shared" si="7"/>
        <v>5.4800000000000001E-2</v>
      </c>
      <c r="F67">
        <f t="shared" si="7"/>
        <v>5.4800000000000001E-2</v>
      </c>
      <c r="G67">
        <f t="shared" si="7"/>
        <v>8.3699999999999997E-2</v>
      </c>
      <c r="H67">
        <f t="shared" si="7"/>
        <v>7.0699999999999999E-2</v>
      </c>
      <c r="I67">
        <f t="shared" si="7"/>
        <v>7.0699999999999999E-2</v>
      </c>
      <c r="J67">
        <f t="shared" si="7"/>
        <v>0.1095</v>
      </c>
      <c r="K67">
        <f t="shared" si="7"/>
        <v>0</v>
      </c>
      <c r="L67">
        <f t="shared" si="7"/>
        <v>0.1095</v>
      </c>
      <c r="M67">
        <f t="shared" si="7"/>
        <v>0.1095</v>
      </c>
    </row>
    <row r="68" spans="1:13" x14ac:dyDescent="0.3">
      <c r="A68" t="s">
        <v>10</v>
      </c>
      <c r="B68">
        <f t="shared" si="7"/>
        <v>8.3699999999999997E-2</v>
      </c>
      <c r="C68">
        <f t="shared" si="7"/>
        <v>3.1600000000000003E-2</v>
      </c>
      <c r="D68">
        <f t="shared" si="7"/>
        <v>0.1095</v>
      </c>
      <c r="E68">
        <f t="shared" si="7"/>
        <v>7.0699999999999999E-2</v>
      </c>
      <c r="F68">
        <f t="shared" si="7"/>
        <v>7.0699999999999999E-2</v>
      </c>
      <c r="G68">
        <f t="shared" si="7"/>
        <v>0.1095</v>
      </c>
      <c r="H68">
        <f t="shared" si="7"/>
        <v>6.3200000000000006E-2</v>
      </c>
      <c r="I68">
        <f t="shared" si="7"/>
        <v>0.1673</v>
      </c>
      <c r="J68">
        <f t="shared" si="7"/>
        <v>0.1414</v>
      </c>
      <c r="K68">
        <f t="shared" si="7"/>
        <v>5.4800000000000001E-2</v>
      </c>
      <c r="L68">
        <f t="shared" si="7"/>
        <v>0</v>
      </c>
      <c r="M68">
        <f t="shared" si="7"/>
        <v>0.3795</v>
      </c>
    </row>
    <row r="69" spans="1:13" x14ac:dyDescent="0.3">
      <c r="A69" t="s">
        <v>11</v>
      </c>
      <c r="B69">
        <f t="shared" si="7"/>
        <v>5.4800000000000001E-2</v>
      </c>
      <c r="C69">
        <f t="shared" si="7"/>
        <v>0.1414</v>
      </c>
      <c r="D69">
        <f t="shared" si="7"/>
        <v>0.1414</v>
      </c>
      <c r="E69">
        <f t="shared" si="7"/>
        <v>7.0699999999999999E-2</v>
      </c>
      <c r="F69">
        <f t="shared" si="7"/>
        <v>0.1414</v>
      </c>
      <c r="G69">
        <f t="shared" si="7"/>
        <v>7.0699999999999999E-2</v>
      </c>
      <c r="H69">
        <f t="shared" si="7"/>
        <v>0.1414</v>
      </c>
      <c r="I69">
        <f t="shared" si="7"/>
        <v>7.0699999999999999E-2</v>
      </c>
      <c r="J69">
        <f t="shared" si="7"/>
        <v>0.1414</v>
      </c>
      <c r="K69">
        <f t="shared" si="7"/>
        <v>7.0699999999999999E-2</v>
      </c>
      <c r="L69">
        <f t="shared" si="7"/>
        <v>0.3795</v>
      </c>
      <c r="M69">
        <f t="shared" si="7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DEMATEL</vt:lpstr>
      <vt:lpstr>Thang đánh giá</vt:lpstr>
      <vt:lpstr>Ans 1</vt:lpstr>
      <vt:lpstr>Ans 2</vt:lpstr>
      <vt:lpstr>Ans 3</vt:lpstr>
      <vt:lpstr>Ans 4</vt:lpstr>
      <vt:lpstr>Ans 5</vt:lpstr>
      <vt:lpstr>Ans 6</vt:lpstr>
      <vt:lpstr>Ans 7</vt:lpstr>
      <vt:lpstr>Ans 8</vt:lpstr>
      <vt:lpstr>Ans 9</vt:lpstr>
      <vt:lpstr>Ans 10</vt:lpstr>
      <vt:lpstr>Ans 11</vt:lpstr>
      <vt:lpstr>Ans 12</vt:lpstr>
      <vt:lpstr>Ans 13</vt:lpstr>
      <vt:lpstr>Ans 14</vt:lpstr>
      <vt:lpstr>Ans 15</vt:lpstr>
      <vt:lpstr>Ans 16</vt:lpstr>
      <vt:lpstr>Ans 17</vt:lpstr>
      <vt:lpstr>Ans 18</vt:lpstr>
      <vt:lpstr>Ans 19</vt:lpstr>
      <vt:lpstr>Ans 20</vt:lpstr>
      <vt:lpstr>Ans 21</vt:lpstr>
      <vt:lpstr>Ans 22</vt:lpstr>
      <vt:lpstr>Ans 23</vt:lpstr>
      <vt:lpstr>Ans 24</vt:lpstr>
      <vt:lpstr>Ans 25</vt:lpstr>
      <vt:lpstr>Ans 26</vt:lpstr>
      <vt:lpstr>Ans 27</vt:lpstr>
      <vt:lpstr>Ans 28</vt:lpstr>
      <vt:lpstr>Ans 29</vt:lpstr>
      <vt:lpstr>Ans 30</vt:lpstr>
      <vt:lpstr>Ans 31</vt:lpstr>
      <vt:lpstr>Ans 32</vt:lpstr>
      <vt:lpstr>Ans 33</vt:lpstr>
      <vt:lpstr>Ans 34</vt:lpstr>
      <vt:lpstr>Ans 35</vt:lpstr>
      <vt:lpstr>Ans 36</vt:lpstr>
      <vt:lpstr>Ans 37</vt:lpstr>
      <vt:lpstr>Ans 38</vt:lpstr>
      <vt:lpstr>Ans 39</vt:lpstr>
      <vt:lpstr>Ans 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Thế Vũ Phạm</cp:lastModifiedBy>
  <dcterms:created xsi:type="dcterms:W3CDTF">2026-04-15T12:07:40Z</dcterms:created>
  <dcterms:modified xsi:type="dcterms:W3CDTF">2026-04-25T15:13:06Z</dcterms:modified>
</cp:coreProperties>
</file>